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120" yWindow="-120" windowWidth="15480" windowHeight="8700" tabRatio="772" firstSheet="6" activeTab="9"/>
  </bookViews>
  <sheets>
    <sheet name="Лист1" sheetId="23" state="hidden" r:id="rId1"/>
    <sheet name="11,2018" sheetId="20" state="hidden" r:id="rId2"/>
    <sheet name="01,2019" sheetId="25" state="hidden" r:id="rId3"/>
    <sheet name="12,2018 " sheetId="24" state="hidden" r:id="rId4"/>
    <sheet name="25-29" sheetId="13" state="hidden" r:id="rId5"/>
    <sheet name="клиенты НДС" sheetId="32" state="hidden" r:id="rId6"/>
    <sheet name="bugalter oylik" sheetId="55" r:id="rId7"/>
    <sheet name="bank klient oylik" sheetId="57" r:id="rId8"/>
    <sheet name="nazoratchi" sheetId="60" r:id="rId9"/>
    <sheet name="Royxat" sheetId="53" r:id="rId10"/>
    <sheet name="09,2018" sheetId="21" state="hidden" r:id="rId11"/>
    <sheet name="10,2018 " sheetId="22" state="hidden" r:id="rId12"/>
    <sheet name="KPI" sheetId="76" r:id="rId13"/>
    <sheet name="vast" sheetId="75" r:id="rId14"/>
  </sheets>
  <definedNames>
    <definedName name="_xlnm._FilterDatabase" localSheetId="12" hidden="1">KPI!$A$3:$AI$270</definedName>
    <definedName name="_xlnm._FilterDatabase" localSheetId="9" hidden="1">Royxat!$A$3:$M$307</definedName>
    <definedName name="_xlnm._FilterDatabase" localSheetId="5" hidden="1">'клиенты НДС'!$A$1:$N$97</definedName>
    <definedName name="_xlnm.Print_Area" localSheetId="5">'клиенты НДС'!$A$1:$P$97</definedName>
  </definedNames>
  <calcPr calcId="145621"/>
  <pivotCaches>
    <pivotCache cacheId="8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8" i="53" l="1"/>
  <c r="L278" i="53"/>
  <c r="M278" i="53"/>
  <c r="K279" i="53"/>
  <c r="L279" i="53"/>
  <c r="M279" i="53"/>
  <c r="M264" i="53"/>
  <c r="M265" i="53"/>
  <c r="M266" i="53"/>
  <c r="M267" i="53"/>
  <c r="M268" i="53"/>
  <c r="M269" i="53"/>
  <c r="M270" i="53"/>
  <c r="M271" i="53"/>
  <c r="M272" i="53"/>
  <c r="M273" i="53"/>
  <c r="M274" i="53"/>
  <c r="M275" i="53"/>
  <c r="M276" i="53"/>
  <c r="M277" i="53"/>
  <c r="L264" i="53"/>
  <c r="L265" i="53"/>
  <c r="L266" i="53"/>
  <c r="L267" i="53"/>
  <c r="L268" i="53"/>
  <c r="L269" i="53"/>
  <c r="L270" i="53"/>
  <c r="L271" i="53"/>
  <c r="L272" i="53"/>
  <c r="L273" i="53"/>
  <c r="L274" i="53"/>
  <c r="L275" i="53"/>
  <c r="L276" i="53"/>
  <c r="L277" i="53"/>
  <c r="K264" i="53"/>
  <c r="K265" i="53"/>
  <c r="K266" i="53"/>
  <c r="K267" i="53"/>
  <c r="K268" i="53"/>
  <c r="K269" i="53"/>
  <c r="K270" i="53"/>
  <c r="K271" i="53"/>
  <c r="K272" i="53"/>
  <c r="K273" i="53"/>
  <c r="K274" i="53"/>
  <c r="K275" i="53"/>
  <c r="K276" i="53"/>
  <c r="K277" i="53"/>
  <c r="C319" i="53"/>
  <c r="C318" i="53"/>
  <c r="C317" i="53"/>
  <c r="C316" i="53"/>
  <c r="G291" i="53" l="1"/>
  <c r="C188" i="75" l="1"/>
  <c r="C191" i="75"/>
  <c r="G181" i="75"/>
  <c r="F187" i="75"/>
  <c r="E187" i="75"/>
  <c r="E189" i="75" s="1"/>
  <c r="C69" i="75"/>
  <c r="C187" i="75"/>
  <c r="C141" i="75"/>
  <c r="C183" i="75"/>
  <c r="B183" i="75"/>
  <c r="D182" i="75"/>
  <c r="D181" i="75"/>
  <c r="C179" i="75"/>
  <c r="B179" i="75"/>
  <c r="D178" i="75"/>
  <c r="G177" i="75"/>
  <c r="D177" i="75"/>
  <c r="C175" i="75"/>
  <c r="B175" i="75"/>
  <c r="D174" i="75"/>
  <c r="G173" i="75"/>
  <c r="D173" i="75"/>
  <c r="G169" i="75"/>
  <c r="C171" i="75"/>
  <c r="B171" i="75"/>
  <c r="D170" i="75"/>
  <c r="D169" i="75"/>
  <c r="D171" i="75" l="1"/>
  <c r="D179" i="75"/>
  <c r="D183" i="75"/>
  <c r="D175" i="75"/>
  <c r="G314" i="53"/>
  <c r="G98" i="75" l="1"/>
  <c r="G101" i="75"/>
  <c r="G141" i="75"/>
  <c r="G145" i="75"/>
  <c r="G157" i="75"/>
  <c r="C167" i="75"/>
  <c r="B167" i="75"/>
  <c r="D166" i="75"/>
  <c r="D165" i="75"/>
  <c r="G161" i="75"/>
  <c r="C163" i="75"/>
  <c r="B163" i="75"/>
  <c r="D163" i="75" s="1"/>
  <c r="D162" i="75"/>
  <c r="D161" i="75"/>
  <c r="C159" i="75"/>
  <c r="B159" i="75"/>
  <c r="D158" i="75"/>
  <c r="D157" i="75"/>
  <c r="C155" i="75"/>
  <c r="B155" i="75"/>
  <c r="D155" i="75" s="1"/>
  <c r="D154" i="75"/>
  <c r="D153" i="75"/>
  <c r="C189" i="75"/>
  <c r="C151" i="75"/>
  <c r="B151" i="75"/>
  <c r="D150" i="75"/>
  <c r="D149" i="75"/>
  <c r="C99" i="75"/>
  <c r="D99" i="75" s="1"/>
  <c r="C147" i="75"/>
  <c r="B147" i="75"/>
  <c r="D146" i="75"/>
  <c r="D145" i="75"/>
  <c r="C143" i="75"/>
  <c r="B143" i="75"/>
  <c r="D142" i="75"/>
  <c r="D141" i="75"/>
  <c r="C139" i="75"/>
  <c r="B139" i="75"/>
  <c r="D138" i="75"/>
  <c r="D137" i="75"/>
  <c r="C135" i="75"/>
  <c r="B135" i="75"/>
  <c r="D135" i="75" s="1"/>
  <c r="D134" i="75"/>
  <c r="G133" i="75"/>
  <c r="D133" i="75"/>
  <c r="C131" i="75"/>
  <c r="B131" i="75"/>
  <c r="D130" i="75"/>
  <c r="G129" i="75"/>
  <c r="D129" i="75"/>
  <c r="C127" i="75"/>
  <c r="B127" i="75"/>
  <c r="D126" i="75"/>
  <c r="G125" i="75"/>
  <c r="D125" i="75"/>
  <c r="C123" i="75"/>
  <c r="B123" i="75"/>
  <c r="D122" i="75"/>
  <c r="G121" i="75"/>
  <c r="D121" i="75"/>
  <c r="C119" i="75"/>
  <c r="B119" i="75"/>
  <c r="D118" i="75"/>
  <c r="G117" i="75"/>
  <c r="D117" i="75"/>
  <c r="C115" i="75"/>
  <c r="B115" i="75"/>
  <c r="D114" i="75"/>
  <c r="G113" i="75"/>
  <c r="D113" i="75"/>
  <c r="C111" i="75"/>
  <c r="B111" i="75"/>
  <c r="D110" i="75"/>
  <c r="G109" i="75"/>
  <c r="D109" i="75"/>
  <c r="C107" i="75"/>
  <c r="B107" i="75"/>
  <c r="D106" i="75"/>
  <c r="G105" i="75"/>
  <c r="D105" i="75"/>
  <c r="C103" i="75"/>
  <c r="B103" i="75"/>
  <c r="D102" i="75"/>
  <c r="D101" i="75"/>
  <c r="D98" i="75"/>
  <c r="C96" i="75"/>
  <c r="B96" i="75"/>
  <c r="D95" i="75"/>
  <c r="G94" i="75"/>
  <c r="D94" i="75"/>
  <c r="C92" i="75"/>
  <c r="B92" i="75"/>
  <c r="D91" i="75"/>
  <c r="D90" i="75"/>
  <c r="D89" i="75"/>
  <c r="D88" i="75"/>
  <c r="C86" i="75"/>
  <c r="B86" i="75"/>
  <c r="D86" i="75" s="1"/>
  <c r="D85" i="75"/>
  <c r="D84" i="75"/>
  <c r="B82" i="75"/>
  <c r="D81" i="75"/>
  <c r="C80" i="75"/>
  <c r="D80" i="75" s="1"/>
  <c r="B78" i="75"/>
  <c r="D77" i="75"/>
  <c r="C76" i="75"/>
  <c r="C78" i="75" s="1"/>
  <c r="B74" i="75"/>
  <c r="D73" i="75"/>
  <c r="C72" i="75"/>
  <c r="D72" i="75" s="1"/>
  <c r="G71" i="75"/>
  <c r="D71" i="75"/>
  <c r="B69" i="75"/>
  <c r="D69" i="75" s="1"/>
  <c r="D68" i="75"/>
  <c r="G67" i="75"/>
  <c r="D67" i="75"/>
  <c r="J193" i="53"/>
  <c r="C299" i="53"/>
  <c r="D303" i="53"/>
  <c r="D298" i="53"/>
  <c r="C304" i="53"/>
  <c r="C309" i="53"/>
  <c r="D131" i="75" l="1"/>
  <c r="D167" i="75"/>
  <c r="C192" i="75"/>
  <c r="C193" i="75" s="1"/>
  <c r="D119" i="75"/>
  <c r="D107" i="75"/>
  <c r="G187" i="75"/>
  <c r="D151" i="75"/>
  <c r="D147" i="75"/>
  <c r="D103" i="75"/>
  <c r="D111" i="75"/>
  <c r="D159" i="75"/>
  <c r="D143" i="75"/>
  <c r="D115" i="75"/>
  <c r="D139" i="75"/>
  <c r="D123" i="75"/>
  <c r="D96" i="75"/>
  <c r="D92" i="75"/>
  <c r="C82" i="75"/>
  <c r="D82" i="75" s="1"/>
  <c r="D74" i="75"/>
  <c r="C74" i="75"/>
  <c r="C194" i="75" s="1"/>
  <c r="C196" i="75" s="1"/>
  <c r="D127" i="75"/>
  <c r="D78" i="75"/>
  <c r="D76" i="75"/>
  <c r="C300" i="53"/>
  <c r="C197" i="75" l="1"/>
  <c r="D187" i="75"/>
  <c r="J206" i="53"/>
  <c r="G300" i="53"/>
  <c r="G305" i="53"/>
  <c r="G303" i="53"/>
  <c r="G309" i="53"/>
  <c r="G307" i="53"/>
  <c r="G311" i="53" l="1"/>
  <c r="E104" i="76"/>
  <c r="W206" i="76"/>
  <c r="W207" i="76"/>
  <c r="X206" i="76"/>
  <c r="X207" i="76"/>
  <c r="Y206" i="76"/>
  <c r="Y207" i="76"/>
  <c r="Z206" i="76"/>
  <c r="Z207" i="76"/>
  <c r="AA206" i="76"/>
  <c r="AA207" i="76"/>
  <c r="AB206" i="76"/>
  <c r="AB207" i="76"/>
  <c r="AC206" i="76"/>
  <c r="AC207" i="76"/>
  <c r="AD206" i="76"/>
  <c r="AD207" i="76"/>
  <c r="AE206" i="76"/>
  <c r="AE207" i="76"/>
  <c r="W208" i="76"/>
  <c r="W209" i="76"/>
  <c r="X208" i="76"/>
  <c r="X209" i="76"/>
  <c r="Y208" i="76"/>
  <c r="Y209" i="76"/>
  <c r="Z208" i="76"/>
  <c r="Z209" i="76"/>
  <c r="AA208" i="76"/>
  <c r="AA209" i="76"/>
  <c r="AB208" i="76"/>
  <c r="AB209" i="76"/>
  <c r="AC208" i="76"/>
  <c r="AC209" i="76"/>
  <c r="AD208" i="76"/>
  <c r="AD209" i="76"/>
  <c r="AE208" i="76"/>
  <c r="AE209" i="76"/>
  <c r="W210" i="76"/>
  <c r="W211" i="76"/>
  <c r="X210" i="76"/>
  <c r="X211" i="76"/>
  <c r="Y210" i="76"/>
  <c r="Y211" i="76"/>
  <c r="Z210" i="76"/>
  <c r="Z211" i="76"/>
  <c r="AA210" i="76"/>
  <c r="AA211" i="76"/>
  <c r="AB210" i="76"/>
  <c r="AB211" i="76"/>
  <c r="AC210" i="76"/>
  <c r="AC211" i="76"/>
  <c r="AD210" i="76"/>
  <c r="AD211" i="76"/>
  <c r="AE210" i="76"/>
  <c r="AE211" i="76"/>
  <c r="W212" i="76"/>
  <c r="W213" i="76"/>
  <c r="X212" i="76"/>
  <c r="X213" i="76"/>
  <c r="Y212" i="76"/>
  <c r="Y213" i="76"/>
  <c r="Z212" i="76"/>
  <c r="Z213" i="76"/>
  <c r="AA212" i="76"/>
  <c r="AA213" i="76"/>
  <c r="AB212" i="76"/>
  <c r="AB213" i="76"/>
  <c r="AC212" i="76"/>
  <c r="AC213" i="76"/>
  <c r="AD212" i="76"/>
  <c r="AD213" i="76"/>
  <c r="AE212" i="76"/>
  <c r="AE213" i="76"/>
  <c r="W214" i="76"/>
  <c r="W215" i="76"/>
  <c r="X214" i="76"/>
  <c r="X215" i="76"/>
  <c r="Y214" i="76"/>
  <c r="Y215" i="76"/>
  <c r="Z214" i="76"/>
  <c r="Z215" i="76"/>
  <c r="AA214" i="76"/>
  <c r="AA215" i="76"/>
  <c r="AB214" i="76"/>
  <c r="AB215" i="76"/>
  <c r="AC214" i="76"/>
  <c r="AC215" i="76"/>
  <c r="AD214" i="76"/>
  <c r="AD215" i="76"/>
  <c r="AE214" i="76"/>
  <c r="AE215" i="76"/>
  <c r="W216" i="76"/>
  <c r="W217" i="76"/>
  <c r="X216" i="76"/>
  <c r="X217" i="76"/>
  <c r="Y216" i="76"/>
  <c r="Y217" i="76"/>
  <c r="Z216" i="76"/>
  <c r="Z217" i="76"/>
  <c r="AA216" i="76"/>
  <c r="AA217" i="76"/>
  <c r="AB216" i="76"/>
  <c r="AB217" i="76"/>
  <c r="AC216" i="76"/>
  <c r="AC217" i="76"/>
  <c r="AD216" i="76"/>
  <c r="AD217" i="76"/>
  <c r="AE216" i="76"/>
  <c r="AE217" i="76"/>
  <c r="W218" i="76"/>
  <c r="W219" i="76"/>
  <c r="X218" i="76"/>
  <c r="X219" i="76"/>
  <c r="Y218" i="76"/>
  <c r="Y219" i="76"/>
  <c r="Z218" i="76"/>
  <c r="Z219" i="76"/>
  <c r="AA218" i="76"/>
  <c r="AA219" i="76"/>
  <c r="AB218" i="76"/>
  <c r="AB219" i="76"/>
  <c r="AC218" i="76"/>
  <c r="AC219" i="76"/>
  <c r="AD218" i="76"/>
  <c r="AD219" i="76"/>
  <c r="AE218" i="76"/>
  <c r="AE219" i="76"/>
  <c r="W220" i="76"/>
  <c r="W221" i="76"/>
  <c r="X220" i="76"/>
  <c r="X221" i="76"/>
  <c r="Y220" i="76"/>
  <c r="Y221" i="76"/>
  <c r="Z220" i="76"/>
  <c r="Z221" i="76"/>
  <c r="AA220" i="76"/>
  <c r="AA221" i="76"/>
  <c r="AB220" i="76"/>
  <c r="AB221" i="76"/>
  <c r="AC220" i="76"/>
  <c r="AC221" i="76"/>
  <c r="AD220" i="76"/>
  <c r="AD221" i="76"/>
  <c r="AE220" i="76"/>
  <c r="AE221" i="76"/>
  <c r="W222" i="76"/>
  <c r="W223" i="76"/>
  <c r="X222" i="76"/>
  <c r="X223" i="76"/>
  <c r="Y222" i="76"/>
  <c r="Y223" i="76"/>
  <c r="Z222" i="76"/>
  <c r="Z223" i="76"/>
  <c r="AA222" i="76"/>
  <c r="AA223" i="76"/>
  <c r="AB222" i="76"/>
  <c r="AB223" i="76"/>
  <c r="AC222" i="76"/>
  <c r="AC223" i="76"/>
  <c r="AD222" i="76"/>
  <c r="AD223" i="76"/>
  <c r="AE222" i="76"/>
  <c r="AE223" i="76"/>
  <c r="W224" i="76"/>
  <c r="W225" i="76"/>
  <c r="X224" i="76"/>
  <c r="X225" i="76"/>
  <c r="Y224" i="76"/>
  <c r="Y225" i="76"/>
  <c r="Z224" i="76"/>
  <c r="Z225" i="76"/>
  <c r="AA224" i="76"/>
  <c r="AA225" i="76"/>
  <c r="AB224" i="76"/>
  <c r="AB225" i="76"/>
  <c r="AC224" i="76"/>
  <c r="AC225" i="76"/>
  <c r="AD224" i="76"/>
  <c r="AD225" i="76"/>
  <c r="AE224" i="76"/>
  <c r="AE225" i="76"/>
  <c r="W226" i="76"/>
  <c r="W227" i="76"/>
  <c r="X226" i="76"/>
  <c r="X227" i="76"/>
  <c r="Y226" i="76"/>
  <c r="Y227" i="76"/>
  <c r="Z226" i="76"/>
  <c r="Z227" i="76"/>
  <c r="AA226" i="76"/>
  <c r="AA227" i="76"/>
  <c r="AB226" i="76"/>
  <c r="AB227" i="76"/>
  <c r="AC226" i="76"/>
  <c r="AC227" i="76"/>
  <c r="AD226" i="76"/>
  <c r="AD227" i="76"/>
  <c r="AE226" i="76"/>
  <c r="AE227" i="76"/>
  <c r="W228" i="76"/>
  <c r="W229" i="76"/>
  <c r="X228" i="76"/>
  <c r="X229" i="76"/>
  <c r="Y228" i="76"/>
  <c r="Y229" i="76"/>
  <c r="Z228" i="76"/>
  <c r="Z229" i="76"/>
  <c r="AA228" i="76"/>
  <c r="AA229" i="76"/>
  <c r="AB228" i="76"/>
  <c r="AB229" i="76"/>
  <c r="AC228" i="76"/>
  <c r="AC229" i="76"/>
  <c r="AD228" i="76"/>
  <c r="AD229" i="76"/>
  <c r="AE228" i="76"/>
  <c r="AE229" i="76"/>
  <c r="W230" i="76"/>
  <c r="W231" i="76"/>
  <c r="X230" i="76"/>
  <c r="X231" i="76"/>
  <c r="Y230" i="76"/>
  <c r="Y231" i="76"/>
  <c r="Z230" i="76"/>
  <c r="Z231" i="76"/>
  <c r="AA230" i="76"/>
  <c r="AA231" i="76"/>
  <c r="AB230" i="76"/>
  <c r="AB231" i="76"/>
  <c r="AC230" i="76"/>
  <c r="AC231" i="76"/>
  <c r="AD230" i="76"/>
  <c r="AD231" i="76"/>
  <c r="AE230" i="76"/>
  <c r="AE231" i="76"/>
  <c r="W232" i="76"/>
  <c r="W233" i="76"/>
  <c r="X232" i="76"/>
  <c r="X233" i="76"/>
  <c r="Y232" i="76"/>
  <c r="Y233" i="76"/>
  <c r="Z232" i="76"/>
  <c r="Z233" i="76"/>
  <c r="AA232" i="76"/>
  <c r="AA233" i="76"/>
  <c r="AB232" i="76"/>
  <c r="AB233" i="76"/>
  <c r="AC232" i="76"/>
  <c r="AC233" i="76"/>
  <c r="AD232" i="76"/>
  <c r="AD233" i="76"/>
  <c r="AE232" i="76"/>
  <c r="AE233" i="76"/>
  <c r="W234" i="76"/>
  <c r="W235" i="76"/>
  <c r="X234" i="76"/>
  <c r="X235" i="76"/>
  <c r="Y234" i="76"/>
  <c r="Y235" i="76"/>
  <c r="Z234" i="76"/>
  <c r="Z235" i="76"/>
  <c r="AA234" i="76"/>
  <c r="AA235" i="76"/>
  <c r="AB234" i="76"/>
  <c r="AB235" i="76"/>
  <c r="AC234" i="76"/>
  <c r="AC235" i="76"/>
  <c r="AD234" i="76"/>
  <c r="AD235" i="76"/>
  <c r="AE234" i="76"/>
  <c r="AF234" i="76" s="1"/>
  <c r="AE235" i="76"/>
  <c r="W236" i="76"/>
  <c r="W237" i="76"/>
  <c r="X236" i="76"/>
  <c r="X237" i="76"/>
  <c r="Y236" i="76"/>
  <c r="Y237" i="76"/>
  <c r="Z236" i="76"/>
  <c r="Z237" i="76"/>
  <c r="AA236" i="76"/>
  <c r="AA237" i="76"/>
  <c r="AB236" i="76"/>
  <c r="AB237" i="76"/>
  <c r="AC236" i="76"/>
  <c r="AC237" i="76"/>
  <c r="AD236" i="76"/>
  <c r="AD237" i="76"/>
  <c r="AE236" i="76"/>
  <c r="AE237" i="76"/>
  <c r="W238" i="76"/>
  <c r="W239" i="76"/>
  <c r="X238" i="76"/>
  <c r="X239" i="76"/>
  <c r="Y238" i="76"/>
  <c r="Y239" i="76"/>
  <c r="Z238" i="76"/>
  <c r="Z239" i="76"/>
  <c r="AA238" i="76"/>
  <c r="AA239" i="76"/>
  <c r="AB238" i="76"/>
  <c r="AB239" i="76"/>
  <c r="AC238" i="76"/>
  <c r="AC239" i="76"/>
  <c r="AD238" i="76"/>
  <c r="AD239" i="76"/>
  <c r="AE238" i="76"/>
  <c r="AE239" i="76"/>
  <c r="W240" i="76"/>
  <c r="W241" i="76"/>
  <c r="X240" i="76"/>
  <c r="X241" i="76"/>
  <c r="Y240" i="76"/>
  <c r="Y241" i="76"/>
  <c r="Z240" i="76"/>
  <c r="Z241" i="76"/>
  <c r="AA240" i="76"/>
  <c r="AA241" i="76"/>
  <c r="AB240" i="76"/>
  <c r="AB241" i="76"/>
  <c r="AC240" i="76"/>
  <c r="AC241" i="76"/>
  <c r="AD240" i="76"/>
  <c r="AD241" i="76"/>
  <c r="AE240" i="76"/>
  <c r="AE241" i="76"/>
  <c r="W242" i="76"/>
  <c r="W243" i="76"/>
  <c r="X242" i="76"/>
  <c r="X243" i="76"/>
  <c r="Y242" i="76"/>
  <c r="Y243" i="76"/>
  <c r="Z242" i="76"/>
  <c r="Z243" i="76"/>
  <c r="AA242" i="76"/>
  <c r="AA243" i="76"/>
  <c r="AB242" i="76"/>
  <c r="AB243" i="76"/>
  <c r="AC242" i="76"/>
  <c r="AC243" i="76"/>
  <c r="AD242" i="76"/>
  <c r="AD243" i="76"/>
  <c r="AE242" i="76"/>
  <c r="AE243" i="76"/>
  <c r="W244" i="76"/>
  <c r="W245" i="76"/>
  <c r="X244" i="76"/>
  <c r="X245" i="76"/>
  <c r="Y244" i="76"/>
  <c r="Y245" i="76"/>
  <c r="Z244" i="76"/>
  <c r="Z245" i="76"/>
  <c r="AA244" i="76"/>
  <c r="AA245" i="76"/>
  <c r="AB244" i="76"/>
  <c r="AB245" i="76"/>
  <c r="AC244" i="76"/>
  <c r="AC245" i="76"/>
  <c r="AD244" i="76"/>
  <c r="AD245" i="76"/>
  <c r="AE244" i="76"/>
  <c r="AE245" i="76"/>
  <c r="W246" i="76"/>
  <c r="W247" i="76"/>
  <c r="X246" i="76"/>
  <c r="X247" i="76"/>
  <c r="Y246" i="76"/>
  <c r="Y247" i="76"/>
  <c r="Z246" i="76"/>
  <c r="Z247" i="76"/>
  <c r="AA246" i="76"/>
  <c r="AA247" i="76"/>
  <c r="AB246" i="76"/>
  <c r="AB247" i="76"/>
  <c r="AC246" i="76"/>
  <c r="AC247" i="76"/>
  <c r="AD246" i="76"/>
  <c r="AD247" i="76"/>
  <c r="AE246" i="76"/>
  <c r="AE247" i="76"/>
  <c r="W248" i="76"/>
  <c r="W249" i="76"/>
  <c r="X248" i="76"/>
  <c r="X249" i="76"/>
  <c r="Y248" i="76"/>
  <c r="Y249" i="76"/>
  <c r="Z248" i="76"/>
  <c r="Z249" i="76"/>
  <c r="AA248" i="76"/>
  <c r="AA249" i="76"/>
  <c r="AB248" i="76"/>
  <c r="AB249" i="76"/>
  <c r="AC248" i="76"/>
  <c r="AC249" i="76"/>
  <c r="AD248" i="76"/>
  <c r="AD249" i="76"/>
  <c r="AE248" i="76"/>
  <c r="AE249" i="76"/>
  <c r="W250" i="76"/>
  <c r="W251" i="76"/>
  <c r="X250" i="76"/>
  <c r="X251" i="76"/>
  <c r="Y250" i="76"/>
  <c r="Y251" i="76"/>
  <c r="Z250" i="76"/>
  <c r="Z251" i="76"/>
  <c r="AA250" i="76"/>
  <c r="AA251" i="76"/>
  <c r="AB250" i="76"/>
  <c r="AB251" i="76"/>
  <c r="AC250" i="76"/>
  <c r="AC251" i="76"/>
  <c r="AD250" i="76"/>
  <c r="AD251" i="76"/>
  <c r="AE250" i="76"/>
  <c r="AE251" i="76"/>
  <c r="W252" i="76"/>
  <c r="W253" i="76"/>
  <c r="X252" i="76"/>
  <c r="X253" i="76"/>
  <c r="Y252" i="76"/>
  <c r="Y253" i="76"/>
  <c r="Z252" i="76"/>
  <c r="Z253" i="76"/>
  <c r="AA252" i="76"/>
  <c r="AA253" i="76"/>
  <c r="AB252" i="76"/>
  <c r="AB253" i="76"/>
  <c r="AC252" i="76"/>
  <c r="AC253" i="76"/>
  <c r="AD252" i="76"/>
  <c r="AD253" i="76"/>
  <c r="AE252" i="76"/>
  <c r="AE253" i="76"/>
  <c r="W254" i="76"/>
  <c r="X254" i="76"/>
  <c r="Y254" i="76"/>
  <c r="Z254" i="76"/>
  <c r="AA254" i="76"/>
  <c r="AB254" i="76"/>
  <c r="AC254" i="76"/>
  <c r="AD254" i="76"/>
  <c r="AE254" i="76"/>
  <c r="W255" i="76"/>
  <c r="W256" i="76"/>
  <c r="X255" i="76"/>
  <c r="X256" i="76"/>
  <c r="Y255" i="76"/>
  <c r="Y256" i="76"/>
  <c r="Z255" i="76"/>
  <c r="Z256" i="76"/>
  <c r="AA255" i="76"/>
  <c r="AA256" i="76"/>
  <c r="AB255" i="76"/>
  <c r="AB256" i="76"/>
  <c r="AC255" i="76"/>
  <c r="AC256" i="76"/>
  <c r="AD255" i="76"/>
  <c r="AD256" i="76"/>
  <c r="AE255" i="76"/>
  <c r="AE256" i="76"/>
  <c r="W257" i="76"/>
  <c r="W258" i="76"/>
  <c r="X257" i="76"/>
  <c r="X258" i="76"/>
  <c r="Y257" i="76"/>
  <c r="Y258" i="76"/>
  <c r="Z257" i="76"/>
  <c r="Z258" i="76"/>
  <c r="AA257" i="76"/>
  <c r="AA258" i="76"/>
  <c r="AB257" i="76"/>
  <c r="AB258" i="76"/>
  <c r="AC257" i="76"/>
  <c r="AC258" i="76"/>
  <c r="AD257" i="76"/>
  <c r="AD258" i="76"/>
  <c r="AE257" i="76"/>
  <c r="AE258" i="76"/>
  <c r="W259" i="76"/>
  <c r="W260" i="76"/>
  <c r="X259" i="76"/>
  <c r="X260" i="76"/>
  <c r="Y259" i="76"/>
  <c r="Y260" i="76"/>
  <c r="Z259" i="76"/>
  <c r="Z260" i="76"/>
  <c r="AA259" i="76"/>
  <c r="AA260" i="76"/>
  <c r="AB259" i="76"/>
  <c r="AB260" i="76"/>
  <c r="AC259" i="76"/>
  <c r="AC260" i="76"/>
  <c r="AD259" i="76"/>
  <c r="AD260" i="76"/>
  <c r="AE259" i="76"/>
  <c r="AE260" i="76"/>
  <c r="W261" i="76"/>
  <c r="W262" i="76"/>
  <c r="X261" i="76"/>
  <c r="X262" i="76"/>
  <c r="Y261" i="76"/>
  <c r="Y262" i="76"/>
  <c r="Z261" i="76"/>
  <c r="Z262" i="76"/>
  <c r="AA261" i="76"/>
  <c r="AA262" i="76"/>
  <c r="AB261" i="76"/>
  <c r="AB262" i="76"/>
  <c r="AC261" i="76"/>
  <c r="AC262" i="76"/>
  <c r="AD261" i="76"/>
  <c r="AD262" i="76"/>
  <c r="AE261" i="76"/>
  <c r="AE262" i="76"/>
  <c r="W263" i="76"/>
  <c r="W264" i="76"/>
  <c r="X263" i="76"/>
  <c r="X264" i="76"/>
  <c r="Y263" i="76"/>
  <c r="Y264" i="76"/>
  <c r="Z263" i="76"/>
  <c r="Z264" i="76"/>
  <c r="AA263" i="76"/>
  <c r="AA264" i="76"/>
  <c r="AB263" i="76"/>
  <c r="AB264" i="76"/>
  <c r="AC263" i="76"/>
  <c r="AC264" i="76"/>
  <c r="AD263" i="76"/>
  <c r="AD264" i="76"/>
  <c r="AE263" i="76"/>
  <c r="AE264" i="76"/>
  <c r="W265" i="76"/>
  <c r="X265" i="76"/>
  <c r="Y265" i="76"/>
  <c r="Z265" i="76"/>
  <c r="AA265" i="76"/>
  <c r="AB265" i="76"/>
  <c r="AC265" i="76"/>
  <c r="AD265" i="76"/>
  <c r="AE265" i="76"/>
  <c r="J232" i="53"/>
  <c r="J213" i="53"/>
  <c r="J205" i="53"/>
  <c r="J204" i="53"/>
  <c r="J149" i="53"/>
  <c r="J142" i="53"/>
  <c r="J203" i="53"/>
  <c r="J172" i="53"/>
  <c r="L249" i="53"/>
  <c r="M249" i="53"/>
  <c r="K249" i="53"/>
  <c r="J249" i="53"/>
  <c r="AF232" i="76" l="1"/>
  <c r="AH208" i="76"/>
  <c r="AG207" i="76"/>
  <c r="AF206" i="76"/>
  <c r="AH206" i="76"/>
  <c r="AF208" i="76"/>
  <c r="AH209" i="76"/>
  <c r="AH212" i="76"/>
  <c r="AH211" i="76"/>
  <c r="AH207" i="76"/>
  <c r="AH238" i="76"/>
  <c r="AH210" i="76"/>
  <c r="AF207" i="76"/>
  <c r="AH214" i="76"/>
  <c r="AF210" i="76"/>
  <c r="AG213" i="76"/>
  <c r="AG209" i="76"/>
  <c r="AG206" i="76"/>
  <c r="AH213" i="76"/>
  <c r="AG211" i="76"/>
  <c r="AG208" i="76"/>
  <c r="AH216" i="76"/>
  <c r="AF212" i="76"/>
  <c r="AF209" i="76"/>
  <c r="AH215" i="76"/>
  <c r="AG210" i="76"/>
  <c r="AH218" i="76"/>
  <c r="AF214" i="76"/>
  <c r="AF211" i="76"/>
  <c r="AG217" i="76"/>
  <c r="AH217" i="76"/>
  <c r="AG215" i="76"/>
  <c r="AG212" i="76"/>
  <c r="AF216" i="76"/>
  <c r="AF213" i="76"/>
  <c r="AH219" i="76"/>
  <c r="AG214" i="76"/>
  <c r="AF218" i="76"/>
  <c r="AF215" i="76"/>
  <c r="AG221" i="76"/>
  <c r="AH222" i="76"/>
  <c r="AH221" i="76"/>
  <c r="AH220" i="76"/>
  <c r="AG219" i="76"/>
  <c r="AG216" i="76"/>
  <c r="AF220" i="76"/>
  <c r="AF217" i="76"/>
  <c r="AG223" i="76"/>
  <c r="AH223" i="76"/>
  <c r="AG227" i="76"/>
  <c r="AG218" i="76"/>
  <c r="AF222" i="76"/>
  <c r="AF219" i="76"/>
  <c r="AH225" i="76"/>
  <c r="AG222" i="76"/>
  <c r="AG220" i="76"/>
  <c r="AF221" i="76"/>
  <c r="AG225" i="76"/>
  <c r="AG224" i="76"/>
  <c r="AH226" i="76"/>
  <c r="AF223" i="76"/>
  <c r="AF228" i="76"/>
  <c r="AF226" i="76"/>
  <c r="AH228" i="76"/>
  <c r="AH227" i="76"/>
  <c r="AF225" i="76"/>
  <c r="AH224" i="76"/>
  <c r="AF224" i="76"/>
  <c r="AH244" i="76"/>
  <c r="AG232" i="76"/>
  <c r="AH232" i="76"/>
  <c r="AH231" i="76"/>
  <c r="AH230" i="76"/>
  <c r="AG229" i="76"/>
  <c r="AH229" i="76"/>
  <c r="AG226" i="76"/>
  <c r="AF230" i="76"/>
  <c r="AF227" i="76"/>
  <c r="AG234" i="76"/>
  <c r="AH234" i="76"/>
  <c r="AH233" i="76"/>
  <c r="AG231" i="76"/>
  <c r="AG228" i="76"/>
  <c r="AF229" i="76"/>
  <c r="AG235" i="76"/>
  <c r="AG233" i="76"/>
  <c r="AG230" i="76"/>
  <c r="AF231" i="76"/>
  <c r="AH237" i="76"/>
  <c r="AH243" i="76"/>
  <c r="AH235" i="76"/>
  <c r="AF233" i="76"/>
  <c r="AH240" i="76"/>
  <c r="AH236" i="76"/>
  <c r="AF236" i="76"/>
  <c r="AG239" i="76"/>
  <c r="AH239" i="76"/>
  <c r="AG237" i="76"/>
  <c r="AF238" i="76"/>
  <c r="AF235" i="76"/>
  <c r="AH248" i="76"/>
  <c r="AG238" i="76"/>
  <c r="AF255" i="76"/>
  <c r="AG236" i="76"/>
  <c r="AF240" i="76"/>
  <c r="AF237" i="76"/>
  <c r="AH242" i="76"/>
  <c r="AG241" i="76"/>
  <c r="AF250" i="76"/>
  <c r="AH241" i="76"/>
  <c r="AF242" i="76"/>
  <c r="AF239" i="76"/>
  <c r="AF243" i="76"/>
  <c r="AF244" i="76"/>
  <c r="AG240" i="76"/>
  <c r="AF241" i="76"/>
  <c r="AG243" i="76"/>
  <c r="AG242" i="76"/>
  <c r="AG245" i="76"/>
  <c r="AG246" i="76"/>
  <c r="AH245" i="76"/>
  <c r="AG254" i="76"/>
  <c r="AH247" i="76"/>
  <c r="AG244" i="76"/>
  <c r="AH246" i="76"/>
  <c r="AF245" i="76"/>
  <c r="AG247" i="76"/>
  <c r="AF248" i="76"/>
  <c r="AH250" i="76"/>
  <c r="AG249" i="76"/>
  <c r="AH249" i="76"/>
  <c r="AF247" i="76"/>
  <c r="AF246" i="76"/>
  <c r="AG253" i="76"/>
  <c r="AF251" i="76"/>
  <c r="AG251" i="76"/>
  <c r="AH263" i="76"/>
  <c r="AH262" i="76"/>
  <c r="AH251" i="76"/>
  <c r="AG248" i="76"/>
  <c r="AF252" i="76"/>
  <c r="AF249" i="76"/>
  <c r="AF257" i="76"/>
  <c r="AF253" i="76"/>
  <c r="AH253" i="76"/>
  <c r="AG250" i="76"/>
  <c r="AH252" i="76"/>
  <c r="AH257" i="76"/>
  <c r="AG256" i="76"/>
  <c r="AG252" i="76"/>
  <c r="AH261" i="76"/>
  <c r="AH255" i="76"/>
  <c r="AG260" i="76"/>
  <c r="AH260" i="76"/>
  <c r="AH254" i="76"/>
  <c r="AG258" i="76"/>
  <c r="AF261" i="76"/>
  <c r="AF254" i="76"/>
  <c r="AF256" i="76"/>
  <c r="AH256" i="76"/>
  <c r="AH259" i="76"/>
  <c r="AG255" i="76"/>
  <c r="AG262" i="76"/>
  <c r="AH258" i="76"/>
  <c r="AF259" i="76"/>
  <c r="AF260" i="76"/>
  <c r="AG257" i="76"/>
  <c r="AF258" i="76"/>
  <c r="AG259" i="76"/>
  <c r="AF263" i="76"/>
  <c r="AH265" i="76"/>
  <c r="AG264" i="76"/>
  <c r="AG261" i="76"/>
  <c r="AF265" i="76"/>
  <c r="AF262" i="76"/>
  <c r="AH264" i="76"/>
  <c r="AG263" i="76"/>
  <c r="AF264" i="76"/>
  <c r="AG265" i="76"/>
  <c r="E314" i="53" l="1"/>
  <c r="E313" i="53"/>
  <c r="M261" i="53"/>
  <c r="M262" i="53"/>
  <c r="M263" i="53"/>
  <c r="L261" i="53"/>
  <c r="L262" i="53"/>
  <c r="L263" i="53"/>
  <c r="K261" i="53"/>
  <c r="K262" i="53"/>
  <c r="K263" i="53"/>
  <c r="K257" i="53" l="1"/>
  <c r="L257" i="53"/>
  <c r="M257" i="53"/>
  <c r="K258" i="53"/>
  <c r="L258" i="53"/>
  <c r="M258" i="53"/>
  <c r="K259" i="53"/>
  <c r="L259" i="53"/>
  <c r="M259" i="53"/>
  <c r="K260" i="53"/>
  <c r="L260" i="53"/>
  <c r="M260" i="53"/>
  <c r="K167" i="53"/>
  <c r="K255" i="53"/>
  <c r="L255" i="53"/>
  <c r="M255" i="53"/>
  <c r="K256" i="53"/>
  <c r="L256" i="53"/>
  <c r="M256" i="53"/>
  <c r="J255" i="53"/>
  <c r="J256" i="53"/>
  <c r="K254" i="53"/>
  <c r="L254" i="53"/>
  <c r="M254" i="53"/>
  <c r="M253" i="53"/>
  <c r="L253" i="53"/>
  <c r="K253" i="53"/>
  <c r="C315" i="53"/>
  <c r="J243" i="53" l="1"/>
  <c r="J242" i="53"/>
  <c r="J241" i="53"/>
  <c r="J238" i="53"/>
  <c r="J237" i="53"/>
  <c r="J236" i="53"/>
  <c r="J235" i="53"/>
  <c r="J233" i="53"/>
  <c r="J230" i="53"/>
  <c r="J229" i="53"/>
  <c r="J226" i="53"/>
  <c r="J225" i="53"/>
  <c r="J224" i="53"/>
  <c r="J223" i="53"/>
  <c r="J222" i="53"/>
  <c r="J220" i="53"/>
  <c r="J217" i="53"/>
  <c r="J215" i="53"/>
  <c r="J212" i="53"/>
  <c r="J211" i="53"/>
  <c r="J210" i="53"/>
  <c r="J209" i="53"/>
  <c r="J207" i="53"/>
  <c r="M231" i="53" l="1"/>
  <c r="M232" i="53"/>
  <c r="M233" i="53"/>
  <c r="M234" i="53"/>
  <c r="M235" i="53"/>
  <c r="M236" i="53"/>
  <c r="M237" i="53"/>
  <c r="M238" i="53"/>
  <c r="M239" i="53"/>
  <c r="M240" i="53"/>
  <c r="M241" i="53"/>
  <c r="M242" i="53"/>
  <c r="M243" i="53"/>
  <c r="M244" i="53"/>
  <c r="M245" i="53"/>
  <c r="M246" i="53"/>
  <c r="M247" i="53"/>
  <c r="M248" i="53"/>
  <c r="M250" i="53"/>
  <c r="M252" i="53"/>
  <c r="M201" i="53"/>
  <c r="M202" i="53"/>
  <c r="M203" i="53"/>
  <c r="M204" i="53"/>
  <c r="M205" i="53"/>
  <c r="M206" i="53"/>
  <c r="M207" i="53"/>
  <c r="M208" i="53"/>
  <c r="M209" i="53"/>
  <c r="M210" i="53"/>
  <c r="M211" i="53"/>
  <c r="M212" i="53"/>
  <c r="M213" i="53"/>
  <c r="M214" i="53"/>
  <c r="M215" i="53"/>
  <c r="M216" i="53"/>
  <c r="M217" i="53"/>
  <c r="M218" i="53"/>
  <c r="M219" i="53"/>
  <c r="M220" i="53"/>
  <c r="M221" i="53"/>
  <c r="M222" i="53"/>
  <c r="M223" i="53"/>
  <c r="M224" i="53"/>
  <c r="M225" i="53"/>
  <c r="M226" i="53"/>
  <c r="M227" i="53"/>
  <c r="M228" i="53"/>
  <c r="M229" i="53"/>
  <c r="M230" i="53"/>
  <c r="L201" i="53"/>
  <c r="L202" i="53"/>
  <c r="L203" i="53"/>
  <c r="L204" i="53"/>
  <c r="L205" i="53"/>
  <c r="L206" i="53"/>
  <c r="L207" i="53"/>
  <c r="L208" i="53"/>
  <c r="L209" i="53"/>
  <c r="L210" i="53"/>
  <c r="L211" i="53"/>
  <c r="L212" i="53"/>
  <c r="L213" i="53"/>
  <c r="L214" i="53"/>
  <c r="L215" i="53"/>
  <c r="L216" i="53"/>
  <c r="L217" i="53"/>
  <c r="L218" i="53"/>
  <c r="L219" i="53"/>
  <c r="L220" i="53"/>
  <c r="L221" i="53"/>
  <c r="L222" i="53"/>
  <c r="L223" i="53"/>
  <c r="L224" i="53"/>
  <c r="L225" i="53"/>
  <c r="L226" i="53"/>
  <c r="L227" i="53"/>
  <c r="L228" i="53"/>
  <c r="L229" i="53"/>
  <c r="L230" i="53"/>
  <c r="L231" i="53"/>
  <c r="L232" i="53"/>
  <c r="L233" i="53"/>
  <c r="L234" i="53"/>
  <c r="L235" i="53"/>
  <c r="L236" i="53"/>
  <c r="L237" i="53"/>
  <c r="L238" i="53"/>
  <c r="L239" i="53"/>
  <c r="L240" i="53"/>
  <c r="L241" i="53"/>
  <c r="L242" i="53"/>
  <c r="L243" i="53"/>
  <c r="L244" i="53"/>
  <c r="L245" i="53"/>
  <c r="L246" i="53"/>
  <c r="L247" i="53"/>
  <c r="L248" i="53"/>
  <c r="L250" i="53"/>
  <c r="L252" i="53"/>
  <c r="K201" i="53"/>
  <c r="K202" i="53"/>
  <c r="K203" i="53"/>
  <c r="K204" i="53"/>
  <c r="K205" i="53"/>
  <c r="K206" i="53"/>
  <c r="K207" i="53"/>
  <c r="K208" i="53"/>
  <c r="K209" i="53"/>
  <c r="K210" i="53"/>
  <c r="K211" i="53"/>
  <c r="K212" i="53"/>
  <c r="K213" i="53"/>
  <c r="K214" i="53"/>
  <c r="K215" i="53"/>
  <c r="K216" i="53"/>
  <c r="K217" i="53"/>
  <c r="K218" i="53"/>
  <c r="K219" i="53"/>
  <c r="K220" i="53"/>
  <c r="K221" i="53"/>
  <c r="K222" i="53"/>
  <c r="K223" i="53"/>
  <c r="K224" i="53"/>
  <c r="K225" i="53"/>
  <c r="K226" i="53"/>
  <c r="K227" i="53"/>
  <c r="K228" i="53"/>
  <c r="K229" i="53"/>
  <c r="K230" i="53"/>
  <c r="K231" i="53"/>
  <c r="K232" i="53"/>
  <c r="K233" i="53"/>
  <c r="K234" i="53"/>
  <c r="K235" i="53"/>
  <c r="K236" i="53"/>
  <c r="K237" i="53"/>
  <c r="K238" i="53"/>
  <c r="K239" i="53"/>
  <c r="K240" i="53"/>
  <c r="K241" i="53"/>
  <c r="K242" i="53"/>
  <c r="K243" i="53"/>
  <c r="K244" i="53"/>
  <c r="K245" i="53"/>
  <c r="K246" i="53"/>
  <c r="K247" i="53"/>
  <c r="K248" i="53"/>
  <c r="K250" i="53"/>
  <c r="K252" i="53"/>
  <c r="C313" i="53"/>
  <c r="C312" i="53"/>
  <c r="D314" i="53"/>
  <c r="F313" i="53" l="1"/>
  <c r="J313" i="53" s="1"/>
  <c r="F314" i="53"/>
  <c r="J314" i="53" s="1"/>
  <c r="K200" i="53"/>
  <c r="M200" i="53"/>
  <c r="L200" i="53"/>
  <c r="J200" i="53"/>
  <c r="D293" i="53"/>
  <c r="K198" i="53" l="1"/>
  <c r="L198" i="53"/>
  <c r="M198" i="53"/>
  <c r="K199" i="53"/>
  <c r="L199" i="53"/>
  <c r="M199" i="53"/>
  <c r="M194" i="53" l="1"/>
  <c r="M195" i="53"/>
  <c r="M196" i="53"/>
  <c r="M197" i="53"/>
  <c r="L194" i="53"/>
  <c r="L195" i="53"/>
  <c r="L196" i="53"/>
  <c r="L197" i="53"/>
  <c r="K195" i="53"/>
  <c r="K196" i="53"/>
  <c r="K197" i="53"/>
  <c r="J197" i="53"/>
  <c r="J196" i="53"/>
  <c r="J195" i="53"/>
  <c r="J194" i="53"/>
  <c r="J138" i="53"/>
  <c r="C306" i="53"/>
  <c r="K194" i="53" l="1"/>
  <c r="W190" i="76" l="1"/>
  <c r="W191" i="76"/>
  <c r="W192" i="76"/>
  <c r="W193" i="76"/>
  <c r="W194" i="76"/>
  <c r="W195" i="76"/>
  <c r="W196" i="76"/>
  <c r="W197" i="76"/>
  <c r="W198" i="76"/>
  <c r="W199" i="76"/>
  <c r="W200" i="76"/>
  <c r="X190" i="76"/>
  <c r="X191" i="76"/>
  <c r="X192" i="76"/>
  <c r="X193" i="76"/>
  <c r="X194" i="76"/>
  <c r="X195" i="76"/>
  <c r="X196" i="76"/>
  <c r="X197" i="76"/>
  <c r="X198" i="76"/>
  <c r="X199" i="76"/>
  <c r="X200" i="76"/>
  <c r="Y190" i="76"/>
  <c r="Y191" i="76"/>
  <c r="Y192" i="76"/>
  <c r="Y193" i="76"/>
  <c r="Y194" i="76"/>
  <c r="Y195" i="76"/>
  <c r="Y196" i="76"/>
  <c r="Y197" i="76"/>
  <c r="Y198" i="76"/>
  <c r="Y199" i="76"/>
  <c r="Y200" i="76"/>
  <c r="Z190" i="76"/>
  <c r="Z191" i="76"/>
  <c r="Z192" i="76"/>
  <c r="Z193" i="76"/>
  <c r="Z194" i="76"/>
  <c r="Z195" i="76"/>
  <c r="Z196" i="76"/>
  <c r="Z197" i="76"/>
  <c r="Z198" i="76"/>
  <c r="Z199" i="76"/>
  <c r="Z200" i="76"/>
  <c r="AA190" i="76"/>
  <c r="AA191" i="76"/>
  <c r="AA192" i="76"/>
  <c r="AA193" i="76"/>
  <c r="AA194" i="76"/>
  <c r="AA195" i="76"/>
  <c r="AA196" i="76"/>
  <c r="AA197" i="76"/>
  <c r="AA198" i="76"/>
  <c r="AA199" i="76"/>
  <c r="AA200" i="76"/>
  <c r="AB190" i="76"/>
  <c r="AB191" i="76"/>
  <c r="AB192" i="76"/>
  <c r="AB193" i="76"/>
  <c r="AB194" i="76"/>
  <c r="AB195" i="76"/>
  <c r="AB196" i="76"/>
  <c r="AB197" i="76"/>
  <c r="AB198" i="76"/>
  <c r="AB199" i="76"/>
  <c r="AB200" i="76"/>
  <c r="AC190" i="76"/>
  <c r="AC191" i="76"/>
  <c r="AC192" i="76"/>
  <c r="AC193" i="76"/>
  <c r="AC194" i="76"/>
  <c r="AC195" i="76"/>
  <c r="AC196" i="76"/>
  <c r="AC197" i="76"/>
  <c r="AC198" i="76"/>
  <c r="AC199" i="76"/>
  <c r="AC200" i="76"/>
  <c r="AD190" i="76"/>
  <c r="AD191" i="76"/>
  <c r="AD192" i="76"/>
  <c r="AD193" i="76"/>
  <c r="AD194" i="76"/>
  <c r="AD195" i="76"/>
  <c r="AD196" i="76"/>
  <c r="AD197" i="76"/>
  <c r="AD198" i="76"/>
  <c r="AD199" i="76"/>
  <c r="AD200" i="76"/>
  <c r="AE190" i="76"/>
  <c r="AE191" i="76"/>
  <c r="AE192" i="76"/>
  <c r="AE193" i="76"/>
  <c r="AE194" i="76"/>
  <c r="AE195" i="76"/>
  <c r="AE196" i="76"/>
  <c r="AE197" i="76"/>
  <c r="AE198" i="76"/>
  <c r="AE199" i="76"/>
  <c r="AE200" i="76"/>
  <c r="AF200" i="76" s="1"/>
  <c r="W180" i="76"/>
  <c r="W181" i="76"/>
  <c r="X180" i="76"/>
  <c r="X181" i="76"/>
  <c r="Y180" i="76"/>
  <c r="Y181" i="76"/>
  <c r="Z180" i="76"/>
  <c r="Z181" i="76"/>
  <c r="AA180" i="76"/>
  <c r="AA181" i="76"/>
  <c r="AB180" i="76"/>
  <c r="AB181" i="76"/>
  <c r="AC180" i="76"/>
  <c r="AC181" i="76"/>
  <c r="AD180" i="76"/>
  <c r="AD181" i="76"/>
  <c r="AE180" i="76"/>
  <c r="AE181" i="76"/>
  <c r="W182" i="76"/>
  <c r="W183" i="76"/>
  <c r="X182" i="76"/>
  <c r="X183" i="76"/>
  <c r="Y182" i="76"/>
  <c r="Y183" i="76"/>
  <c r="Z182" i="76"/>
  <c r="Z183" i="76"/>
  <c r="AA182" i="76"/>
  <c r="AA183" i="76"/>
  <c r="AB182" i="76"/>
  <c r="AB183" i="76"/>
  <c r="AC182" i="76"/>
  <c r="AC183" i="76"/>
  <c r="AD182" i="76"/>
  <c r="AD183" i="76"/>
  <c r="AE182" i="76"/>
  <c r="AE183" i="76"/>
  <c r="W184" i="76"/>
  <c r="W185" i="76"/>
  <c r="X184" i="76"/>
  <c r="X185" i="76"/>
  <c r="Y184" i="76"/>
  <c r="Y185" i="76"/>
  <c r="Z184" i="76"/>
  <c r="Z185" i="76"/>
  <c r="AA184" i="76"/>
  <c r="AA185" i="76"/>
  <c r="AB184" i="76"/>
  <c r="AB185" i="76"/>
  <c r="AC184" i="76"/>
  <c r="AC185" i="76"/>
  <c r="AD184" i="76"/>
  <c r="AD185" i="76"/>
  <c r="AE184" i="76"/>
  <c r="AE185" i="76"/>
  <c r="W186" i="76"/>
  <c r="W187" i="76"/>
  <c r="X186" i="76"/>
  <c r="X187" i="76"/>
  <c r="Y186" i="76"/>
  <c r="Y187" i="76"/>
  <c r="Z186" i="76"/>
  <c r="Z187" i="76"/>
  <c r="AA186" i="76"/>
  <c r="AA187" i="76"/>
  <c r="AB186" i="76"/>
  <c r="AB187" i="76"/>
  <c r="AC186" i="76"/>
  <c r="AC187" i="76"/>
  <c r="AD186" i="76"/>
  <c r="AD187" i="76"/>
  <c r="AE186" i="76"/>
  <c r="AF186" i="76" s="1"/>
  <c r="AE187" i="76"/>
  <c r="W188" i="76"/>
  <c r="W189" i="76"/>
  <c r="X188" i="76"/>
  <c r="X189" i="76"/>
  <c r="Y188" i="76"/>
  <c r="Y189" i="76"/>
  <c r="Z188" i="76"/>
  <c r="Z189" i="76"/>
  <c r="AA188" i="76"/>
  <c r="AA189" i="76"/>
  <c r="AB188" i="76"/>
  <c r="AB189" i="76"/>
  <c r="AC188" i="76"/>
  <c r="AC189" i="76"/>
  <c r="AD188" i="76"/>
  <c r="AD189" i="76"/>
  <c r="AE188" i="76"/>
  <c r="AE189" i="76"/>
  <c r="W201" i="76"/>
  <c r="W202" i="76"/>
  <c r="X201" i="76"/>
  <c r="X202" i="76"/>
  <c r="Y201" i="76"/>
  <c r="Y202" i="76"/>
  <c r="Z201" i="76"/>
  <c r="Z202" i="76"/>
  <c r="AA201" i="76"/>
  <c r="AA202" i="76"/>
  <c r="AB201" i="76"/>
  <c r="AB202" i="76"/>
  <c r="AC201" i="76"/>
  <c r="AC202" i="76"/>
  <c r="AD201" i="76"/>
  <c r="AD202" i="76"/>
  <c r="AE201" i="76"/>
  <c r="AE202" i="76"/>
  <c r="W203" i="76"/>
  <c r="W204" i="76"/>
  <c r="X203" i="76"/>
  <c r="X204" i="76"/>
  <c r="Y203" i="76"/>
  <c r="Y204" i="76"/>
  <c r="Z203" i="76"/>
  <c r="Z204" i="76"/>
  <c r="AA203" i="76"/>
  <c r="AA204" i="76"/>
  <c r="AB203" i="76"/>
  <c r="AB204" i="76"/>
  <c r="AC203" i="76"/>
  <c r="AC204" i="76"/>
  <c r="AD203" i="76"/>
  <c r="AD204" i="76"/>
  <c r="AE203" i="76"/>
  <c r="AE204" i="76"/>
  <c r="W205" i="76"/>
  <c r="X205" i="76"/>
  <c r="Y205" i="76"/>
  <c r="Z205" i="76"/>
  <c r="AA205" i="76"/>
  <c r="AB205" i="76"/>
  <c r="AC205" i="76"/>
  <c r="AD205" i="76"/>
  <c r="AE205" i="76"/>
  <c r="D320" i="53"/>
  <c r="J73" i="53"/>
  <c r="K193" i="53"/>
  <c r="L193" i="53"/>
  <c r="M193" i="53"/>
  <c r="M187" i="53"/>
  <c r="M188" i="53"/>
  <c r="M189" i="53"/>
  <c r="M190" i="53"/>
  <c r="M191" i="53"/>
  <c r="M192" i="53"/>
  <c r="L192" i="53"/>
  <c r="K192" i="53"/>
  <c r="L187" i="53"/>
  <c r="L188" i="53"/>
  <c r="L189" i="53"/>
  <c r="L190" i="53"/>
  <c r="L191" i="53"/>
  <c r="K187" i="53"/>
  <c r="K188" i="53"/>
  <c r="K189" i="53"/>
  <c r="K190" i="53"/>
  <c r="K191" i="53"/>
  <c r="M180" i="53"/>
  <c r="M181" i="53"/>
  <c r="M182" i="53"/>
  <c r="M183" i="53"/>
  <c r="M184" i="53"/>
  <c r="M185" i="53"/>
  <c r="M186" i="53"/>
  <c r="L180" i="53"/>
  <c r="L181" i="53"/>
  <c r="L182" i="53"/>
  <c r="L183" i="53"/>
  <c r="L184" i="53"/>
  <c r="L185" i="53"/>
  <c r="L186" i="53"/>
  <c r="K180" i="53"/>
  <c r="K181" i="53"/>
  <c r="K182" i="53"/>
  <c r="K183" i="53"/>
  <c r="K184" i="53"/>
  <c r="K185" i="53"/>
  <c r="K186" i="53"/>
  <c r="J180" i="53"/>
  <c r="J181" i="53"/>
  <c r="J179" i="53"/>
  <c r="J177" i="53"/>
  <c r="C294" i="53"/>
  <c r="C297" i="53"/>
  <c r="AF195" i="76" l="1"/>
  <c r="AF192" i="76"/>
  <c r="AH193" i="76"/>
  <c r="AH190" i="76"/>
  <c r="AF196" i="76"/>
  <c r="AG192" i="76"/>
  <c r="AH194" i="76"/>
  <c r="AH197" i="76"/>
  <c r="AG200" i="76"/>
  <c r="AG196" i="76"/>
  <c r="AF199" i="76"/>
  <c r="AF191" i="76"/>
  <c r="AG197" i="76"/>
  <c r="AH198" i="76"/>
  <c r="AG193" i="76"/>
  <c r="AH199" i="76"/>
  <c r="AH196" i="76"/>
  <c r="AH195" i="76"/>
  <c r="AH200" i="76"/>
  <c r="AH192" i="76"/>
  <c r="AH191" i="76"/>
  <c r="AG199" i="76"/>
  <c r="AG191" i="76"/>
  <c r="AF194" i="76"/>
  <c r="AF180" i="76"/>
  <c r="AG198" i="76"/>
  <c r="AG190" i="76"/>
  <c r="AF193" i="76"/>
  <c r="AG195" i="76"/>
  <c r="AF198" i="76"/>
  <c r="AF190" i="76"/>
  <c r="AH180" i="76"/>
  <c r="AG194" i="76"/>
  <c r="AF197" i="76"/>
  <c r="AH183" i="76"/>
  <c r="AG181" i="76"/>
  <c r="AH182" i="76"/>
  <c r="AF182" i="76"/>
  <c r="AH186" i="76"/>
  <c r="AG185" i="76"/>
  <c r="AH181" i="76"/>
  <c r="AG183" i="76"/>
  <c r="AG180" i="76"/>
  <c r="AF184" i="76"/>
  <c r="AF181" i="76"/>
  <c r="AH187" i="76"/>
  <c r="AF183" i="76"/>
  <c r="AH202" i="76"/>
  <c r="AF188" i="76"/>
  <c r="AH185" i="76"/>
  <c r="AG182" i="76"/>
  <c r="AH184" i="76"/>
  <c r="AG186" i="76"/>
  <c r="AG184" i="76"/>
  <c r="AH188" i="76"/>
  <c r="AF185" i="76"/>
  <c r="AG189" i="76"/>
  <c r="AG202" i="76"/>
  <c r="AG187" i="76"/>
  <c r="AG188" i="76"/>
  <c r="AF202" i="76"/>
  <c r="AH189" i="76"/>
  <c r="AF187" i="76"/>
  <c r="AH201" i="76"/>
  <c r="AH205" i="76"/>
  <c r="AF189" i="76"/>
  <c r="AG201" i="76"/>
  <c r="AF205" i="76"/>
  <c r="AF203" i="76"/>
  <c r="AG204" i="76"/>
  <c r="AH204" i="76"/>
  <c r="AH203" i="76"/>
  <c r="AF201" i="76"/>
  <c r="AG203" i="76"/>
  <c r="AF204" i="76"/>
  <c r="AG205" i="76"/>
  <c r="M178" i="53"/>
  <c r="M179" i="53"/>
  <c r="L178" i="53"/>
  <c r="L179" i="53"/>
  <c r="K178" i="53"/>
  <c r="K179" i="53"/>
  <c r="C290" i="53"/>
  <c r="E312" i="53" l="1"/>
  <c r="F312" i="53" s="1"/>
  <c r="J312" i="53" s="1"/>
  <c r="D301" i="53"/>
  <c r="M170" i="53"/>
  <c r="M171" i="53"/>
  <c r="M172" i="53"/>
  <c r="M173" i="53"/>
  <c r="M174" i="53"/>
  <c r="M175" i="53"/>
  <c r="M176" i="53"/>
  <c r="M177" i="53"/>
  <c r="L170" i="53"/>
  <c r="L171" i="53"/>
  <c r="L172" i="53"/>
  <c r="L173" i="53"/>
  <c r="L174" i="53"/>
  <c r="L175" i="53"/>
  <c r="L176" i="53"/>
  <c r="L177" i="53"/>
  <c r="K170" i="53"/>
  <c r="K171" i="53"/>
  <c r="K172" i="53"/>
  <c r="K173" i="53"/>
  <c r="K174" i="53"/>
  <c r="K175" i="53"/>
  <c r="K176" i="53"/>
  <c r="K177" i="53"/>
  <c r="J174" i="53"/>
  <c r="J173" i="53"/>
  <c r="K166" i="53"/>
  <c r="K168" i="53" l="1"/>
  <c r="K169" i="53"/>
  <c r="M166" i="53"/>
  <c r="M167" i="53"/>
  <c r="M168" i="53"/>
  <c r="M169" i="53"/>
  <c r="L166" i="53"/>
  <c r="L167" i="53"/>
  <c r="L168" i="53"/>
  <c r="L169" i="53"/>
  <c r="J165" i="53" l="1"/>
  <c r="J69" i="53" l="1"/>
  <c r="M156" i="53"/>
  <c r="K156" i="53"/>
  <c r="M164" i="53"/>
  <c r="M165" i="53"/>
  <c r="L165" i="53"/>
  <c r="K165" i="53"/>
  <c r="M128" i="53"/>
  <c r="L128" i="53"/>
  <c r="K128" i="53"/>
  <c r="J128" i="53"/>
  <c r="D300" i="53"/>
  <c r="C302" i="53"/>
  <c r="J143" i="53" l="1"/>
  <c r="J154" i="53"/>
  <c r="J153" i="53"/>
  <c r="J148" i="53"/>
  <c r="J146" i="53"/>
  <c r="J98" i="53"/>
  <c r="J132" i="53"/>
  <c r="J129" i="53"/>
  <c r="J127" i="53"/>
  <c r="J126" i="53"/>
  <c r="J125" i="53"/>
  <c r="J124" i="53"/>
  <c r="J123" i="53"/>
  <c r="J121" i="53"/>
  <c r="J118" i="53"/>
  <c r="J117" i="53"/>
  <c r="J116" i="53"/>
  <c r="J111" i="53"/>
  <c r="J110" i="53"/>
  <c r="J106" i="53"/>
  <c r="J104" i="53"/>
  <c r="J101" i="53"/>
  <c r="J94" i="53"/>
  <c r="J90" i="53"/>
  <c r="J89" i="53"/>
  <c r="J86" i="53"/>
  <c r="J75" i="53"/>
  <c r="J68" i="53"/>
  <c r="J56" i="53"/>
  <c r="J51" i="53"/>
  <c r="J43" i="53"/>
  <c r="J160" i="53"/>
  <c r="J39" i="53"/>
  <c r="J38" i="53"/>
  <c r="J34" i="53"/>
  <c r="J32" i="53"/>
  <c r="J155" i="53"/>
  <c r="J27" i="53"/>
  <c r="J26" i="53"/>
  <c r="J25" i="53"/>
  <c r="J23" i="53"/>
  <c r="J20" i="53"/>
  <c r="J14" i="53"/>
  <c r="J10" i="53"/>
  <c r="J8" i="53"/>
  <c r="C42" i="75" l="1"/>
  <c r="C41" i="75"/>
  <c r="D290" i="53"/>
  <c r="M163" i="53" l="1"/>
  <c r="L163" i="53"/>
  <c r="L164" i="53"/>
  <c r="K163" i="53"/>
  <c r="K164" i="53"/>
  <c r="J163" i="53"/>
  <c r="J162" i="53"/>
  <c r="M46" i="53"/>
  <c r="L46" i="53"/>
  <c r="M69" i="53"/>
  <c r="L69" i="53"/>
  <c r="M48" i="53"/>
  <c r="L48" i="53"/>
  <c r="K48" i="53"/>
  <c r="M67" i="53"/>
  <c r="L67" i="53"/>
  <c r="C307" i="53"/>
  <c r="W134" i="76" l="1"/>
  <c r="X134" i="76"/>
  <c r="Y134" i="76"/>
  <c r="W175" i="76" l="1"/>
  <c r="X175" i="76"/>
  <c r="Y175" i="76"/>
  <c r="Z175" i="76"/>
  <c r="AA175" i="76"/>
  <c r="AB175" i="76"/>
  <c r="AC175" i="76"/>
  <c r="AD175" i="76"/>
  <c r="AE175" i="76"/>
  <c r="W176" i="76"/>
  <c r="X176" i="76"/>
  <c r="Y176" i="76"/>
  <c r="Z176" i="76"/>
  <c r="AA176" i="76"/>
  <c r="AB176" i="76"/>
  <c r="AC176" i="76"/>
  <c r="AD176" i="76"/>
  <c r="AE176" i="76"/>
  <c r="W177" i="76"/>
  <c r="X177" i="76"/>
  <c r="Y177" i="76"/>
  <c r="Z177" i="76"/>
  <c r="AA177" i="76"/>
  <c r="AB177" i="76"/>
  <c r="AC177" i="76"/>
  <c r="AD177" i="76"/>
  <c r="AE177" i="76"/>
  <c r="W178" i="76"/>
  <c r="X178" i="76"/>
  <c r="Y178" i="76"/>
  <c r="Z178" i="76"/>
  <c r="AA178" i="76"/>
  <c r="AB178" i="76"/>
  <c r="AC178" i="76"/>
  <c r="AD178" i="76"/>
  <c r="AE178" i="76"/>
  <c r="W179" i="76"/>
  <c r="X179" i="76"/>
  <c r="Y179" i="76"/>
  <c r="Z179" i="76"/>
  <c r="AA179" i="76"/>
  <c r="AB179" i="76"/>
  <c r="AC179" i="76"/>
  <c r="AD179" i="76"/>
  <c r="AE179" i="76"/>
  <c r="C308" i="53"/>
  <c r="AF176" i="76" l="1"/>
  <c r="AF175" i="76"/>
  <c r="AH175" i="76"/>
  <c r="AF177" i="76"/>
  <c r="AF179" i="76"/>
  <c r="AG176" i="76"/>
  <c r="AH176" i="76"/>
  <c r="AH177" i="76"/>
  <c r="AG175" i="76"/>
  <c r="AF178" i="76"/>
  <c r="AG177" i="76"/>
  <c r="AH179" i="76"/>
  <c r="AG178" i="76"/>
  <c r="AH178" i="76"/>
  <c r="AG179" i="76"/>
  <c r="M162" i="53" l="1"/>
  <c r="L162" i="53"/>
  <c r="M158" i="53"/>
  <c r="M159" i="53"/>
  <c r="M144" i="53"/>
  <c r="M161" i="53"/>
  <c r="L158" i="53"/>
  <c r="L159" i="53"/>
  <c r="L144" i="53"/>
  <c r="L161" i="53"/>
  <c r="K158" i="53"/>
  <c r="K159" i="53"/>
  <c r="K144" i="53"/>
  <c r="K161" i="53"/>
  <c r="K162" i="53"/>
  <c r="J144" i="53"/>
  <c r="K69" i="53" l="1"/>
  <c r="AB62" i="76"/>
  <c r="C291" i="53"/>
  <c r="C292" i="53"/>
  <c r="C303" i="53"/>
  <c r="M157" i="53" l="1"/>
  <c r="L157" i="53"/>
  <c r="K157" i="53"/>
  <c r="J157" i="53"/>
  <c r="J156" i="53"/>
  <c r="D63" i="75"/>
  <c r="D56" i="75"/>
  <c r="D53" i="75"/>
  <c r="D42" i="75"/>
  <c r="D43" i="75"/>
  <c r="D41" i="75"/>
  <c r="C60" i="75" l="1"/>
  <c r="C47" i="75"/>
  <c r="C16" i="75"/>
  <c r="C29" i="75"/>
  <c r="C28" i="75"/>
  <c r="W168" i="76"/>
  <c r="W169" i="76"/>
  <c r="W170" i="76"/>
  <c r="W171" i="76"/>
  <c r="X168" i="76"/>
  <c r="X169" i="76"/>
  <c r="X170" i="76"/>
  <c r="X171" i="76"/>
  <c r="Y168" i="76"/>
  <c r="Y169" i="76"/>
  <c r="Y170" i="76"/>
  <c r="Y171" i="76"/>
  <c r="Z168" i="76"/>
  <c r="Z169" i="76"/>
  <c r="Z170" i="76"/>
  <c r="Z171" i="76"/>
  <c r="AA168" i="76"/>
  <c r="AA169" i="76"/>
  <c r="AA170" i="76"/>
  <c r="AA171" i="76"/>
  <c r="AB168" i="76"/>
  <c r="AB169" i="76"/>
  <c r="AB170" i="76"/>
  <c r="AB171" i="76"/>
  <c r="AC168" i="76"/>
  <c r="AC169" i="76"/>
  <c r="AC170" i="76"/>
  <c r="AC171" i="76"/>
  <c r="AD168" i="76"/>
  <c r="AD169" i="76"/>
  <c r="AD170" i="76"/>
  <c r="AD171" i="76"/>
  <c r="AE168" i="76"/>
  <c r="AE169" i="76"/>
  <c r="AE170" i="76"/>
  <c r="AE171" i="76"/>
  <c r="W172" i="76"/>
  <c r="W173" i="76"/>
  <c r="W174" i="76"/>
  <c r="X172" i="76"/>
  <c r="X173" i="76"/>
  <c r="X174" i="76"/>
  <c r="Y172" i="76"/>
  <c r="Y173" i="76"/>
  <c r="Y174" i="76"/>
  <c r="Z172" i="76"/>
  <c r="Z173" i="76"/>
  <c r="Z174" i="76"/>
  <c r="AA172" i="76"/>
  <c r="AA173" i="76"/>
  <c r="AA174" i="76"/>
  <c r="AB172" i="76"/>
  <c r="AB173" i="76"/>
  <c r="AB174" i="76"/>
  <c r="AC172" i="76"/>
  <c r="AC173" i="76"/>
  <c r="AC174" i="76"/>
  <c r="AD172" i="76"/>
  <c r="AD173" i="76"/>
  <c r="AD174" i="76"/>
  <c r="AE172" i="76"/>
  <c r="AE173" i="76"/>
  <c r="AE174" i="76"/>
  <c r="AF174" i="76" s="1"/>
  <c r="W167" i="76"/>
  <c r="X167" i="76"/>
  <c r="Y167" i="76"/>
  <c r="Z167" i="76"/>
  <c r="AA167" i="76"/>
  <c r="AB167" i="76"/>
  <c r="AC167" i="76"/>
  <c r="AD167" i="76"/>
  <c r="AE167" i="76"/>
  <c r="AF171" i="76" l="1"/>
  <c r="AG168" i="76"/>
  <c r="AF170" i="76"/>
  <c r="AG170" i="76"/>
  <c r="AF168" i="76"/>
  <c r="AH172" i="76"/>
  <c r="AF169" i="76"/>
  <c r="AF172" i="76"/>
  <c r="AH170" i="76"/>
  <c r="AG171" i="76"/>
  <c r="AH171" i="76"/>
  <c r="AH169" i="76"/>
  <c r="AH174" i="76"/>
  <c r="AH168" i="76"/>
  <c r="AH167" i="76"/>
  <c r="AF167" i="76"/>
  <c r="AG172" i="76"/>
  <c r="AG169" i="76"/>
  <c r="AG174" i="76"/>
  <c r="AG173" i="76"/>
  <c r="AF173" i="76"/>
  <c r="AH173" i="76"/>
  <c r="AG167" i="76"/>
  <c r="L156" i="53" l="1"/>
  <c r="M143" i="53" l="1"/>
  <c r="L143" i="53"/>
  <c r="K143" i="53"/>
  <c r="C311" i="53"/>
  <c r="L83" i="53" l="1"/>
  <c r="K83" i="53"/>
  <c r="M150" i="53"/>
  <c r="L150" i="53"/>
  <c r="K150" i="53"/>
  <c r="J150" i="53"/>
  <c r="M152" i="53"/>
  <c r="M153" i="53"/>
  <c r="M154" i="53"/>
  <c r="L152" i="53"/>
  <c r="L153" i="53"/>
  <c r="L154" i="53"/>
  <c r="K152" i="53"/>
  <c r="K153" i="53"/>
  <c r="K154" i="53"/>
  <c r="C310" i="53"/>
  <c r="G322" i="53" l="1"/>
  <c r="M149" i="53" l="1"/>
  <c r="L149" i="53"/>
  <c r="K149" i="53"/>
  <c r="W269" i="76" l="1"/>
  <c r="X269" i="76"/>
  <c r="Y269" i="76"/>
  <c r="Z269" i="76"/>
  <c r="AA269" i="76"/>
  <c r="AB269" i="76"/>
  <c r="AC269" i="76"/>
  <c r="AD269" i="76"/>
  <c r="AE269" i="76"/>
  <c r="AF269" i="76" l="1"/>
  <c r="AH269" i="76"/>
  <c r="AG269" i="76"/>
  <c r="M151" i="53"/>
  <c r="L151" i="53"/>
  <c r="K151" i="53"/>
  <c r="J151" i="53"/>
  <c r="M146" i="53"/>
  <c r="M147" i="53"/>
  <c r="M148" i="53"/>
  <c r="L146" i="53"/>
  <c r="L147" i="53"/>
  <c r="L148" i="53"/>
  <c r="K146" i="53"/>
  <c r="K147" i="53"/>
  <c r="K148" i="53"/>
  <c r="J147" i="53"/>
  <c r="J145" i="53"/>
  <c r="B64" i="75" l="1"/>
  <c r="D64" i="75" s="1"/>
  <c r="B60" i="75"/>
  <c r="B57" i="75"/>
  <c r="D57" i="75" s="1"/>
  <c r="B54" i="75"/>
  <c r="D54" i="75" s="1"/>
  <c r="B51" i="75"/>
  <c r="B47" i="75"/>
  <c r="D44" i="75"/>
  <c r="C44" i="75"/>
  <c r="B44" i="75"/>
  <c r="M136" i="53" l="1"/>
  <c r="M137" i="53"/>
  <c r="M138" i="53"/>
  <c r="M139" i="53"/>
  <c r="M140" i="53"/>
  <c r="M97" i="53"/>
  <c r="M98" i="53"/>
  <c r="M141" i="53"/>
  <c r="M142" i="53"/>
  <c r="M145" i="53"/>
  <c r="L136" i="53"/>
  <c r="L137" i="53"/>
  <c r="L138" i="53"/>
  <c r="L139" i="53"/>
  <c r="L140" i="53"/>
  <c r="L97" i="53"/>
  <c r="L98" i="53"/>
  <c r="L141" i="53"/>
  <c r="L142" i="53"/>
  <c r="L145" i="53"/>
  <c r="K136" i="53"/>
  <c r="K137" i="53"/>
  <c r="K138" i="53"/>
  <c r="K139" i="53"/>
  <c r="K140" i="53"/>
  <c r="K97" i="53"/>
  <c r="K98" i="53"/>
  <c r="K141" i="53"/>
  <c r="K142" i="53"/>
  <c r="K145" i="53"/>
  <c r="C301" i="53"/>
  <c r="L88" i="53" l="1"/>
  <c r="Y266" i="76" l="1"/>
  <c r="W268" i="76" l="1"/>
  <c r="X268" i="76"/>
  <c r="Y268" i="76"/>
  <c r="Z268" i="76"/>
  <c r="AA268" i="76"/>
  <c r="AB268" i="76"/>
  <c r="AC268" i="76"/>
  <c r="AD268" i="76"/>
  <c r="AE268" i="76"/>
  <c r="AH268" i="76" l="1"/>
  <c r="AF268" i="76"/>
  <c r="AG268" i="76"/>
  <c r="E309" i="53" s="1"/>
  <c r="J97" i="53" l="1"/>
  <c r="C39" i="75" l="1"/>
  <c r="B39" i="75"/>
  <c r="D38" i="75"/>
  <c r="D37" i="75"/>
  <c r="C35" i="75"/>
  <c r="B35" i="75"/>
  <c r="D34" i="75"/>
  <c r="D33" i="75"/>
  <c r="B31" i="75"/>
  <c r="D28" i="75"/>
  <c r="D29" i="75"/>
  <c r="D30" i="75"/>
  <c r="D27" i="75"/>
  <c r="B25" i="75"/>
  <c r="D24" i="75"/>
  <c r="C25" i="75"/>
  <c r="D22" i="75"/>
  <c r="D19" i="75"/>
  <c r="D18" i="75"/>
  <c r="D15" i="75"/>
  <c r="D14" i="75"/>
  <c r="B16" i="75"/>
  <c r="D16" i="75" s="1"/>
  <c r="C11" i="75"/>
  <c r="D4" i="75"/>
  <c r="D5" i="75"/>
  <c r="D6" i="75"/>
  <c r="D7" i="75"/>
  <c r="D3" i="75"/>
  <c r="D23" i="75" l="1"/>
  <c r="D25" i="75" s="1"/>
  <c r="D20" i="75"/>
  <c r="D35" i="75"/>
  <c r="D39" i="75"/>
  <c r="D8" i="75"/>
  <c r="D31" i="75"/>
  <c r="D12" i="75"/>
  <c r="W267" i="76"/>
  <c r="X267" i="76"/>
  <c r="Y267" i="76"/>
  <c r="Z267" i="76"/>
  <c r="AA267" i="76"/>
  <c r="AB267" i="76"/>
  <c r="AC267" i="76"/>
  <c r="AD267" i="76"/>
  <c r="AE267" i="76"/>
  <c r="W266" i="76"/>
  <c r="X266" i="76"/>
  <c r="Z266" i="76"/>
  <c r="AA266" i="76"/>
  <c r="AH266" i="76" s="1"/>
  <c r="AB266" i="76"/>
  <c r="AC266" i="76"/>
  <c r="AD266" i="76"/>
  <c r="AE266" i="76"/>
  <c r="AH267" i="76" l="1"/>
  <c r="AG266" i="76"/>
  <c r="AF266" i="76"/>
  <c r="AG267" i="76"/>
  <c r="AF267" i="76"/>
  <c r="J136" i="53" l="1"/>
  <c r="G102" i="53" l="1"/>
  <c r="G284" i="53" s="1"/>
  <c r="W162" i="76" l="1"/>
  <c r="X162" i="76"/>
  <c r="Y162" i="76"/>
  <c r="Z162" i="76"/>
  <c r="AA162" i="76"/>
  <c r="AB162" i="76"/>
  <c r="AC162" i="76"/>
  <c r="AD162" i="76"/>
  <c r="AE162" i="76"/>
  <c r="W163" i="76"/>
  <c r="X163" i="76"/>
  <c r="Y163" i="76"/>
  <c r="Z163" i="76"/>
  <c r="AA163" i="76"/>
  <c r="AB163" i="76"/>
  <c r="AC163" i="76"/>
  <c r="AD163" i="76"/>
  <c r="AE163" i="76"/>
  <c r="W164" i="76"/>
  <c r="X164" i="76"/>
  <c r="Y164" i="76"/>
  <c r="Z164" i="76"/>
  <c r="AA164" i="76"/>
  <c r="AB164" i="76"/>
  <c r="AC164" i="76"/>
  <c r="AD164" i="76"/>
  <c r="AE164" i="76"/>
  <c r="W165" i="76"/>
  <c r="X165" i="76"/>
  <c r="Y165" i="76"/>
  <c r="Z165" i="76"/>
  <c r="AA165" i="76"/>
  <c r="AB165" i="76"/>
  <c r="AC165" i="76"/>
  <c r="AD165" i="76"/>
  <c r="AE165" i="76"/>
  <c r="W166" i="76"/>
  <c r="X166" i="76"/>
  <c r="Y166" i="76"/>
  <c r="Z166" i="76"/>
  <c r="AA166" i="76"/>
  <c r="AB166" i="76"/>
  <c r="AC166" i="76"/>
  <c r="AD166" i="76"/>
  <c r="AE166" i="76"/>
  <c r="M133" i="53"/>
  <c r="M134" i="53"/>
  <c r="M135" i="53"/>
  <c r="L133" i="53"/>
  <c r="L134" i="53"/>
  <c r="L135" i="53"/>
  <c r="K133" i="53"/>
  <c r="K134" i="53"/>
  <c r="K135" i="53"/>
  <c r="J134" i="53"/>
  <c r="J135" i="53"/>
  <c r="J133" i="53"/>
  <c r="AF163" i="76" l="1"/>
  <c r="AF162" i="76"/>
  <c r="AH162" i="76"/>
  <c r="AG162" i="76"/>
  <c r="AH165" i="76"/>
  <c r="AH163" i="76"/>
  <c r="AF164" i="76"/>
  <c r="AG165" i="76"/>
  <c r="AG163" i="76"/>
  <c r="AF165" i="76"/>
  <c r="AH164" i="76"/>
  <c r="AG164" i="76"/>
  <c r="AF166" i="76"/>
  <c r="AG166" i="76"/>
  <c r="AH166" i="76"/>
  <c r="F310" i="53" l="1"/>
  <c r="J310" i="53" s="1"/>
  <c r="AB130" i="76"/>
  <c r="AB129" i="76"/>
  <c r="AB80" i="76"/>
  <c r="AB79" i="76"/>
  <c r="AB3" i="76"/>
  <c r="AB4" i="76"/>
  <c r="AB5" i="76"/>
  <c r="AB6" i="76"/>
  <c r="AB7" i="76"/>
  <c r="AB8" i="76"/>
  <c r="AB9" i="76"/>
  <c r="AB10" i="76"/>
  <c r="AB11" i="76"/>
  <c r="AB12" i="76"/>
  <c r="AB13" i="76"/>
  <c r="AB14" i="76"/>
  <c r="AB15" i="76"/>
  <c r="AB16" i="76"/>
  <c r="AB17" i="76"/>
  <c r="AB18" i="76"/>
  <c r="AB19" i="76"/>
  <c r="AB20" i="76"/>
  <c r="AB21" i="76"/>
  <c r="AB22" i="76"/>
  <c r="AB23" i="76"/>
  <c r="AB24" i="76"/>
  <c r="AB25" i="76"/>
  <c r="AB26" i="76"/>
  <c r="AB27" i="76"/>
  <c r="AB28" i="76"/>
  <c r="AB29" i="76"/>
  <c r="AB30" i="76"/>
  <c r="AB31" i="76"/>
  <c r="AB32" i="76"/>
  <c r="AB33" i="76"/>
  <c r="AB34" i="76"/>
  <c r="AB35" i="76"/>
  <c r="AB36" i="76"/>
  <c r="AB37" i="76"/>
  <c r="AB38" i="76"/>
  <c r="AB39" i="76"/>
  <c r="AB40" i="76"/>
  <c r="AB41" i="76"/>
  <c r="AB42" i="76"/>
  <c r="AB43" i="76"/>
  <c r="AB44" i="76"/>
  <c r="AB45" i="76"/>
  <c r="AB46" i="76"/>
  <c r="AB47" i="76"/>
  <c r="AB48" i="76"/>
  <c r="AB49" i="76"/>
  <c r="AB50" i="76"/>
  <c r="AB51" i="76"/>
  <c r="AB52" i="76"/>
  <c r="AB53" i="76"/>
  <c r="AB54" i="76"/>
  <c r="AB55" i="76"/>
  <c r="AB56" i="76"/>
  <c r="AB57" i="76"/>
  <c r="AB58" i="76"/>
  <c r="AB59" i="76"/>
  <c r="AB60" i="76"/>
  <c r="AB61" i="76"/>
  <c r="AB63" i="76"/>
  <c r="AB64" i="76"/>
  <c r="AB65" i="76"/>
  <c r="AB66" i="76"/>
  <c r="AB67" i="76"/>
  <c r="AB68" i="76"/>
  <c r="AB69" i="76"/>
  <c r="AB70" i="76"/>
  <c r="AB71" i="76"/>
  <c r="AB72" i="76"/>
  <c r="AB73" i="76"/>
  <c r="AB74" i="76"/>
  <c r="AB75" i="76"/>
  <c r="AB76" i="76"/>
  <c r="AB77" i="76"/>
  <c r="AB78" i="76"/>
  <c r="AB82" i="76"/>
  <c r="AB83" i="76"/>
  <c r="AB84" i="76"/>
  <c r="AB85" i="76"/>
  <c r="AB86" i="76"/>
  <c r="AB87" i="76"/>
  <c r="AB88" i="76"/>
  <c r="AB89" i="76"/>
  <c r="AB90" i="76"/>
  <c r="AB91" i="76"/>
  <c r="AB92" i="76"/>
  <c r="AB93" i="76"/>
  <c r="AB94" i="76"/>
  <c r="AB95" i="76"/>
  <c r="AB96" i="76"/>
  <c r="AB97" i="76"/>
  <c r="AB98" i="76"/>
  <c r="AB99" i="76"/>
  <c r="AB100" i="76"/>
  <c r="AB101" i="76"/>
  <c r="AB102" i="76"/>
  <c r="AB103" i="76"/>
  <c r="AB104" i="76"/>
  <c r="AB105" i="76"/>
  <c r="AB106" i="76"/>
  <c r="AB107" i="76"/>
  <c r="AB108" i="76"/>
  <c r="AB109" i="76"/>
  <c r="AB110" i="76"/>
  <c r="AB111" i="76"/>
  <c r="AB112" i="76"/>
  <c r="AB113" i="76"/>
  <c r="AB114" i="76"/>
  <c r="AB115" i="76"/>
  <c r="AB116" i="76"/>
  <c r="AB117" i="76"/>
  <c r="AB118" i="76"/>
  <c r="AB119" i="76"/>
  <c r="AB120" i="76"/>
  <c r="AB121" i="76"/>
  <c r="AB123" i="76"/>
  <c r="AB124" i="76"/>
  <c r="AB125" i="76"/>
  <c r="AB126" i="76"/>
  <c r="AB127" i="76"/>
  <c r="AB128" i="76"/>
  <c r="AB131" i="76"/>
  <c r="AB132" i="76"/>
  <c r="AB133" i="76"/>
  <c r="AB134" i="76"/>
  <c r="AB135" i="76"/>
  <c r="AB136" i="76"/>
  <c r="AB137" i="76"/>
  <c r="AB138" i="76"/>
  <c r="AB139" i="76"/>
  <c r="AB140" i="76"/>
  <c r="AB141" i="76"/>
  <c r="AB142" i="76"/>
  <c r="AB143" i="76"/>
  <c r="AB144" i="76"/>
  <c r="AB145" i="76"/>
  <c r="AB146" i="76"/>
  <c r="AB147" i="76"/>
  <c r="AB148" i="76"/>
  <c r="AB149" i="76"/>
  <c r="AB150" i="76"/>
  <c r="AB151" i="76"/>
  <c r="AB152" i="76"/>
  <c r="AB153" i="76"/>
  <c r="AB154" i="76"/>
  <c r="AB155" i="76"/>
  <c r="AB156" i="76"/>
  <c r="AB157" i="76"/>
  <c r="AB158" i="76"/>
  <c r="AB159" i="76"/>
  <c r="AB160" i="76"/>
  <c r="AB161" i="76"/>
  <c r="AD3" i="76"/>
  <c r="AD4" i="76"/>
  <c r="AD5" i="76"/>
  <c r="AD6" i="76"/>
  <c r="AD7" i="76"/>
  <c r="AD8" i="76"/>
  <c r="AD9" i="76"/>
  <c r="AD10" i="76"/>
  <c r="AD11" i="76"/>
  <c r="AD12" i="76"/>
  <c r="AD13" i="76"/>
  <c r="AD14" i="76"/>
  <c r="AD15" i="76"/>
  <c r="AD16" i="76"/>
  <c r="AD17" i="76"/>
  <c r="AD18" i="76"/>
  <c r="AD19" i="76"/>
  <c r="AD20" i="76"/>
  <c r="AD21" i="76"/>
  <c r="AD22" i="76"/>
  <c r="AD23" i="76"/>
  <c r="AD24" i="76"/>
  <c r="AD25" i="76"/>
  <c r="AD26" i="76"/>
  <c r="AD27" i="76"/>
  <c r="AD28" i="76"/>
  <c r="AD29" i="76"/>
  <c r="AD30" i="76"/>
  <c r="AD31" i="76"/>
  <c r="AD32" i="76"/>
  <c r="AD33" i="76"/>
  <c r="AD34" i="76"/>
  <c r="AD35" i="76"/>
  <c r="AD36" i="76"/>
  <c r="AD37" i="76"/>
  <c r="AD38" i="76"/>
  <c r="AD39" i="76"/>
  <c r="AD40" i="76"/>
  <c r="AD41" i="76"/>
  <c r="AD42" i="76"/>
  <c r="AD43" i="76"/>
  <c r="AD44" i="76"/>
  <c r="AD45" i="76"/>
  <c r="AD46" i="76"/>
  <c r="AD47" i="76"/>
  <c r="AD48" i="76"/>
  <c r="AD49" i="76"/>
  <c r="AD50" i="76"/>
  <c r="AD51" i="76"/>
  <c r="AD52" i="76"/>
  <c r="AD53" i="76"/>
  <c r="AD54" i="76"/>
  <c r="AD55" i="76"/>
  <c r="AD56" i="76"/>
  <c r="AD57" i="76"/>
  <c r="AD58" i="76"/>
  <c r="AD59" i="76"/>
  <c r="AD60" i="76"/>
  <c r="AD61" i="76"/>
  <c r="AD62" i="76"/>
  <c r="AD63" i="76"/>
  <c r="AD64" i="76"/>
  <c r="AD65" i="76"/>
  <c r="AD66" i="76"/>
  <c r="AD67" i="76"/>
  <c r="AD68" i="76"/>
  <c r="AD69" i="76"/>
  <c r="AD70" i="76"/>
  <c r="AD71" i="76"/>
  <c r="AD72" i="76"/>
  <c r="AD73" i="76"/>
  <c r="AD74" i="76"/>
  <c r="AD75" i="76"/>
  <c r="AD76" i="76"/>
  <c r="AD77" i="76"/>
  <c r="AD78" i="76"/>
  <c r="AD79" i="76"/>
  <c r="AD80" i="76"/>
  <c r="AD81" i="76"/>
  <c r="AD82" i="76"/>
  <c r="AD83" i="76"/>
  <c r="AD84" i="76"/>
  <c r="AD85" i="76"/>
  <c r="AD86" i="76"/>
  <c r="AD87" i="76"/>
  <c r="AD88" i="76"/>
  <c r="AD89" i="76"/>
  <c r="AD90" i="76"/>
  <c r="AD91" i="76"/>
  <c r="AD92" i="76"/>
  <c r="AD93" i="76"/>
  <c r="AD94" i="76"/>
  <c r="AD95" i="76"/>
  <c r="AD96" i="76"/>
  <c r="AD97" i="76"/>
  <c r="AD98" i="76"/>
  <c r="AD99" i="76"/>
  <c r="AD100" i="76"/>
  <c r="AD101" i="76"/>
  <c r="AD102" i="76"/>
  <c r="AD103" i="76"/>
  <c r="AD104" i="76"/>
  <c r="AD105" i="76"/>
  <c r="AD106" i="76"/>
  <c r="AD107" i="76"/>
  <c r="AD108" i="76"/>
  <c r="AD109" i="76"/>
  <c r="AD110" i="76"/>
  <c r="AD111" i="76"/>
  <c r="AD112" i="76"/>
  <c r="AD113" i="76"/>
  <c r="AD114" i="76"/>
  <c r="AD115" i="76"/>
  <c r="AD116" i="76"/>
  <c r="AD117" i="76"/>
  <c r="AD118" i="76"/>
  <c r="AD119" i="76"/>
  <c r="AD120" i="76"/>
  <c r="AD121" i="76"/>
  <c r="AD123" i="76"/>
  <c r="AD124" i="76"/>
  <c r="AD125" i="76"/>
  <c r="AD126" i="76"/>
  <c r="AD127" i="76"/>
  <c r="AD128" i="76"/>
  <c r="AD129" i="76"/>
  <c r="AD130" i="76"/>
  <c r="AD131" i="76"/>
  <c r="AD132" i="76"/>
  <c r="AD133" i="76"/>
  <c r="AD134" i="76"/>
  <c r="AD135" i="76"/>
  <c r="AD136" i="76"/>
  <c r="AD137" i="76"/>
  <c r="AD138" i="76"/>
  <c r="AD139" i="76"/>
  <c r="AD140" i="76"/>
  <c r="AD141" i="76"/>
  <c r="AD142" i="76"/>
  <c r="AD143" i="76"/>
  <c r="AD144" i="76"/>
  <c r="AD145" i="76"/>
  <c r="AD146" i="76"/>
  <c r="AD147" i="76"/>
  <c r="AD148" i="76"/>
  <c r="AD149" i="76"/>
  <c r="AD150" i="76"/>
  <c r="AD151" i="76"/>
  <c r="AD152" i="76"/>
  <c r="AD153" i="76"/>
  <c r="AD154" i="76"/>
  <c r="AD155" i="76"/>
  <c r="AD156" i="76"/>
  <c r="AD157" i="76"/>
  <c r="AD158" i="76"/>
  <c r="AD159" i="76"/>
  <c r="AD160" i="76"/>
  <c r="AD161" i="76"/>
  <c r="AC3" i="76"/>
  <c r="AC4" i="76"/>
  <c r="AC5" i="76"/>
  <c r="AC6" i="76"/>
  <c r="AC7" i="76"/>
  <c r="AC8" i="76"/>
  <c r="AC9" i="76"/>
  <c r="AC10" i="76"/>
  <c r="AC11" i="76"/>
  <c r="AC12" i="76"/>
  <c r="AC13" i="76"/>
  <c r="AC14" i="76"/>
  <c r="AC15" i="76"/>
  <c r="AC16" i="76"/>
  <c r="AC17" i="76"/>
  <c r="AC18" i="76"/>
  <c r="AC19" i="76"/>
  <c r="AC20" i="76"/>
  <c r="AC21" i="76"/>
  <c r="AC22" i="76"/>
  <c r="AC23" i="76"/>
  <c r="AC24" i="76"/>
  <c r="AC25" i="76"/>
  <c r="AC26" i="76"/>
  <c r="AC27" i="76"/>
  <c r="AC28" i="76"/>
  <c r="AC29" i="76"/>
  <c r="AC30" i="76"/>
  <c r="AC31" i="76"/>
  <c r="AC32" i="76"/>
  <c r="AC33" i="76"/>
  <c r="AC34" i="76"/>
  <c r="AC35" i="76"/>
  <c r="AC36" i="76"/>
  <c r="AC37" i="76"/>
  <c r="AC38" i="76"/>
  <c r="AC39" i="76"/>
  <c r="AC40" i="76"/>
  <c r="AC41" i="76"/>
  <c r="AC42" i="76"/>
  <c r="AC43" i="76"/>
  <c r="AC44" i="76"/>
  <c r="AC45" i="76"/>
  <c r="AC46" i="76"/>
  <c r="AC47" i="76"/>
  <c r="AC48" i="76"/>
  <c r="AC49" i="76"/>
  <c r="AC50" i="76"/>
  <c r="AC51" i="76"/>
  <c r="AC52" i="76"/>
  <c r="AC53" i="76"/>
  <c r="AC54" i="76"/>
  <c r="AC55" i="76"/>
  <c r="AC56" i="76"/>
  <c r="AC57" i="76"/>
  <c r="AC58" i="76"/>
  <c r="AC59" i="76"/>
  <c r="AC60" i="76"/>
  <c r="AC61" i="76"/>
  <c r="AC62" i="76"/>
  <c r="AC63" i="76"/>
  <c r="AC64" i="76"/>
  <c r="AC65" i="76"/>
  <c r="AC66" i="76"/>
  <c r="AC67" i="76"/>
  <c r="AC68" i="76"/>
  <c r="AC69" i="76"/>
  <c r="AC70" i="76"/>
  <c r="AC71" i="76"/>
  <c r="AC72" i="76"/>
  <c r="AC73" i="76"/>
  <c r="AC74" i="76"/>
  <c r="AC75" i="76"/>
  <c r="AC76" i="76"/>
  <c r="AC77" i="76"/>
  <c r="AC78" i="76"/>
  <c r="AC79" i="76"/>
  <c r="AC80" i="76"/>
  <c r="AC81" i="76"/>
  <c r="AC82" i="76"/>
  <c r="AC83" i="76"/>
  <c r="AC84" i="76"/>
  <c r="AC85" i="76"/>
  <c r="AC86" i="76"/>
  <c r="AC87" i="76"/>
  <c r="AC88" i="76"/>
  <c r="AC89" i="76"/>
  <c r="AC90" i="76"/>
  <c r="AC91" i="76"/>
  <c r="AC92" i="76"/>
  <c r="AC93" i="76"/>
  <c r="AC94" i="76"/>
  <c r="AC95" i="76"/>
  <c r="AC96" i="76"/>
  <c r="AC97" i="76"/>
  <c r="AC98" i="76"/>
  <c r="AC99" i="76"/>
  <c r="AC100" i="76"/>
  <c r="AC101" i="76"/>
  <c r="AC102" i="76"/>
  <c r="AC103" i="76"/>
  <c r="AC104" i="76"/>
  <c r="AC105" i="76"/>
  <c r="AC106" i="76"/>
  <c r="AC107" i="76"/>
  <c r="AC108" i="76"/>
  <c r="AC109" i="76"/>
  <c r="AC110" i="76"/>
  <c r="AC111" i="76"/>
  <c r="AC112" i="76"/>
  <c r="AC113" i="76"/>
  <c r="AC114" i="76"/>
  <c r="AC115" i="76"/>
  <c r="AC116" i="76"/>
  <c r="AC117" i="76"/>
  <c r="AC118" i="76"/>
  <c r="AC119" i="76"/>
  <c r="AC120" i="76"/>
  <c r="AC121" i="76"/>
  <c r="AC123" i="76"/>
  <c r="AC124" i="76"/>
  <c r="AC125" i="76"/>
  <c r="AC126" i="76"/>
  <c r="AC127" i="76"/>
  <c r="AC128" i="76"/>
  <c r="AC129" i="76"/>
  <c r="AC130" i="76"/>
  <c r="AC131" i="76"/>
  <c r="AC132" i="76"/>
  <c r="AC133" i="76"/>
  <c r="AC134" i="76"/>
  <c r="AC135" i="76"/>
  <c r="AC136" i="76"/>
  <c r="AC137" i="76"/>
  <c r="AC138" i="76"/>
  <c r="AC139" i="76"/>
  <c r="AC140" i="76"/>
  <c r="AC141" i="76"/>
  <c r="AC142" i="76"/>
  <c r="AC143" i="76"/>
  <c r="AC144" i="76"/>
  <c r="AC145" i="76"/>
  <c r="AC146" i="76"/>
  <c r="AC147" i="76"/>
  <c r="AC148" i="76"/>
  <c r="AC149" i="76"/>
  <c r="AC150" i="76"/>
  <c r="AC151" i="76"/>
  <c r="AC152" i="76"/>
  <c r="AC153" i="76"/>
  <c r="AC154" i="76"/>
  <c r="AC155" i="76"/>
  <c r="AC156" i="76"/>
  <c r="AC157" i="76"/>
  <c r="AC158" i="76"/>
  <c r="AC159" i="76"/>
  <c r="AC160" i="76"/>
  <c r="AC161" i="76"/>
  <c r="AB122" i="76" l="1"/>
  <c r="M83" i="53"/>
  <c r="M131" i="53"/>
  <c r="M132" i="53"/>
  <c r="L131" i="53"/>
  <c r="L132" i="53"/>
  <c r="K131" i="53"/>
  <c r="K132" i="53"/>
  <c r="J131" i="53"/>
  <c r="J83" i="53"/>
  <c r="D296" i="53"/>
  <c r="AD122" i="76" l="1"/>
  <c r="AC122" i="76"/>
  <c r="G285" i="53" l="1"/>
  <c r="L70" i="53"/>
  <c r="L55" i="53"/>
  <c r="E295" i="53" l="1"/>
  <c r="E320" i="53"/>
  <c r="Y3" i="76" l="1"/>
  <c r="Y4" i="76"/>
  <c r="Y5" i="76"/>
  <c r="Y6" i="76"/>
  <c r="Y7" i="76"/>
  <c r="Y8" i="76"/>
  <c r="Y9" i="76"/>
  <c r="Y10" i="76"/>
  <c r="Y11" i="76"/>
  <c r="Y12" i="76"/>
  <c r="Y13" i="76"/>
  <c r="Y14" i="76"/>
  <c r="Y15" i="76"/>
  <c r="Y16" i="76"/>
  <c r="Y17" i="76"/>
  <c r="Y18" i="76"/>
  <c r="Y19" i="76"/>
  <c r="Y20" i="76"/>
  <c r="Y21" i="76"/>
  <c r="Y22" i="76"/>
  <c r="Y23" i="76"/>
  <c r="Y24" i="76"/>
  <c r="Y25" i="76"/>
  <c r="Y26" i="76"/>
  <c r="Y27" i="76"/>
  <c r="Y28" i="76"/>
  <c r="Y29" i="76"/>
  <c r="Y30" i="76"/>
  <c r="Y31" i="76"/>
  <c r="Y32" i="76"/>
  <c r="Y33" i="76"/>
  <c r="Y34" i="76"/>
  <c r="Y35" i="76"/>
  <c r="Y36" i="76"/>
  <c r="Y37" i="76"/>
  <c r="Y38" i="76"/>
  <c r="Y39" i="76"/>
  <c r="Y40" i="76"/>
  <c r="Y41" i="76"/>
  <c r="Y42" i="76"/>
  <c r="Y43" i="76"/>
  <c r="Y44" i="76"/>
  <c r="Y45" i="76"/>
  <c r="Y46" i="76"/>
  <c r="Y47" i="76"/>
  <c r="Y48" i="76"/>
  <c r="Y49" i="76"/>
  <c r="Y50" i="76"/>
  <c r="Y51" i="76"/>
  <c r="Y52" i="76"/>
  <c r="Y53" i="76"/>
  <c r="Y54" i="76"/>
  <c r="Y55" i="76"/>
  <c r="Y56" i="76"/>
  <c r="Y57" i="76"/>
  <c r="Y58" i="76"/>
  <c r="Y59" i="76"/>
  <c r="Y60" i="76"/>
  <c r="Y61" i="76"/>
  <c r="Y62" i="76"/>
  <c r="Y63" i="76"/>
  <c r="Y64" i="76"/>
  <c r="Y65" i="76"/>
  <c r="Y66" i="76"/>
  <c r="Y67" i="76"/>
  <c r="Y68" i="76"/>
  <c r="Y69" i="76"/>
  <c r="Y70" i="76"/>
  <c r="Y71" i="76"/>
  <c r="Y72" i="76"/>
  <c r="Y73" i="76"/>
  <c r="Y74" i="76"/>
  <c r="Y75" i="76"/>
  <c r="Y76" i="76"/>
  <c r="Y77" i="76"/>
  <c r="Y78" i="76"/>
  <c r="Y79" i="76"/>
  <c r="Y80" i="76"/>
  <c r="Y81" i="76"/>
  <c r="Y82" i="76"/>
  <c r="Y83" i="76"/>
  <c r="Y84" i="76"/>
  <c r="Y85" i="76"/>
  <c r="Y86" i="76"/>
  <c r="Y87" i="76"/>
  <c r="Y88" i="76"/>
  <c r="Y89" i="76"/>
  <c r="Y90" i="76"/>
  <c r="Y91" i="76"/>
  <c r="Y92" i="76"/>
  <c r="Y93" i="76"/>
  <c r="Y94" i="76"/>
  <c r="Y95" i="76"/>
  <c r="Y96" i="76"/>
  <c r="Y97" i="76"/>
  <c r="Y98" i="76"/>
  <c r="Y99" i="76"/>
  <c r="Y100" i="76"/>
  <c r="Y101" i="76"/>
  <c r="Y102" i="76"/>
  <c r="Y103" i="76"/>
  <c r="Y104" i="76"/>
  <c r="Y105" i="76"/>
  <c r="Y106" i="76"/>
  <c r="Y107" i="76"/>
  <c r="Y108" i="76"/>
  <c r="Y109" i="76"/>
  <c r="Y110" i="76"/>
  <c r="Y111" i="76"/>
  <c r="Y112" i="76"/>
  <c r="Y113" i="76"/>
  <c r="Y114" i="76"/>
  <c r="Y115" i="76"/>
  <c r="Y116" i="76"/>
  <c r="Y117" i="76"/>
  <c r="Y118" i="76"/>
  <c r="Y119" i="76"/>
  <c r="Y120" i="76"/>
  <c r="Y121" i="76"/>
  <c r="Y122" i="76"/>
  <c r="Y123" i="76"/>
  <c r="Y124" i="76"/>
  <c r="Y125" i="76"/>
  <c r="Y126" i="76"/>
  <c r="Y127" i="76"/>
  <c r="Y128" i="76"/>
  <c r="Y129" i="76"/>
  <c r="Y130" i="76"/>
  <c r="Y131" i="76"/>
  <c r="Y132" i="76"/>
  <c r="Y133" i="76"/>
  <c r="Y135" i="76"/>
  <c r="Y136" i="76"/>
  <c r="Y137" i="76"/>
  <c r="Y138" i="76"/>
  <c r="Y139" i="76"/>
  <c r="Y140" i="76"/>
  <c r="Y141" i="76"/>
  <c r="Y142" i="76"/>
  <c r="Y143" i="76"/>
  <c r="Y144" i="76"/>
  <c r="Y145" i="76"/>
  <c r="Y146" i="76"/>
  <c r="Y147" i="76"/>
  <c r="Y148" i="76"/>
  <c r="Y149" i="76"/>
  <c r="Y150" i="76"/>
  <c r="Y151" i="76"/>
  <c r="Y152" i="76"/>
  <c r="Y153" i="76"/>
  <c r="Y154" i="76"/>
  <c r="Y155" i="76"/>
  <c r="Y156" i="76"/>
  <c r="Y157" i="76"/>
  <c r="Y158" i="76"/>
  <c r="Y159" i="76"/>
  <c r="Y160" i="76"/>
  <c r="Y161" i="76"/>
  <c r="W160" i="76" l="1"/>
  <c r="W161" i="76"/>
  <c r="X160" i="76"/>
  <c r="X161" i="76"/>
  <c r="Z160" i="76"/>
  <c r="Z161" i="76"/>
  <c r="AA160" i="76"/>
  <c r="AA161" i="76"/>
  <c r="AE160" i="76"/>
  <c r="AE161" i="76"/>
  <c r="L119" i="53"/>
  <c r="L117" i="53"/>
  <c r="L118" i="53"/>
  <c r="L120" i="53"/>
  <c r="L121" i="53"/>
  <c r="L122" i="53"/>
  <c r="L123" i="53"/>
  <c r="L124" i="53"/>
  <c r="L125" i="53"/>
  <c r="L126" i="53"/>
  <c r="L127" i="53"/>
  <c r="L129" i="53"/>
  <c r="L130" i="53"/>
  <c r="M129" i="53"/>
  <c r="M130" i="53"/>
  <c r="K129" i="53"/>
  <c r="M123" i="53"/>
  <c r="M124" i="53"/>
  <c r="M125" i="53"/>
  <c r="M126" i="53"/>
  <c r="M127" i="53"/>
  <c r="K123" i="53"/>
  <c r="K124" i="53"/>
  <c r="K125" i="53"/>
  <c r="K126" i="53"/>
  <c r="K127" i="53"/>
  <c r="AF160" i="76" l="1"/>
  <c r="AH161" i="76"/>
  <c r="AH160" i="76"/>
  <c r="AF161" i="76"/>
  <c r="L24" i="53" l="1"/>
  <c r="L4" i="53"/>
  <c r="L5" i="53"/>
  <c r="L6" i="53"/>
  <c r="L7" i="53"/>
  <c r="L8" i="53"/>
  <c r="L9" i="53"/>
  <c r="L10" i="53"/>
  <c r="L11" i="53"/>
  <c r="L12" i="53"/>
  <c r="L13" i="53"/>
  <c r="L14" i="53"/>
  <c r="L15" i="53"/>
  <c r="L16" i="53"/>
  <c r="L17" i="53"/>
  <c r="L18" i="53"/>
  <c r="L19" i="53"/>
  <c r="L20" i="53"/>
  <c r="L21" i="53"/>
  <c r="L22" i="53"/>
  <c r="L23" i="53"/>
  <c r="L25" i="53"/>
  <c r="L26" i="53"/>
  <c r="L27" i="53"/>
  <c r="L28" i="53"/>
  <c r="L29" i="53"/>
  <c r="L30" i="53"/>
  <c r="L155" i="53"/>
  <c r="L32" i="53"/>
  <c r="L33" i="53"/>
  <c r="L34" i="53"/>
  <c r="L35" i="53"/>
  <c r="L36" i="53"/>
  <c r="L37" i="53"/>
  <c r="L38" i="53"/>
  <c r="L39" i="53"/>
  <c r="L160" i="53"/>
  <c r="L41" i="53"/>
  <c r="L42" i="53"/>
  <c r="L43" i="53"/>
  <c r="L44" i="53"/>
  <c r="L45" i="53"/>
  <c r="L31" i="53"/>
  <c r="L47" i="53"/>
  <c r="L40" i="53"/>
  <c r="L49" i="53"/>
  <c r="L50" i="53"/>
  <c r="L51" i="53"/>
  <c r="L52" i="53"/>
  <c r="L53" i="53"/>
  <c r="L54" i="53"/>
  <c r="L56" i="53"/>
  <c r="L57" i="53"/>
  <c r="L58" i="53"/>
  <c r="L59" i="53"/>
  <c r="L60" i="53"/>
  <c r="L61" i="53"/>
  <c r="L62" i="53"/>
  <c r="L63" i="53"/>
  <c r="L64" i="53"/>
  <c r="L65" i="53"/>
  <c r="L71" i="53"/>
  <c r="L72" i="53"/>
  <c r="L73" i="53"/>
  <c r="L74" i="53"/>
  <c r="L68" i="53"/>
  <c r="L75" i="53"/>
  <c r="L76" i="53"/>
  <c r="L77" i="53"/>
  <c r="L78" i="53"/>
  <c r="L79" i="53"/>
  <c r="L80" i="53"/>
  <c r="L81" i="53"/>
  <c r="L84" i="53"/>
  <c r="L85" i="53"/>
  <c r="L86" i="53"/>
  <c r="L87" i="53"/>
  <c r="L89" i="53"/>
  <c r="L90" i="53"/>
  <c r="L91" i="53"/>
  <c r="L92" i="53"/>
  <c r="L94" i="53"/>
  <c r="L95" i="53"/>
  <c r="L96" i="53"/>
  <c r="L82" i="53"/>
  <c r="L93" i="53"/>
  <c r="L99" i="53"/>
  <c r="L101" i="53"/>
  <c r="L102" i="53"/>
  <c r="L103" i="53"/>
  <c r="L104" i="53"/>
  <c r="L105" i="53"/>
  <c r="L106" i="53"/>
  <c r="L107" i="53"/>
  <c r="L108" i="53"/>
  <c r="L109" i="53"/>
  <c r="L110" i="53"/>
  <c r="L111" i="53"/>
  <c r="L112" i="53"/>
  <c r="L113" i="53"/>
  <c r="L114" i="53"/>
  <c r="L115" i="53"/>
  <c r="L116" i="53"/>
  <c r="L3" i="53"/>
  <c r="L284" i="53" l="1"/>
  <c r="C320" i="53" s="1"/>
  <c r="X159" i="76"/>
  <c r="W159" i="76"/>
  <c r="Z159" i="76"/>
  <c r="AA159" i="76"/>
  <c r="AE159" i="76"/>
  <c r="W156" i="76"/>
  <c r="W157" i="76"/>
  <c r="W158" i="76"/>
  <c r="Z156" i="76"/>
  <c r="Z157" i="76"/>
  <c r="Z158" i="76"/>
  <c r="AA156" i="76"/>
  <c r="AA157" i="76"/>
  <c r="AA158" i="76"/>
  <c r="AE156" i="76"/>
  <c r="AE157" i="76"/>
  <c r="AE158" i="76"/>
  <c r="X156" i="76"/>
  <c r="X157" i="76"/>
  <c r="X158" i="76"/>
  <c r="W3" i="76"/>
  <c r="W4" i="76"/>
  <c r="W5" i="76"/>
  <c r="W6" i="76"/>
  <c r="W7" i="76"/>
  <c r="W8" i="76"/>
  <c r="W9" i="76"/>
  <c r="W10" i="76"/>
  <c r="W11" i="76"/>
  <c r="W12" i="76"/>
  <c r="W13" i="76"/>
  <c r="W14" i="76"/>
  <c r="W15" i="76"/>
  <c r="W16" i="76"/>
  <c r="W17" i="76"/>
  <c r="W18" i="76"/>
  <c r="W19" i="76"/>
  <c r="W20" i="76"/>
  <c r="W21" i="76"/>
  <c r="W22" i="76"/>
  <c r="W23" i="76"/>
  <c r="W24" i="76"/>
  <c r="W25" i="76"/>
  <c r="W26" i="76"/>
  <c r="W27" i="76"/>
  <c r="W28" i="76"/>
  <c r="W29" i="76"/>
  <c r="W30" i="76"/>
  <c r="W31" i="76"/>
  <c r="W32" i="76"/>
  <c r="W33" i="76"/>
  <c r="W34" i="76"/>
  <c r="W35" i="76"/>
  <c r="W36" i="76"/>
  <c r="W37" i="76"/>
  <c r="W38" i="76"/>
  <c r="W39" i="76"/>
  <c r="W40" i="76"/>
  <c r="W41" i="76"/>
  <c r="W42" i="76"/>
  <c r="W43" i="76"/>
  <c r="W44" i="76"/>
  <c r="W45" i="76"/>
  <c r="W46" i="76"/>
  <c r="W47" i="76"/>
  <c r="W48" i="76"/>
  <c r="W49" i="76"/>
  <c r="W50" i="76"/>
  <c r="W51" i="76"/>
  <c r="W52" i="76"/>
  <c r="W53" i="76"/>
  <c r="W54" i="76"/>
  <c r="W55" i="76"/>
  <c r="W56" i="76"/>
  <c r="W57" i="76"/>
  <c r="W58" i="76"/>
  <c r="W59" i="76"/>
  <c r="W60" i="76"/>
  <c r="W61" i="76"/>
  <c r="W62" i="76"/>
  <c r="W63" i="76"/>
  <c r="W64" i="76"/>
  <c r="W65" i="76"/>
  <c r="W66" i="76"/>
  <c r="W67" i="76"/>
  <c r="W68" i="76"/>
  <c r="W69" i="76"/>
  <c r="W70" i="76"/>
  <c r="W71" i="76"/>
  <c r="W72" i="76"/>
  <c r="W73" i="76"/>
  <c r="W74" i="76"/>
  <c r="W75" i="76"/>
  <c r="W76" i="76"/>
  <c r="W77" i="76"/>
  <c r="W78" i="76"/>
  <c r="W79" i="76"/>
  <c r="W80" i="76"/>
  <c r="W81" i="76"/>
  <c r="W82" i="76"/>
  <c r="W83" i="76"/>
  <c r="W84" i="76"/>
  <c r="W85" i="76"/>
  <c r="W86" i="76"/>
  <c r="W87" i="76"/>
  <c r="W88" i="76"/>
  <c r="W89" i="76"/>
  <c r="W90" i="76"/>
  <c r="W91" i="76"/>
  <c r="W92" i="76"/>
  <c r="W93" i="76"/>
  <c r="W94" i="76"/>
  <c r="W95" i="76"/>
  <c r="W96" i="76"/>
  <c r="W97" i="76"/>
  <c r="W98" i="76"/>
  <c r="W99" i="76"/>
  <c r="W100" i="76"/>
  <c r="W101" i="76"/>
  <c r="W102" i="76"/>
  <c r="W103" i="76"/>
  <c r="W104" i="76"/>
  <c r="W105" i="76"/>
  <c r="W106" i="76"/>
  <c r="W107" i="76"/>
  <c r="W108" i="76"/>
  <c r="W109" i="76"/>
  <c r="W110" i="76"/>
  <c r="W111" i="76"/>
  <c r="W112" i="76"/>
  <c r="W113" i="76"/>
  <c r="W114" i="76"/>
  <c r="W115" i="76"/>
  <c r="W116" i="76"/>
  <c r="W117" i="76"/>
  <c r="W118" i="76"/>
  <c r="W119" i="76"/>
  <c r="W120" i="76"/>
  <c r="W121" i="76"/>
  <c r="W122" i="76"/>
  <c r="W123" i="76"/>
  <c r="W124" i="76"/>
  <c r="W125" i="76"/>
  <c r="W126" i="76"/>
  <c r="W127" i="76"/>
  <c r="W128" i="76"/>
  <c r="W129" i="76"/>
  <c r="W130" i="76"/>
  <c r="W131" i="76"/>
  <c r="W132" i="76"/>
  <c r="W133" i="76"/>
  <c r="W135" i="76"/>
  <c r="W136" i="76"/>
  <c r="W137" i="76"/>
  <c r="W138" i="76"/>
  <c r="W139" i="76"/>
  <c r="W140" i="76"/>
  <c r="W141" i="76"/>
  <c r="W142" i="76"/>
  <c r="W143" i="76"/>
  <c r="W144" i="76"/>
  <c r="W145" i="76"/>
  <c r="W146" i="76"/>
  <c r="W147" i="76"/>
  <c r="W148" i="76"/>
  <c r="W149" i="76"/>
  <c r="W150" i="76"/>
  <c r="W151" i="76"/>
  <c r="W152" i="76"/>
  <c r="W153" i="76"/>
  <c r="W154" i="76"/>
  <c r="X3" i="76"/>
  <c r="X4" i="76"/>
  <c r="X5" i="76"/>
  <c r="X6" i="76"/>
  <c r="X7" i="76"/>
  <c r="X8" i="76"/>
  <c r="X9" i="76"/>
  <c r="X10" i="76"/>
  <c r="X11" i="76"/>
  <c r="X12" i="76"/>
  <c r="X13" i="76"/>
  <c r="X14" i="76"/>
  <c r="X15" i="76"/>
  <c r="X16" i="76"/>
  <c r="X17" i="76"/>
  <c r="X18" i="76"/>
  <c r="X19" i="76"/>
  <c r="X20" i="76"/>
  <c r="X21" i="76"/>
  <c r="X22" i="76"/>
  <c r="X23" i="76"/>
  <c r="X24" i="76"/>
  <c r="X25" i="76"/>
  <c r="X26" i="76"/>
  <c r="X27" i="76"/>
  <c r="X28" i="76"/>
  <c r="X29" i="76"/>
  <c r="X30" i="76"/>
  <c r="X31" i="76"/>
  <c r="X32" i="76"/>
  <c r="X33" i="76"/>
  <c r="X34" i="76"/>
  <c r="X35" i="76"/>
  <c r="X36" i="76"/>
  <c r="X37" i="76"/>
  <c r="X38" i="76"/>
  <c r="X39" i="76"/>
  <c r="X40" i="76"/>
  <c r="X41" i="76"/>
  <c r="X42" i="76"/>
  <c r="X43" i="76"/>
  <c r="X44" i="76"/>
  <c r="X45" i="76"/>
  <c r="X46" i="76"/>
  <c r="X47" i="76"/>
  <c r="X48" i="76"/>
  <c r="X49" i="76"/>
  <c r="X50" i="76"/>
  <c r="X51" i="76"/>
  <c r="X52" i="76"/>
  <c r="X53" i="76"/>
  <c r="X54" i="76"/>
  <c r="X55" i="76"/>
  <c r="X56" i="76"/>
  <c r="X57" i="76"/>
  <c r="X58" i="76"/>
  <c r="X59" i="76"/>
  <c r="X60" i="76"/>
  <c r="X61" i="76"/>
  <c r="X62" i="76"/>
  <c r="X63" i="76"/>
  <c r="X64" i="76"/>
  <c r="X65" i="76"/>
  <c r="X66" i="76"/>
  <c r="X67" i="76"/>
  <c r="X68" i="76"/>
  <c r="X69" i="76"/>
  <c r="X70" i="76"/>
  <c r="X71" i="76"/>
  <c r="X72" i="76"/>
  <c r="X73" i="76"/>
  <c r="X74" i="76"/>
  <c r="X75" i="76"/>
  <c r="X76" i="76"/>
  <c r="X77" i="76"/>
  <c r="X78" i="76"/>
  <c r="X79" i="76"/>
  <c r="X80" i="76"/>
  <c r="X81" i="76"/>
  <c r="X82" i="76"/>
  <c r="X83" i="76"/>
  <c r="X84" i="76"/>
  <c r="X85" i="76"/>
  <c r="X86" i="76"/>
  <c r="X87" i="76"/>
  <c r="X88" i="76"/>
  <c r="X89" i="76"/>
  <c r="X90" i="76"/>
  <c r="X91" i="76"/>
  <c r="X92" i="76"/>
  <c r="X93" i="76"/>
  <c r="X94" i="76"/>
  <c r="X95" i="76"/>
  <c r="X96" i="76"/>
  <c r="X97" i="76"/>
  <c r="X98" i="76"/>
  <c r="X99" i="76"/>
  <c r="X100" i="76"/>
  <c r="X101" i="76"/>
  <c r="X102" i="76"/>
  <c r="X103" i="76"/>
  <c r="X104" i="76"/>
  <c r="X105" i="76"/>
  <c r="X106" i="76"/>
  <c r="X107" i="76"/>
  <c r="X108" i="76"/>
  <c r="X109" i="76"/>
  <c r="X110" i="76"/>
  <c r="X111" i="76"/>
  <c r="X112" i="76"/>
  <c r="X113" i="76"/>
  <c r="X114" i="76"/>
  <c r="X115" i="76"/>
  <c r="X116" i="76"/>
  <c r="X117" i="76"/>
  <c r="X118" i="76"/>
  <c r="X119" i="76"/>
  <c r="X120" i="76"/>
  <c r="X121" i="76"/>
  <c r="X122" i="76"/>
  <c r="X123" i="76"/>
  <c r="X124" i="76"/>
  <c r="X125" i="76"/>
  <c r="X126" i="76"/>
  <c r="X127" i="76"/>
  <c r="X128" i="76"/>
  <c r="X129" i="76"/>
  <c r="X130" i="76"/>
  <c r="X131" i="76"/>
  <c r="X132" i="76"/>
  <c r="X133" i="76"/>
  <c r="X135" i="76"/>
  <c r="X136" i="76"/>
  <c r="X137" i="76"/>
  <c r="X138" i="76"/>
  <c r="X139" i="76"/>
  <c r="X140" i="76"/>
  <c r="X141" i="76"/>
  <c r="X142" i="76"/>
  <c r="X143" i="76"/>
  <c r="X144" i="76"/>
  <c r="X145" i="76"/>
  <c r="X146" i="76"/>
  <c r="X147" i="76"/>
  <c r="X148" i="76"/>
  <c r="X149" i="76"/>
  <c r="X150" i="76"/>
  <c r="X151" i="76"/>
  <c r="X152" i="76"/>
  <c r="X153" i="76"/>
  <c r="X154" i="76"/>
  <c r="Z3" i="76"/>
  <c r="Z4" i="76"/>
  <c r="Z5" i="76"/>
  <c r="Z6" i="76"/>
  <c r="Z7" i="76"/>
  <c r="Z8" i="76"/>
  <c r="Z9" i="76"/>
  <c r="Z10" i="76"/>
  <c r="Z11" i="76"/>
  <c r="Z12" i="76"/>
  <c r="Z13" i="76"/>
  <c r="Z14" i="76"/>
  <c r="Z15" i="76"/>
  <c r="Z16" i="76"/>
  <c r="Z17" i="76"/>
  <c r="Z18" i="76"/>
  <c r="Z19" i="76"/>
  <c r="Z20" i="76"/>
  <c r="Z21" i="76"/>
  <c r="Z22" i="76"/>
  <c r="Z23" i="76"/>
  <c r="Z24" i="76"/>
  <c r="Z25" i="76"/>
  <c r="Z26" i="76"/>
  <c r="Z27" i="76"/>
  <c r="Z28" i="76"/>
  <c r="Z29" i="76"/>
  <c r="Z30" i="76"/>
  <c r="Z31" i="76"/>
  <c r="Z32" i="76"/>
  <c r="Z33" i="76"/>
  <c r="Z34" i="76"/>
  <c r="Z35" i="76"/>
  <c r="Z36" i="76"/>
  <c r="Z37" i="76"/>
  <c r="Z38" i="76"/>
  <c r="Z39" i="76"/>
  <c r="Z40" i="76"/>
  <c r="Z41" i="76"/>
  <c r="Z42" i="76"/>
  <c r="Z43" i="76"/>
  <c r="Z44" i="76"/>
  <c r="Z45" i="76"/>
  <c r="Z46" i="76"/>
  <c r="Z47" i="76"/>
  <c r="Z48" i="76"/>
  <c r="Z49" i="76"/>
  <c r="Z50" i="76"/>
  <c r="Z51" i="76"/>
  <c r="Z52" i="76"/>
  <c r="Z53" i="76"/>
  <c r="Z54" i="76"/>
  <c r="Z55" i="76"/>
  <c r="Z56" i="76"/>
  <c r="Z57" i="76"/>
  <c r="Z58" i="76"/>
  <c r="Z59" i="76"/>
  <c r="Z60" i="76"/>
  <c r="Z61" i="76"/>
  <c r="Z62" i="76"/>
  <c r="Z63" i="76"/>
  <c r="Z64" i="76"/>
  <c r="Z65" i="76"/>
  <c r="Z66" i="76"/>
  <c r="Z67" i="76"/>
  <c r="Z68" i="76"/>
  <c r="Z69" i="76"/>
  <c r="Z70" i="76"/>
  <c r="Z71" i="76"/>
  <c r="Z72" i="76"/>
  <c r="Z73" i="76"/>
  <c r="Z74" i="76"/>
  <c r="Z75" i="76"/>
  <c r="Z76" i="76"/>
  <c r="Z77" i="76"/>
  <c r="Z78" i="76"/>
  <c r="Z79" i="76"/>
  <c r="Z80" i="76"/>
  <c r="Z81" i="76"/>
  <c r="Z82" i="76"/>
  <c r="Z83" i="76"/>
  <c r="Z84" i="76"/>
  <c r="Z85" i="76"/>
  <c r="Z86" i="76"/>
  <c r="Z87" i="76"/>
  <c r="Z88" i="76"/>
  <c r="Z89" i="76"/>
  <c r="Z90" i="76"/>
  <c r="Z91" i="76"/>
  <c r="Z92" i="76"/>
  <c r="Z93" i="76"/>
  <c r="Z94" i="76"/>
  <c r="Z95" i="76"/>
  <c r="Z96" i="76"/>
  <c r="Z97" i="76"/>
  <c r="Z98" i="76"/>
  <c r="Z99" i="76"/>
  <c r="Z100" i="76"/>
  <c r="Z101" i="76"/>
  <c r="Z102" i="76"/>
  <c r="Z103" i="76"/>
  <c r="Z104" i="76"/>
  <c r="Z105" i="76"/>
  <c r="Z106" i="76"/>
  <c r="Z107" i="76"/>
  <c r="Z108" i="76"/>
  <c r="Z109" i="76"/>
  <c r="Z110" i="76"/>
  <c r="Z111" i="76"/>
  <c r="Z112" i="76"/>
  <c r="Z113" i="76"/>
  <c r="Z114" i="76"/>
  <c r="Z115" i="76"/>
  <c r="Z116" i="76"/>
  <c r="Z117" i="76"/>
  <c r="Z118" i="76"/>
  <c r="Z119" i="76"/>
  <c r="Z120" i="76"/>
  <c r="Z121" i="76"/>
  <c r="Z122" i="76"/>
  <c r="Z123" i="76"/>
  <c r="Z124" i="76"/>
  <c r="Z125" i="76"/>
  <c r="Z126" i="76"/>
  <c r="Z127" i="76"/>
  <c r="Z128" i="76"/>
  <c r="Z129" i="76"/>
  <c r="Z130" i="76"/>
  <c r="Z131" i="76"/>
  <c r="Z132" i="76"/>
  <c r="Z133" i="76"/>
  <c r="Z134" i="76"/>
  <c r="Z135" i="76"/>
  <c r="Z136" i="76"/>
  <c r="Z137" i="76"/>
  <c r="Z138" i="76"/>
  <c r="Z139" i="76"/>
  <c r="Z140" i="76"/>
  <c r="Z141" i="76"/>
  <c r="Z142" i="76"/>
  <c r="Z143" i="76"/>
  <c r="Z144" i="76"/>
  <c r="Z145" i="76"/>
  <c r="Z146" i="76"/>
  <c r="Z147" i="76"/>
  <c r="Z148" i="76"/>
  <c r="Z149" i="76"/>
  <c r="Z150" i="76"/>
  <c r="Z151" i="76"/>
  <c r="Z152" i="76"/>
  <c r="Z153" i="76"/>
  <c r="Z154" i="76"/>
  <c r="AE3" i="76"/>
  <c r="AE4" i="76"/>
  <c r="AE5" i="76"/>
  <c r="AE6" i="76"/>
  <c r="AE7" i="76"/>
  <c r="AE8" i="76"/>
  <c r="AE9" i="76"/>
  <c r="AE10" i="76"/>
  <c r="AE11" i="76"/>
  <c r="AE12" i="76"/>
  <c r="AE13" i="76"/>
  <c r="AE14" i="76"/>
  <c r="AE15" i="76"/>
  <c r="AE16" i="76"/>
  <c r="AE17" i="76"/>
  <c r="AE18" i="76"/>
  <c r="AE19" i="76"/>
  <c r="AE20" i="76"/>
  <c r="AE21" i="76"/>
  <c r="AE22" i="76"/>
  <c r="AE23" i="76"/>
  <c r="AE24" i="76"/>
  <c r="AE25" i="76"/>
  <c r="AE26" i="76"/>
  <c r="AE27" i="76"/>
  <c r="AE28" i="76"/>
  <c r="AE29" i="76"/>
  <c r="AE30" i="76"/>
  <c r="AE31" i="76"/>
  <c r="AE32" i="76"/>
  <c r="AE33" i="76"/>
  <c r="AE34" i="76"/>
  <c r="AE35" i="76"/>
  <c r="AE36" i="76"/>
  <c r="AE37" i="76"/>
  <c r="AE38" i="76"/>
  <c r="AE39" i="76"/>
  <c r="AE40" i="76"/>
  <c r="AE41" i="76"/>
  <c r="AE42" i="76"/>
  <c r="AE43" i="76"/>
  <c r="AE44" i="76"/>
  <c r="AE45" i="76"/>
  <c r="AE46" i="76"/>
  <c r="AE47" i="76"/>
  <c r="AE48" i="76"/>
  <c r="AE49" i="76"/>
  <c r="AE50" i="76"/>
  <c r="AE51" i="76"/>
  <c r="AE52" i="76"/>
  <c r="AE53" i="76"/>
  <c r="AE54" i="76"/>
  <c r="AE55" i="76"/>
  <c r="AE56" i="76"/>
  <c r="AE57" i="76"/>
  <c r="AE58" i="76"/>
  <c r="AE59" i="76"/>
  <c r="AE60" i="76"/>
  <c r="AE61" i="76"/>
  <c r="AE62" i="76"/>
  <c r="AE63" i="76"/>
  <c r="AE64" i="76"/>
  <c r="AE65" i="76"/>
  <c r="AE66" i="76"/>
  <c r="AE67" i="76"/>
  <c r="AE68" i="76"/>
  <c r="AE69" i="76"/>
  <c r="AE70" i="76"/>
  <c r="AE71" i="76"/>
  <c r="AE72" i="76"/>
  <c r="AE73" i="76"/>
  <c r="AE74" i="76"/>
  <c r="AE75" i="76"/>
  <c r="AE76" i="76"/>
  <c r="AE77" i="76"/>
  <c r="AE78" i="76"/>
  <c r="AE79" i="76"/>
  <c r="AE80" i="76"/>
  <c r="AE81" i="76"/>
  <c r="AE82" i="76"/>
  <c r="AE83" i="76"/>
  <c r="AE84" i="76"/>
  <c r="AE85" i="76"/>
  <c r="AE86" i="76"/>
  <c r="AE87" i="76"/>
  <c r="AE88" i="76"/>
  <c r="AE89" i="76"/>
  <c r="AE90" i="76"/>
  <c r="AE91" i="76"/>
  <c r="AE92" i="76"/>
  <c r="AE93" i="76"/>
  <c r="AE94" i="76"/>
  <c r="AE95" i="76"/>
  <c r="AE96" i="76"/>
  <c r="AE97" i="76"/>
  <c r="AE98" i="76"/>
  <c r="AE99" i="76"/>
  <c r="AE100" i="76"/>
  <c r="AE101" i="76"/>
  <c r="AE102" i="76"/>
  <c r="AE103" i="76"/>
  <c r="AE104" i="76"/>
  <c r="AE105" i="76"/>
  <c r="AE106" i="76"/>
  <c r="AE107" i="76"/>
  <c r="AE108" i="76"/>
  <c r="AE109" i="76"/>
  <c r="AE110" i="76"/>
  <c r="AE111" i="76"/>
  <c r="AE112" i="76"/>
  <c r="AE113" i="76"/>
  <c r="AE114" i="76"/>
  <c r="AE115" i="76"/>
  <c r="AE116" i="76"/>
  <c r="AE117" i="76"/>
  <c r="AE118" i="76"/>
  <c r="AE119" i="76"/>
  <c r="AE120" i="76"/>
  <c r="AE121" i="76"/>
  <c r="AE122" i="76"/>
  <c r="AE123" i="76"/>
  <c r="AE124" i="76"/>
  <c r="AE125" i="76"/>
  <c r="AE126" i="76"/>
  <c r="AE127" i="76"/>
  <c r="AE128" i="76"/>
  <c r="AE129" i="76"/>
  <c r="AE130" i="76"/>
  <c r="AE131" i="76"/>
  <c r="AE132" i="76"/>
  <c r="AE133" i="76"/>
  <c r="AE134" i="76"/>
  <c r="AE135" i="76"/>
  <c r="AE136" i="76"/>
  <c r="AE137" i="76"/>
  <c r="AE138" i="76"/>
  <c r="AE139" i="76"/>
  <c r="AE140" i="76"/>
  <c r="AE141" i="76"/>
  <c r="AE142" i="76"/>
  <c r="AE143" i="76"/>
  <c r="AE144" i="76"/>
  <c r="AE145" i="76"/>
  <c r="AE146" i="76"/>
  <c r="AE147" i="76"/>
  <c r="AE148" i="76"/>
  <c r="AE149" i="76"/>
  <c r="AE150" i="76"/>
  <c r="AE151" i="76"/>
  <c r="AE152" i="76"/>
  <c r="AE153" i="76"/>
  <c r="AE154" i="76"/>
  <c r="AH73" i="76"/>
  <c r="AG62" i="76" l="1"/>
  <c r="AG44" i="76"/>
  <c r="AG81" i="76"/>
  <c r="AF157" i="76"/>
  <c r="AH158" i="76"/>
  <c r="AF159" i="76"/>
  <c r="AF156" i="76"/>
  <c r="AF158" i="76"/>
  <c r="AH159" i="76"/>
  <c r="AH157" i="76"/>
  <c r="AH156" i="76"/>
  <c r="X155" i="76" l="1"/>
  <c r="Z155" i="76"/>
  <c r="W155" i="76"/>
  <c r="AE155" i="76"/>
  <c r="AA154" i="76" l="1"/>
  <c r="K115" i="53"/>
  <c r="M115" i="53"/>
  <c r="K116" i="53"/>
  <c r="M116" i="53"/>
  <c r="K117" i="53"/>
  <c r="M117" i="53"/>
  <c r="K118" i="53"/>
  <c r="M118" i="53"/>
  <c r="M119" i="53"/>
  <c r="K120" i="53"/>
  <c r="M120" i="53"/>
  <c r="K121" i="53"/>
  <c r="M121" i="53"/>
  <c r="K122" i="53"/>
  <c r="M122" i="53"/>
  <c r="AH154" i="76" l="1"/>
  <c r="AF154" i="76"/>
  <c r="AA155" i="76"/>
  <c r="AH155" i="76" l="1"/>
  <c r="AF155" i="76"/>
  <c r="AA152" i="76" l="1"/>
  <c r="AH152" i="76" s="1"/>
  <c r="AF152" i="76"/>
  <c r="AF8" i="76" l="1"/>
  <c r="AF14" i="76"/>
  <c r="AF15" i="76"/>
  <c r="AF16" i="76"/>
  <c r="AF17" i="76"/>
  <c r="AF19" i="76"/>
  <c r="AF20" i="76"/>
  <c r="AF26" i="76"/>
  <c r="AF28" i="76"/>
  <c r="AF30" i="76"/>
  <c r="AF32" i="76"/>
  <c r="AF33" i="76"/>
  <c r="AF35" i="76"/>
  <c r="AF42" i="76"/>
  <c r="AF43" i="76"/>
  <c r="AF44" i="76"/>
  <c r="AF46" i="76"/>
  <c r="AF47" i="76"/>
  <c r="AF52" i="76"/>
  <c r="AF54" i="76"/>
  <c r="AF56" i="76"/>
  <c r="AF59" i="76"/>
  <c r="AF62" i="76"/>
  <c r="AF67" i="76"/>
  <c r="AF69" i="76"/>
  <c r="AF70" i="76"/>
  <c r="AF73" i="76"/>
  <c r="AF74" i="76"/>
  <c r="AF84" i="76"/>
  <c r="AF85" i="76"/>
  <c r="AF93" i="76"/>
  <c r="AF96" i="76"/>
  <c r="AF99" i="76"/>
  <c r="AF101" i="76"/>
  <c r="AF105" i="76"/>
  <c r="AF117" i="76"/>
  <c r="AF130" i="76"/>
  <c r="AF131" i="76"/>
  <c r="AF132" i="76"/>
  <c r="AF134" i="76"/>
  <c r="AF138" i="76"/>
  <c r="AF139" i="76"/>
  <c r="AF140" i="76"/>
  <c r="AF144" i="76"/>
  <c r="AF149" i="76"/>
  <c r="AF151" i="76"/>
  <c r="AF153" i="76"/>
  <c r="AF150" i="76"/>
  <c r="AF148" i="76"/>
  <c r="AF147" i="76"/>
  <c r="AF146" i="76"/>
  <c r="AF145" i="76"/>
  <c r="AF143" i="76"/>
  <c r="AF142" i="76"/>
  <c r="AF141" i="76"/>
  <c r="AF137" i="76"/>
  <c r="AF136" i="76"/>
  <c r="AF135" i="76"/>
  <c r="AF133" i="76"/>
  <c r="AF129" i="76"/>
  <c r="AF128" i="76"/>
  <c r="AF127" i="76"/>
  <c r="AF126" i="76"/>
  <c r="AF125" i="76"/>
  <c r="AF124" i="76"/>
  <c r="AF123" i="76"/>
  <c r="AF122" i="76"/>
  <c r="AF121" i="76"/>
  <c r="AF120" i="76"/>
  <c r="AF119" i="76"/>
  <c r="AF118" i="76"/>
  <c r="AF116" i="76"/>
  <c r="AF115" i="76"/>
  <c r="AF114" i="76"/>
  <c r="AF113" i="76"/>
  <c r="AF112" i="76"/>
  <c r="AF111" i="76"/>
  <c r="AF110" i="76"/>
  <c r="AF109" i="76"/>
  <c r="AF108" i="76"/>
  <c r="AF107" i="76"/>
  <c r="AF106" i="76"/>
  <c r="AF104" i="76"/>
  <c r="AF103" i="76"/>
  <c r="AF102" i="76"/>
  <c r="AF100" i="76"/>
  <c r="AF98" i="76"/>
  <c r="AF97" i="76"/>
  <c r="AF95" i="76"/>
  <c r="AF94" i="76"/>
  <c r="AF92" i="76"/>
  <c r="AF91" i="76"/>
  <c r="AF90" i="76"/>
  <c r="AF89" i="76"/>
  <c r="AF88" i="76"/>
  <c r="AF87" i="76"/>
  <c r="AF86" i="76"/>
  <c r="AF83" i="76"/>
  <c r="AF82" i="76"/>
  <c r="AF81" i="76"/>
  <c r="AF80" i="76"/>
  <c r="AF79" i="76"/>
  <c r="AF78" i="76"/>
  <c r="AF77" i="76"/>
  <c r="AF76" i="76"/>
  <c r="AF75" i="76"/>
  <c r="AF72" i="76"/>
  <c r="AF71" i="76"/>
  <c r="AF68" i="76"/>
  <c r="AF66" i="76"/>
  <c r="AF65" i="76"/>
  <c r="AF64" i="76"/>
  <c r="AF63" i="76"/>
  <c r="AF61" i="76"/>
  <c r="AF60" i="76"/>
  <c r="AF58" i="76"/>
  <c r="AF57" i="76"/>
  <c r="AF55" i="76"/>
  <c r="AF53" i="76"/>
  <c r="AF51" i="76"/>
  <c r="AF50" i="76"/>
  <c r="AF49" i="76"/>
  <c r="AF48" i="76"/>
  <c r="AF45" i="76"/>
  <c r="AF41" i="76"/>
  <c r="AF40" i="76"/>
  <c r="AF39" i="76"/>
  <c r="AF38" i="76"/>
  <c r="AF37" i="76"/>
  <c r="AF36" i="76"/>
  <c r="AF34" i="76"/>
  <c r="AF31" i="76"/>
  <c r="AF29" i="76"/>
  <c r="AF27" i="76"/>
  <c r="AF25" i="76"/>
  <c r="AF24" i="76"/>
  <c r="AF23" i="76"/>
  <c r="AF22" i="76"/>
  <c r="AF21" i="76"/>
  <c r="AF18" i="76"/>
  <c r="AF13" i="76"/>
  <c r="AF12" i="76"/>
  <c r="AF11" i="76"/>
  <c r="AF10" i="76"/>
  <c r="AF9" i="76"/>
  <c r="AF7" i="76"/>
  <c r="AF6" i="76"/>
  <c r="AF5" i="76"/>
  <c r="AF4" i="76"/>
  <c r="AF3" i="76"/>
  <c r="AA3" i="76" l="1"/>
  <c r="AA4" i="76"/>
  <c r="AH4" i="76" s="1"/>
  <c r="AA5" i="76"/>
  <c r="AH5" i="76" s="1"/>
  <c r="AA6" i="76"/>
  <c r="AH6" i="76" s="1"/>
  <c r="AA7" i="76"/>
  <c r="AH7" i="76" s="1"/>
  <c r="AA8" i="76"/>
  <c r="AH8" i="76" s="1"/>
  <c r="AA9" i="76"/>
  <c r="AH9" i="76" s="1"/>
  <c r="AA10" i="76"/>
  <c r="AH10" i="76" s="1"/>
  <c r="AA11" i="76"/>
  <c r="AH11" i="76" s="1"/>
  <c r="AA12" i="76"/>
  <c r="AH12" i="76" s="1"/>
  <c r="AA13" i="76"/>
  <c r="AH13" i="76" s="1"/>
  <c r="AA14" i="76"/>
  <c r="AH14" i="76" s="1"/>
  <c r="AA15" i="76"/>
  <c r="AH15" i="76" s="1"/>
  <c r="AA16" i="76"/>
  <c r="AA17" i="76"/>
  <c r="AH17" i="76" s="1"/>
  <c r="AA18" i="76"/>
  <c r="AH18" i="76" s="1"/>
  <c r="AA19" i="76"/>
  <c r="AH19" i="76" s="1"/>
  <c r="AA20" i="76"/>
  <c r="AA21" i="76"/>
  <c r="AA22" i="76"/>
  <c r="AH22" i="76" s="1"/>
  <c r="AA23" i="76"/>
  <c r="AH23" i="76" s="1"/>
  <c r="AA24" i="76"/>
  <c r="AH24" i="76" s="1"/>
  <c r="AA25" i="76"/>
  <c r="AH25" i="76" s="1"/>
  <c r="AA26" i="76"/>
  <c r="AH26" i="76" s="1"/>
  <c r="AA27" i="76"/>
  <c r="AA28" i="76"/>
  <c r="AA29" i="76"/>
  <c r="AH29" i="76" s="1"/>
  <c r="AA30" i="76"/>
  <c r="AH30" i="76" s="1"/>
  <c r="AA31" i="76"/>
  <c r="AA32" i="76"/>
  <c r="AH32" i="76" s="1"/>
  <c r="AA33" i="76"/>
  <c r="AH33" i="76" s="1"/>
  <c r="AA34" i="76"/>
  <c r="AH34" i="76" s="1"/>
  <c r="AA35" i="76"/>
  <c r="AH35" i="76" s="1"/>
  <c r="AA36" i="76"/>
  <c r="AH36" i="76" s="1"/>
  <c r="AA37" i="76"/>
  <c r="AH37" i="76" s="1"/>
  <c r="AA38" i="76"/>
  <c r="AH38" i="76" s="1"/>
  <c r="AA39" i="76"/>
  <c r="AA40" i="76"/>
  <c r="AA41" i="76"/>
  <c r="AH41" i="76" s="1"/>
  <c r="AA42" i="76"/>
  <c r="AH42" i="76" s="1"/>
  <c r="AA43" i="76"/>
  <c r="AH43" i="76" s="1"/>
  <c r="AA44" i="76"/>
  <c r="AH44" i="76" s="1"/>
  <c r="AA45" i="76"/>
  <c r="AH45" i="76" s="1"/>
  <c r="AA46" i="76"/>
  <c r="AA47" i="76"/>
  <c r="AH47" i="76" s="1"/>
  <c r="AA48" i="76"/>
  <c r="AH48" i="76" s="1"/>
  <c r="AA49" i="76"/>
  <c r="AH49" i="76" s="1"/>
  <c r="AA50" i="76"/>
  <c r="AH50" i="76" s="1"/>
  <c r="AA51" i="76"/>
  <c r="AH51" i="76" s="1"/>
  <c r="AA52" i="76"/>
  <c r="AH52" i="76" s="1"/>
  <c r="AA53" i="76"/>
  <c r="AH53" i="76" s="1"/>
  <c r="AA54" i="76"/>
  <c r="AH54" i="76" s="1"/>
  <c r="AA55" i="76"/>
  <c r="AH55" i="76" s="1"/>
  <c r="AA56" i="76"/>
  <c r="AH56" i="76" s="1"/>
  <c r="AA57" i="76"/>
  <c r="AH57" i="76" s="1"/>
  <c r="AA58" i="76"/>
  <c r="AH58" i="76" s="1"/>
  <c r="AA59" i="76"/>
  <c r="AH59" i="76" s="1"/>
  <c r="AA60" i="76"/>
  <c r="AH60" i="76" s="1"/>
  <c r="AA61" i="76"/>
  <c r="AH61" i="76" s="1"/>
  <c r="AA62" i="76"/>
  <c r="AH62" i="76" s="1"/>
  <c r="AA63" i="76"/>
  <c r="AH63" i="76" s="1"/>
  <c r="AA64" i="76"/>
  <c r="AH64" i="76" s="1"/>
  <c r="AA65" i="76"/>
  <c r="AH65" i="76" s="1"/>
  <c r="AA66" i="76"/>
  <c r="AA67" i="76"/>
  <c r="AA68" i="76"/>
  <c r="AH68" i="76" s="1"/>
  <c r="AA69" i="76"/>
  <c r="AH69" i="76" s="1"/>
  <c r="AA70" i="76"/>
  <c r="AH70" i="76" s="1"/>
  <c r="AA71" i="76"/>
  <c r="AH71" i="76" s="1"/>
  <c r="AA72" i="76"/>
  <c r="AH72" i="76" s="1"/>
  <c r="AA74" i="76"/>
  <c r="AH74" i="76" s="1"/>
  <c r="AA75" i="76"/>
  <c r="AH75" i="76" s="1"/>
  <c r="AA76" i="76"/>
  <c r="AH76" i="76" s="1"/>
  <c r="AA77" i="76"/>
  <c r="AH77" i="76" s="1"/>
  <c r="AA78" i="76"/>
  <c r="AA79" i="76"/>
  <c r="AH79" i="76" s="1"/>
  <c r="AA80" i="76"/>
  <c r="AH80" i="76" s="1"/>
  <c r="AA81" i="76"/>
  <c r="AH81" i="76" s="1"/>
  <c r="AA82" i="76"/>
  <c r="AH82" i="76" s="1"/>
  <c r="AA83" i="76"/>
  <c r="AA84" i="76"/>
  <c r="AA85" i="76"/>
  <c r="AH85" i="76" s="1"/>
  <c r="AA86" i="76"/>
  <c r="AH86" i="76" s="1"/>
  <c r="AA87" i="76"/>
  <c r="AH87" i="76" s="1"/>
  <c r="AA88" i="76"/>
  <c r="AH88" i="76" s="1"/>
  <c r="AA89" i="76"/>
  <c r="AA90" i="76"/>
  <c r="AH90" i="76" s="1"/>
  <c r="AA91" i="76"/>
  <c r="AH91" i="76" s="1"/>
  <c r="AA92" i="76"/>
  <c r="AA93" i="76"/>
  <c r="AA94" i="76"/>
  <c r="AH94" i="76" s="1"/>
  <c r="AA95" i="76"/>
  <c r="AH95" i="76" s="1"/>
  <c r="AA96" i="76"/>
  <c r="AH96" i="76" s="1"/>
  <c r="AA97" i="76"/>
  <c r="AA98" i="76"/>
  <c r="AH98" i="76" s="1"/>
  <c r="AA99" i="76"/>
  <c r="AH99" i="76" s="1"/>
  <c r="AA100" i="76"/>
  <c r="AH100" i="76" s="1"/>
  <c r="AA101" i="76"/>
  <c r="AH101" i="76" s="1"/>
  <c r="AA102" i="76"/>
  <c r="AH102" i="76" s="1"/>
  <c r="AA103" i="76"/>
  <c r="AA104" i="76"/>
  <c r="AH104" i="76" s="1"/>
  <c r="AA105" i="76"/>
  <c r="AA106" i="76"/>
  <c r="AH106" i="76" s="1"/>
  <c r="AA107" i="76"/>
  <c r="AH107" i="76" s="1"/>
  <c r="AA108" i="76"/>
  <c r="AH108" i="76" s="1"/>
  <c r="AA109" i="76"/>
  <c r="AA110" i="76"/>
  <c r="AH110" i="76" s="1"/>
  <c r="AA111" i="76"/>
  <c r="AH111" i="76" s="1"/>
  <c r="AA112" i="76"/>
  <c r="AH112" i="76" s="1"/>
  <c r="AA113" i="76"/>
  <c r="AH113" i="76" s="1"/>
  <c r="AA114" i="76"/>
  <c r="AH114" i="76" s="1"/>
  <c r="AA115" i="76"/>
  <c r="AH115" i="76" s="1"/>
  <c r="AA116" i="76"/>
  <c r="AH116" i="76" s="1"/>
  <c r="AA117" i="76"/>
  <c r="AH117" i="76" s="1"/>
  <c r="AA118" i="76"/>
  <c r="AH118" i="76" s="1"/>
  <c r="AA119" i="76"/>
  <c r="AH119" i="76" s="1"/>
  <c r="AA120" i="76"/>
  <c r="AH120" i="76" s="1"/>
  <c r="AA121" i="76"/>
  <c r="AH121" i="76" s="1"/>
  <c r="AA122" i="76"/>
  <c r="AH122" i="76" s="1"/>
  <c r="AA123" i="76"/>
  <c r="AH123" i="76" s="1"/>
  <c r="AA124" i="76"/>
  <c r="AH124" i="76" s="1"/>
  <c r="AA125" i="76"/>
  <c r="AH125" i="76" s="1"/>
  <c r="AA126" i="76"/>
  <c r="AH126" i="76" s="1"/>
  <c r="AA127" i="76"/>
  <c r="AH127" i="76" s="1"/>
  <c r="AA128" i="76"/>
  <c r="AH128" i="76" s="1"/>
  <c r="AA129" i="76"/>
  <c r="AH129" i="76" s="1"/>
  <c r="AA130" i="76"/>
  <c r="AH130" i="76" s="1"/>
  <c r="AA131" i="76"/>
  <c r="AA132" i="76"/>
  <c r="AH132" i="76" s="1"/>
  <c r="AA133" i="76"/>
  <c r="AH133" i="76" s="1"/>
  <c r="AA134" i="76"/>
  <c r="AH134" i="76" s="1"/>
  <c r="AA135" i="76"/>
  <c r="AH135" i="76" s="1"/>
  <c r="AA136" i="76"/>
  <c r="AH136" i="76" s="1"/>
  <c r="AA137" i="76"/>
  <c r="AH137" i="76" s="1"/>
  <c r="AA138" i="76"/>
  <c r="AH138" i="76" s="1"/>
  <c r="AA139" i="76"/>
  <c r="AA140" i="76"/>
  <c r="AH140" i="76" s="1"/>
  <c r="AA141" i="76"/>
  <c r="AH141" i="76" s="1"/>
  <c r="AA142" i="76"/>
  <c r="AH142" i="76" s="1"/>
  <c r="AA143" i="76"/>
  <c r="AH143" i="76" s="1"/>
  <c r="AA144" i="76"/>
  <c r="AA145" i="76"/>
  <c r="AA146" i="76"/>
  <c r="AH146" i="76" s="1"/>
  <c r="AA147" i="76"/>
  <c r="AH147" i="76" s="1"/>
  <c r="AA148" i="76"/>
  <c r="AH148" i="76" s="1"/>
  <c r="AA149" i="76"/>
  <c r="AH149" i="76" s="1"/>
  <c r="AA150" i="76"/>
  <c r="AH150" i="76" s="1"/>
  <c r="AA151" i="76"/>
  <c r="AA153" i="76"/>
  <c r="AH153" i="76" s="1"/>
  <c r="AH92" i="76" l="1"/>
  <c r="AH103" i="76"/>
  <c r="AH151" i="76"/>
  <c r="AH66" i="76"/>
  <c r="AH27" i="76"/>
  <c r="AH145" i="76"/>
  <c r="AH97" i="76"/>
  <c r="AH67" i="76"/>
  <c r="AH28" i="76"/>
  <c r="AH20" i="76"/>
  <c r="AH89" i="76"/>
  <c r="AH21" i="76"/>
  <c r="AH144" i="76"/>
  <c r="AH105" i="76"/>
  <c r="AH84" i="76"/>
  <c r="AH16" i="76"/>
  <c r="AH39" i="76"/>
  <c r="AH31" i="76"/>
  <c r="AH46" i="76"/>
  <c r="AH83" i="76"/>
  <c r="AH139" i="76"/>
  <c r="AH131" i="76"/>
  <c r="AH109" i="76"/>
  <c r="AH40" i="76"/>
  <c r="AH78" i="76"/>
  <c r="AH93" i="76"/>
  <c r="AH3" i="76"/>
  <c r="G274" i="76"/>
  <c r="F274" i="76"/>
  <c r="E274" i="76"/>
  <c r="D274" i="76"/>
  <c r="E300" i="53" l="1"/>
  <c r="E296" i="53"/>
  <c r="E293" i="53"/>
  <c r="C274" i="76"/>
  <c r="K274" i="76"/>
  <c r="F295" i="53" l="1"/>
  <c r="J295" i="53" s="1"/>
  <c r="H322" i="53"/>
  <c r="K290" i="53" s="1"/>
  <c r="K155" i="53"/>
  <c r="K160" i="53"/>
  <c r="J112" i="53"/>
  <c r="K291" i="53" l="1"/>
  <c r="M155" i="53" l="1"/>
  <c r="J96" i="53" l="1"/>
  <c r="M112" i="53" l="1"/>
  <c r="M113" i="53"/>
  <c r="M114" i="53"/>
  <c r="K112" i="53"/>
  <c r="K113" i="53"/>
  <c r="K114" i="53"/>
  <c r="K110" i="53"/>
  <c r="K111" i="53"/>
  <c r="M110" i="53"/>
  <c r="M111" i="53"/>
  <c r="J28" i="53" l="1"/>
  <c r="J93" i="53"/>
  <c r="J82" i="53"/>
  <c r="J109" i="53"/>
  <c r="K84" i="53" l="1"/>
  <c r="J84" i="53"/>
  <c r="K28" i="53"/>
  <c r="J53" i="53"/>
  <c r="K18" i="53" l="1"/>
  <c r="M106" i="53" l="1"/>
  <c r="M102" i="53" l="1"/>
  <c r="K102" i="53" l="1"/>
  <c r="K101" i="53"/>
  <c r="C298" i="53"/>
  <c r="C305" i="53"/>
  <c r="F293" i="53" l="1"/>
  <c r="J293" i="53" s="1"/>
  <c r="M55" i="53"/>
  <c r="K55" i="53"/>
  <c r="J55" i="53"/>
  <c r="M107" i="53"/>
  <c r="M108" i="53"/>
  <c r="M109" i="53"/>
  <c r="K107" i="53"/>
  <c r="K108" i="53"/>
  <c r="K109" i="53"/>
  <c r="J108" i="53"/>
  <c r="J22" i="53" l="1"/>
  <c r="K22" i="53"/>
  <c r="J36" i="53"/>
  <c r="J107" i="53"/>
  <c r="M87" i="53"/>
  <c r="K87" i="53"/>
  <c r="J87" i="53"/>
  <c r="M4" i="53"/>
  <c r="M5" i="53"/>
  <c r="M6" i="53"/>
  <c r="M7" i="53"/>
  <c r="M8" i="53"/>
  <c r="M9" i="53"/>
  <c r="M10" i="53"/>
  <c r="M11" i="53"/>
  <c r="M12" i="53"/>
  <c r="M13" i="53"/>
  <c r="M14" i="53"/>
  <c r="M15" i="53"/>
  <c r="M16" i="53"/>
  <c r="M17" i="53"/>
  <c r="M18" i="53"/>
  <c r="M19" i="53"/>
  <c r="M20" i="53"/>
  <c r="M21" i="53"/>
  <c r="M22" i="53"/>
  <c r="M23" i="53"/>
  <c r="M25" i="53"/>
  <c r="M26" i="53"/>
  <c r="M27" i="53"/>
  <c r="M28" i="53"/>
  <c r="M29" i="53"/>
  <c r="M30" i="53"/>
  <c r="M33" i="53"/>
  <c r="M34" i="53"/>
  <c r="M35" i="53"/>
  <c r="M36" i="53"/>
  <c r="M37" i="53"/>
  <c r="M38" i="53"/>
  <c r="M39" i="53"/>
  <c r="M160" i="53"/>
  <c r="M41" i="53"/>
  <c r="M42" i="53"/>
  <c r="M43" i="53"/>
  <c r="M44" i="53"/>
  <c r="M45" i="53"/>
  <c r="M31" i="53"/>
  <c r="M47" i="53"/>
  <c r="M40" i="53"/>
  <c r="M49" i="53"/>
  <c r="M50" i="53"/>
  <c r="M51" i="53"/>
  <c r="M52" i="53"/>
  <c r="M53" i="53"/>
  <c r="M54" i="53"/>
  <c r="M56" i="53"/>
  <c r="M57" i="53"/>
  <c r="M58" i="53"/>
  <c r="M59" i="53"/>
  <c r="M60" i="53"/>
  <c r="M61" i="53"/>
  <c r="M62" i="53"/>
  <c r="M63" i="53"/>
  <c r="M64" i="53"/>
  <c r="M65" i="53"/>
  <c r="M66" i="53"/>
  <c r="M71" i="53"/>
  <c r="M72" i="53"/>
  <c r="M73" i="53"/>
  <c r="M74" i="53"/>
  <c r="M68" i="53"/>
  <c r="M75" i="53"/>
  <c r="M76" i="53"/>
  <c r="M77" i="53"/>
  <c r="M78" i="53"/>
  <c r="M79" i="53"/>
  <c r="M80" i="53"/>
  <c r="M81" i="53"/>
  <c r="M84" i="53"/>
  <c r="M85" i="53"/>
  <c r="M86" i="53"/>
  <c r="M88" i="53"/>
  <c r="M89" i="53"/>
  <c r="M90" i="53"/>
  <c r="M91" i="53"/>
  <c r="M92" i="53"/>
  <c r="M94" i="53"/>
  <c r="M95" i="53"/>
  <c r="M96" i="53"/>
  <c r="M82" i="53"/>
  <c r="M93" i="53"/>
  <c r="M99" i="53"/>
  <c r="M101" i="53"/>
  <c r="M103" i="53"/>
  <c r="M104" i="53"/>
  <c r="M105" i="53"/>
  <c r="K4" i="53"/>
  <c r="K5" i="53"/>
  <c r="K6" i="53"/>
  <c r="K7" i="53"/>
  <c r="K8" i="53"/>
  <c r="K9" i="53"/>
  <c r="K10" i="53"/>
  <c r="K11" i="53"/>
  <c r="K12" i="53"/>
  <c r="K13" i="53"/>
  <c r="K14" i="53"/>
  <c r="K15" i="53"/>
  <c r="K16" i="53"/>
  <c r="K17" i="53"/>
  <c r="K19" i="53"/>
  <c r="K20" i="53"/>
  <c r="K21" i="53"/>
  <c r="K23" i="53"/>
  <c r="K24" i="53"/>
  <c r="K25" i="53"/>
  <c r="K26" i="53"/>
  <c r="K27" i="53"/>
  <c r="K29" i="53"/>
  <c r="K30" i="53"/>
  <c r="K32" i="53"/>
  <c r="K33" i="53"/>
  <c r="K34" i="53"/>
  <c r="K35" i="53"/>
  <c r="K36" i="53"/>
  <c r="K37" i="53"/>
  <c r="K38" i="53"/>
  <c r="K39" i="53"/>
  <c r="K41" i="53"/>
  <c r="K42" i="53"/>
  <c r="K43" i="53"/>
  <c r="K44" i="53"/>
  <c r="K45" i="53"/>
  <c r="K31" i="53"/>
  <c r="K47" i="53"/>
  <c r="K40" i="53"/>
  <c r="K49" i="53"/>
  <c r="K50" i="53"/>
  <c r="K51" i="53"/>
  <c r="K52" i="53"/>
  <c r="K53" i="53"/>
  <c r="K54" i="53"/>
  <c r="K56" i="53"/>
  <c r="K57" i="53"/>
  <c r="K58" i="53"/>
  <c r="K59" i="53"/>
  <c r="K60" i="53"/>
  <c r="K61" i="53"/>
  <c r="K62" i="53"/>
  <c r="K63" i="53"/>
  <c r="K64" i="53"/>
  <c r="K65" i="53"/>
  <c r="K46" i="53"/>
  <c r="K67" i="53"/>
  <c r="K66" i="53"/>
  <c r="K71" i="53"/>
  <c r="K72" i="53"/>
  <c r="K74" i="53"/>
  <c r="K68" i="53"/>
  <c r="K75" i="53"/>
  <c r="K76" i="53"/>
  <c r="K77" i="53"/>
  <c r="K78" i="53"/>
  <c r="K79" i="53"/>
  <c r="K80" i="53"/>
  <c r="K81" i="53"/>
  <c r="K85" i="53"/>
  <c r="K86" i="53"/>
  <c r="K89" i="53"/>
  <c r="K90" i="53"/>
  <c r="K91" i="53"/>
  <c r="K92" i="53"/>
  <c r="K94" i="53"/>
  <c r="K95" i="53"/>
  <c r="K96" i="53"/>
  <c r="K82" i="53"/>
  <c r="K93" i="53"/>
  <c r="K99" i="53"/>
  <c r="K103" i="53"/>
  <c r="K104" i="53"/>
  <c r="K105" i="53"/>
  <c r="K106" i="53"/>
  <c r="K3" i="53"/>
  <c r="J105" i="53"/>
  <c r="K284" i="53" l="1"/>
  <c r="J103" i="53"/>
  <c r="J99" i="53" l="1"/>
  <c r="D322" i="53" l="1"/>
  <c r="J92" i="53"/>
  <c r="J88" i="53" l="1"/>
  <c r="J85" i="53"/>
  <c r="J66" i="53"/>
  <c r="J65" i="53"/>
  <c r="J37" i="53"/>
  <c r="J11" i="53"/>
  <c r="J5" i="53"/>
  <c r="J45" i="53"/>
  <c r="M3" i="53" l="1"/>
  <c r="M284" i="53" s="1"/>
  <c r="J76" i="53" l="1"/>
  <c r="J81" i="53" l="1"/>
  <c r="J78" i="53"/>
  <c r="J80" i="53" l="1"/>
  <c r="J74" i="53" l="1"/>
  <c r="J48" i="53"/>
  <c r="J67" i="53"/>
  <c r="J64" i="53"/>
  <c r="J62" i="53"/>
  <c r="J61" i="53"/>
  <c r="J60" i="53"/>
  <c r="J58" i="53"/>
  <c r="J57" i="53"/>
  <c r="J54" i="53"/>
  <c r="J52" i="53"/>
  <c r="J50" i="53"/>
  <c r="J40" i="53"/>
  <c r="J47" i="53"/>
  <c r="J31" i="53"/>
  <c r="J44" i="53"/>
  <c r="J42" i="53"/>
  <c r="J41" i="53"/>
  <c r="J35" i="53"/>
  <c r="J33" i="53"/>
  <c r="J19" i="53"/>
  <c r="J18" i="53"/>
  <c r="J17" i="53"/>
  <c r="J13" i="53"/>
  <c r="J12" i="53"/>
  <c r="J9" i="53"/>
  <c r="J6" i="53"/>
  <c r="J4" i="53"/>
  <c r="J3" i="53"/>
  <c r="J284" i="53" l="1"/>
  <c r="F320" i="53"/>
  <c r="J320" i="53" s="1"/>
  <c r="I322" i="53" l="1"/>
  <c r="C322" i="53"/>
  <c r="AG143" i="76"/>
  <c r="AG111" i="76"/>
  <c r="AG79" i="76"/>
  <c r="AG40" i="76"/>
  <c r="AG158" i="76"/>
  <c r="AG126" i="76"/>
  <c r="AG94" i="76"/>
  <c r="AG72" i="76"/>
  <c r="AG63" i="76"/>
  <c r="AG31" i="76"/>
  <c r="AG157" i="76"/>
  <c r="AG125" i="76"/>
  <c r="AG93" i="76"/>
  <c r="AG30" i="76"/>
  <c r="AG132" i="76"/>
  <c r="AG100" i="76"/>
  <c r="AG69" i="76"/>
  <c r="AG147" i="76"/>
  <c r="AG115" i="76"/>
  <c r="AG83" i="76"/>
  <c r="AG52" i="76"/>
  <c r="AG21" i="76"/>
  <c r="AG146" i="76"/>
  <c r="AG114" i="76"/>
  <c r="AG82" i="76"/>
  <c r="AG51" i="76"/>
  <c r="AG20" i="76"/>
  <c r="AG153" i="76"/>
  <c r="AG121" i="76"/>
  <c r="AG89" i="76"/>
  <c r="AG34" i="76"/>
  <c r="AG160" i="76"/>
  <c r="AG128" i="76"/>
  <c r="AG96" i="76"/>
  <c r="AG57" i="76"/>
  <c r="AG26" i="76"/>
  <c r="AG76" i="76"/>
  <c r="AG6" i="76"/>
  <c r="AG106" i="76"/>
  <c r="AG13" i="76"/>
  <c r="AG113" i="76"/>
  <c r="AG152" i="76"/>
  <c r="AG88" i="76"/>
  <c r="AG49" i="76"/>
  <c r="AG11" i="76"/>
  <c r="AG135" i="76"/>
  <c r="AG103" i="76"/>
  <c r="AG32" i="76"/>
  <c r="AG150" i="76"/>
  <c r="AG118" i="76"/>
  <c r="AG86" i="76"/>
  <c r="AG55" i="76"/>
  <c r="AG16" i="76"/>
  <c r="AG149" i="76"/>
  <c r="AG117" i="76"/>
  <c r="AG85" i="76"/>
  <c r="AG54" i="76"/>
  <c r="AG156" i="76"/>
  <c r="AG124" i="76"/>
  <c r="AG92" i="76"/>
  <c r="AG61" i="76"/>
  <c r="AG22" i="76"/>
  <c r="AG139" i="76"/>
  <c r="AG107" i="76"/>
  <c r="AG138" i="76"/>
  <c r="AG75" i="76"/>
  <c r="AG43" i="76"/>
  <c r="AG145" i="76"/>
  <c r="AG19" i="76"/>
  <c r="AG120" i="76"/>
  <c r="AG18" i="76"/>
  <c r="AG5" i="76"/>
  <c r="AG105" i="76"/>
  <c r="AG66" i="76"/>
  <c r="AG144" i="76"/>
  <c r="AG80" i="76"/>
  <c r="AG41" i="76"/>
  <c r="F296" i="53"/>
  <c r="J296" i="53" s="1"/>
  <c r="AG159" i="76"/>
  <c r="AG127" i="76"/>
  <c r="AG95" i="76"/>
  <c r="AG64" i="76"/>
  <c r="AG25" i="76"/>
  <c r="AG142" i="76"/>
  <c r="AG110" i="76"/>
  <c r="AG47" i="76"/>
  <c r="AG9" i="76"/>
  <c r="AG141" i="76"/>
  <c r="AG109" i="76"/>
  <c r="AG78" i="76"/>
  <c r="AG46" i="76"/>
  <c r="AG148" i="76"/>
  <c r="AG116" i="76"/>
  <c r="AG84" i="76"/>
  <c r="AG53" i="76"/>
  <c r="AG7" i="76"/>
  <c r="AG131" i="76"/>
  <c r="AG99" i="76"/>
  <c r="AG68" i="76"/>
  <c r="AG36" i="76"/>
  <c r="AG130" i="76"/>
  <c r="AG98" i="76"/>
  <c r="AG67" i="76"/>
  <c r="AG35" i="76"/>
  <c r="AG137" i="76"/>
  <c r="AG74" i="76"/>
  <c r="AG12" i="76"/>
  <c r="AG112" i="76"/>
  <c r="AG23" i="76"/>
  <c r="AG42" i="76"/>
  <c r="AG97" i="76"/>
  <c r="AG58" i="76"/>
  <c r="AG136" i="76"/>
  <c r="AG104" i="76"/>
  <c r="AG65" i="76"/>
  <c r="AG27" i="76"/>
  <c r="AG17" i="76"/>
  <c r="AG151" i="76"/>
  <c r="AG119" i="76"/>
  <c r="AG87" i="76"/>
  <c r="AG48" i="76"/>
  <c r="AG10" i="76"/>
  <c r="AG134" i="76"/>
  <c r="AG102" i="76"/>
  <c r="AG73" i="76"/>
  <c r="AG71" i="76"/>
  <c r="AG39" i="76"/>
  <c r="AG133" i="76"/>
  <c r="AG101" i="76"/>
  <c r="AG70" i="76"/>
  <c r="AG38" i="76"/>
  <c r="AG140" i="76"/>
  <c r="AG108" i="76"/>
  <c r="AG77" i="76"/>
  <c r="AG45" i="76"/>
  <c r="AG155" i="76"/>
  <c r="AG123" i="76"/>
  <c r="AG91" i="76"/>
  <c r="AG60" i="76"/>
  <c r="AG29" i="76"/>
  <c r="AG154" i="76"/>
  <c r="AG122" i="76"/>
  <c r="AG90" i="76"/>
  <c r="AG59" i="76"/>
  <c r="AG28" i="76"/>
  <c r="AG161" i="76"/>
  <c r="AG129" i="76"/>
  <c r="AG4" i="76"/>
  <c r="AG33" i="76"/>
  <c r="AG3" i="76"/>
  <c r="AG15" i="76"/>
  <c r="AG24" i="76"/>
  <c r="AG56" i="76"/>
  <c r="AG8" i="76"/>
  <c r="AG50" i="76"/>
  <c r="AG14" i="76"/>
  <c r="F309" i="53"/>
  <c r="J309" i="53" s="1"/>
  <c r="E297" i="53" l="1"/>
  <c r="F297" i="53" s="1"/>
  <c r="J297" i="53" s="1"/>
  <c r="E298" i="53"/>
  <c r="F298" i="53" s="1"/>
  <c r="J298" i="53" s="1"/>
  <c r="E303" i="53"/>
  <c r="F303" i="53" s="1"/>
  <c r="J303" i="53" s="1"/>
  <c r="E299" i="53"/>
  <c r="F299" i="53" s="1"/>
  <c r="E315" i="53"/>
  <c r="F315" i="53" s="1"/>
  <c r="J315" i="53" s="1"/>
  <c r="E294" i="53"/>
  <c r="F294" i="53" s="1"/>
  <c r="J294" i="53" s="1"/>
  <c r="E301" i="53"/>
  <c r="F301" i="53" s="1"/>
  <c r="J301" i="53" s="1"/>
  <c r="E308" i="53"/>
  <c r="F308" i="53" s="1"/>
  <c r="J308" i="53" s="1"/>
  <c r="E307" i="53"/>
  <c r="E311" i="53"/>
  <c r="F311" i="53" s="1"/>
  <c r="J311" i="53" s="1"/>
  <c r="E302" i="53"/>
  <c r="F302" i="53" s="1"/>
  <c r="J302" i="53" s="1"/>
  <c r="E292" i="53"/>
  <c r="F292" i="53" s="1"/>
  <c r="J292" i="53" s="1"/>
  <c r="F300" i="53"/>
  <c r="J300" i="53" s="1"/>
  <c r="F307" i="53" l="1"/>
  <c r="J307" i="53" s="1"/>
  <c r="AG37" i="76"/>
  <c r="E291" i="53" l="1"/>
  <c r="F291" i="53" s="1"/>
  <c r="J291" i="53" s="1"/>
  <c r="E290" i="53"/>
  <c r="F290" i="53" s="1"/>
  <c r="J290" i="53" s="1"/>
  <c r="E306" i="53"/>
  <c r="F306" i="53" s="1"/>
  <c r="J306" i="53" s="1"/>
  <c r="E304" i="53"/>
  <c r="F304" i="53" s="1"/>
  <c r="J304" i="53" s="1"/>
  <c r="E305" i="53"/>
  <c r="F305" i="53" s="1"/>
  <c r="J299" i="53"/>
  <c r="E322" i="53" l="1"/>
  <c r="B324" i="53" s="1"/>
  <c r="J305" i="53"/>
  <c r="J322" i="53" s="1"/>
  <c r="F322" i="53"/>
  <c r="B330" i="53" l="1"/>
  <c r="B331" i="53"/>
  <c r="B333" i="53" l="1"/>
</calcChain>
</file>

<file path=xl/sharedStrings.xml><?xml version="1.0" encoding="utf-8"?>
<sst xmlns="http://schemas.openxmlformats.org/spreadsheetml/2006/main" count="2821" uniqueCount="602">
  <si>
    <t>ЕСП</t>
  </si>
  <si>
    <t>ЕНП</t>
  </si>
  <si>
    <t>ЯНВАР</t>
  </si>
  <si>
    <t>ФЕВРАЛ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</si>
  <si>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</si>
  <si>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</si>
  <si>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</si>
  <si>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</si>
  <si>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</si>
  <si>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</si>
  <si>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</si>
  <si>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</si>
  <si>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</si>
  <si>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</si>
  <si>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БАЛАНС</t>
  </si>
  <si>
    <t>ИНПС</t>
  </si>
  <si>
    <t>ПОДОХОД 25</t>
  </si>
  <si>
    <t>ПЕНСИЯ  25</t>
  </si>
  <si>
    <t>ПОДОХОД  29</t>
  </si>
  <si>
    <t>ПЕНСИЯ  29</t>
  </si>
  <si>
    <t>ПОД НАЛ</t>
  </si>
  <si>
    <t>ПЕНСИЯ</t>
  </si>
  <si>
    <t>ОПЛАТА</t>
  </si>
  <si>
    <t>ФИН РЕЗ</t>
  </si>
  <si>
    <t>ABSOLUTE STRENGTH NTM , ИНН: 303434754</t>
  </si>
  <si>
    <t xml:space="preserve"> "STUDY GUIDE" ИНН: 303408381</t>
  </si>
  <si>
    <t>"AVTOMOTOHAVASKORLAR YANGIOBOD" ИНН: 304632864</t>
  </si>
  <si>
    <t>"ЧП ENGLISH SERVICE" ИНН: 303256439</t>
  </si>
  <si>
    <t>"ЧП INTER PROF EDUCATION" ИНН: 304107369</t>
  </si>
  <si>
    <t>AVTOMOTOHAVASKOR TALABALAR , ИНН: 304651169</t>
  </si>
  <si>
    <t xml:space="preserve"> "DILFUZAXON AVTO" ИНН: 304825630</t>
  </si>
  <si>
    <t xml:space="preserve"> "GLOBALMED" , ИНН: 304979653</t>
  </si>
  <si>
    <t>"УП CHORBOG` AVTOUSTOZ" ИНН: 305133922</t>
  </si>
  <si>
    <t xml:space="preserve"> "FLY HIGH TICKET" ИНН: 305650493</t>
  </si>
  <si>
    <t>"RUSLAN GRAND "ИНН: 303451710</t>
  </si>
  <si>
    <t>"GULBAHOR BUSINESS" ИНН: 304737756</t>
  </si>
  <si>
    <t>НАИМЕНОВАНИЯ</t>
  </si>
  <si>
    <t xml:space="preserve"> "C A WOLVES" , ИНН: 305713761</t>
  </si>
  <si>
    <t>"MUXLISA NUR FARM"  ИНН: 303004885</t>
  </si>
  <si>
    <t xml:space="preserve"> "AKJ SEBZOR BO`LIMI" , ИНН: 305150198</t>
  </si>
  <si>
    <t>"INSHOOT MAXSUSMONTAJ QURILISH" ИНН : 301716199</t>
  </si>
  <si>
    <t>"ASADTILLO BIZNES"  ИНН : 304453422</t>
  </si>
  <si>
    <t>"MUZAFFARXO`JA-HILOL" Х.Ф. ИНН: 206450634</t>
  </si>
  <si>
    <t>№</t>
  </si>
  <si>
    <t>вопросной</t>
  </si>
  <si>
    <t>картотека</t>
  </si>
  <si>
    <t>"ООО "MUBINA RAYONA BUSINESS" ИНН: 305023742</t>
  </si>
  <si>
    <t>нет ещё</t>
  </si>
  <si>
    <t xml:space="preserve"> </t>
  </si>
  <si>
    <t>"MCHJ "METCOM" VAKOLATXONASI: 505612344</t>
  </si>
  <si>
    <t xml:space="preserve"> "SHINEART MCHJ" ИНН: 300821821</t>
  </si>
  <si>
    <t>ООО "MUBINA RAYONA BUSINESS" ИНН: 305023742</t>
  </si>
  <si>
    <t>ЯТТ   537852647 Акрамов</t>
  </si>
  <si>
    <t xml:space="preserve">"MCHJ "METCOM" VAKOLATXONASI" ИНН: 207285442, 
</t>
  </si>
  <si>
    <t>керакмас</t>
  </si>
  <si>
    <t>НДС</t>
  </si>
  <si>
    <t>10 182 556,00</t>
  </si>
  <si>
    <t>5-Детская стоматологическая поликлиника</t>
  </si>
  <si>
    <t>28 122 959,00</t>
  </si>
  <si>
    <t>4- Тери Таносил Касалликлар диспансери</t>
  </si>
  <si>
    <t>32 529 279,00</t>
  </si>
  <si>
    <t>Противотуберкулезный диспансер №3</t>
  </si>
  <si>
    <t>Олмазор туман Марказий куп тармокли поликлиника</t>
  </si>
  <si>
    <t>30 725 181,00</t>
  </si>
  <si>
    <t>14 Оилавий поликлиника</t>
  </si>
  <si>
    <t>36 774 668,00</t>
  </si>
  <si>
    <t>15 Семейная поликлиника</t>
  </si>
  <si>
    <t>16 Оилавий поликлиника</t>
  </si>
  <si>
    <t>20 644 086,00</t>
  </si>
  <si>
    <t>17-Оилавий поликлиника</t>
  </si>
  <si>
    <t>22 068 389,00</t>
  </si>
  <si>
    <t>20-сон оилавий поликлиника</t>
  </si>
  <si>
    <t>28 867 178,00</t>
  </si>
  <si>
    <t>21 - семейная поликлиника</t>
  </si>
  <si>
    <t>26 166 414,00</t>
  </si>
  <si>
    <t>Олмазор туман 18 оилавий поликлиника</t>
  </si>
  <si>
    <t>38 203 767,00</t>
  </si>
  <si>
    <t>Олмазор тумани 19 Оилавий поликлиника</t>
  </si>
  <si>
    <t>24 516 602,00</t>
  </si>
  <si>
    <t>Талабалар шахарчаси Марказий кўптармоқли поликлиника</t>
  </si>
  <si>
    <t>Суммаси</t>
  </si>
  <si>
    <t>Санаси</t>
  </si>
  <si>
    <t>Кабул килди: ФИО</t>
  </si>
  <si>
    <t>Имзо</t>
  </si>
  <si>
    <t>Ташкилот номи</t>
  </si>
  <si>
    <t>Жами</t>
  </si>
  <si>
    <t>Бош Хисобчи</t>
  </si>
  <si>
    <t>Рустамова Ш.С</t>
  </si>
  <si>
    <t>ТТБ бошлиги</t>
  </si>
  <si>
    <t>Миралимов М.М</t>
  </si>
  <si>
    <t xml:space="preserve">Олмазор тумани Тиббиёт Бирлашмаси томонидан 2018 йил ноябрь ойи иш хаки суммалари поликлиникалар кесимида </t>
  </si>
  <si>
    <t>"SHINEART MCHJ"
ИНН: 300821821</t>
  </si>
  <si>
    <t>10604-2 вода</t>
  </si>
  <si>
    <t xml:space="preserve">10201-9 прибыль </t>
  </si>
  <si>
    <t>10401-6,7 Имущество</t>
  </si>
  <si>
    <t>10507-1 Земля</t>
  </si>
  <si>
    <t>суммали</t>
  </si>
  <si>
    <t>"MCHJ "METCOM" VAKOLATXONASI" ИНН: 20728544</t>
  </si>
  <si>
    <t>"WALL STREET ACADEMY " 306116238</t>
  </si>
  <si>
    <t>ЕСП и Подоход и ИНПС</t>
  </si>
  <si>
    <t>ЕНП, НДС</t>
  </si>
  <si>
    <t>"ТСТ CLUSTER" 305904904</t>
  </si>
  <si>
    <t>"MEDICOM" ИНН:305925047</t>
  </si>
  <si>
    <t>"WALL STREET ACADEMY" 306116238</t>
  </si>
  <si>
    <t>OOO "MAGISTRAL TRANS QURILISH"</t>
  </si>
  <si>
    <t>ИНН</t>
  </si>
  <si>
    <t xml:space="preserve"> "FLY TOURISM"</t>
  </si>
  <si>
    <t>"RUSLAN GRAND "</t>
  </si>
  <si>
    <t>"MUZAFFARXO`JA-HILOL" Х.Ф.</t>
  </si>
  <si>
    <t xml:space="preserve"> "STUDY GUIDE" </t>
  </si>
  <si>
    <t xml:space="preserve">"ЧП INTER PROF EDUCATION" </t>
  </si>
  <si>
    <t xml:space="preserve">"AVTOMOTOHAVASKORLAR YANGIOBOD" </t>
  </si>
  <si>
    <t xml:space="preserve"> "DILFUZAXON AVTO" </t>
  </si>
  <si>
    <t>"УП CHORBOG` AVTOUSTOZ"</t>
  </si>
  <si>
    <t xml:space="preserve"> "C A WOLVES" </t>
  </si>
  <si>
    <t>OOO "SS-MOBILE ELECTRONICS"</t>
  </si>
  <si>
    <t xml:space="preserve"> "AKJ SEBZOR BO`LIMI" </t>
  </si>
  <si>
    <t xml:space="preserve"> "LANGUAGE ACADEMY" </t>
  </si>
  <si>
    <t>"TEACHER`S AUTO SCHOOL"</t>
  </si>
  <si>
    <t xml:space="preserve">OOO "MERIL" </t>
  </si>
  <si>
    <t xml:space="preserve">"WALL STREET ACADEMY" </t>
  </si>
  <si>
    <t xml:space="preserve">" SAM INC" </t>
  </si>
  <si>
    <t xml:space="preserve">"IDEAL SYSTEM MONTAJ" </t>
  </si>
  <si>
    <t xml:space="preserve">ДОО "KIDS NUR CITY" </t>
  </si>
  <si>
    <t>"ЧП "ROAD RIDERS"</t>
  </si>
  <si>
    <t xml:space="preserve">ООО "AVTO LUXUSARY TRADE"  </t>
  </si>
  <si>
    <t xml:space="preserve">"JT INVESTMENT HUB" </t>
  </si>
  <si>
    <t xml:space="preserve">ЧП "SEVEN`S UP" </t>
  </si>
  <si>
    <t>ООО "INTEST MAX"</t>
  </si>
  <si>
    <t xml:space="preserve">"JS MUROTOV" АДВОКАТЛИК БЮРОСИ" </t>
  </si>
  <si>
    <t xml:space="preserve">ЧП "LIGHT-MED" </t>
  </si>
  <si>
    <t xml:space="preserve">ООО "ZAMBAR-PLATINUM" </t>
  </si>
  <si>
    <t>ООО "HIGH-TECH GROUP"</t>
  </si>
  <si>
    <t>ЧП "MATYUSUF SALAEV"</t>
  </si>
  <si>
    <t>"AVTOMATLASHTIRILGAN ELEKTRIK YURITMA"</t>
  </si>
  <si>
    <t>AVTOMOTOHAVASK.KONGILLI JAMIYA</t>
  </si>
  <si>
    <t xml:space="preserve"> "AKJ TUZEL BO`LIMI"</t>
  </si>
  <si>
    <t>VMM RELIABLE LEGAL PROTECTION</t>
  </si>
  <si>
    <t>"AVIA GORODOK"</t>
  </si>
  <si>
    <t>OOO "RONICS"</t>
  </si>
  <si>
    <t>OOO "X PRO SERVISE"</t>
  </si>
  <si>
    <t>СП "ZIL-BAX"</t>
  </si>
  <si>
    <t xml:space="preserve">ЧП "CHIRCHIQ SAHOVAT" </t>
  </si>
  <si>
    <t>OOO "SANDWICH"</t>
  </si>
  <si>
    <t xml:space="preserve">ЗИЯТОВА МУХАББАТ КАРИМБАЕВНА </t>
  </si>
  <si>
    <t>ООО "TEN BRANCHES"</t>
  </si>
  <si>
    <t>ООО "TIBOMED</t>
  </si>
  <si>
    <t xml:space="preserve">ООО "BASKETBALL ACADEMY" </t>
  </si>
  <si>
    <t>"ZIP LINE"</t>
  </si>
  <si>
    <t xml:space="preserve">"G-R-A-N-D ELECTRONICS" </t>
  </si>
  <si>
    <t>"FINANCE SCHOOL"</t>
  </si>
  <si>
    <t xml:space="preserve">"A E UNITED GRP" </t>
  </si>
  <si>
    <t>"IZYUM"</t>
  </si>
  <si>
    <t xml:space="preserve">OOO "SARDORBEK HOUSE" </t>
  </si>
  <si>
    <t>"KESH LOGIST"</t>
  </si>
  <si>
    <t xml:space="preserve">"МОЯ УДАЧА" </t>
  </si>
  <si>
    <t>"TRANS SERVIS UK"   YUNUSOBOD</t>
  </si>
  <si>
    <t>"AVTO DRIVE AKJ" NTM    QATORTOL</t>
  </si>
  <si>
    <t>"AVTO DRIVE ELEGANT" NTM    RISIVIY</t>
  </si>
  <si>
    <t>"AVTO BEST STUDY" NTM    SERGELI</t>
  </si>
  <si>
    <t>"AVTO SCHOOL" NTM    QORAQAMISH</t>
  </si>
  <si>
    <t>"MOVAROUNNAHR BIZNES"     INTEGRO</t>
  </si>
  <si>
    <t>"AVTO SCHOOL ELEGANT"    KADISHEVA</t>
  </si>
  <si>
    <t>"AVTO SCHOOL PARKENT"</t>
  </si>
  <si>
    <t>"TOSHKENT SCHOOL"    ANGREN</t>
  </si>
  <si>
    <t xml:space="preserve">"AVTO AKBAR DAIMLER"   </t>
  </si>
  <si>
    <t>NTM "AVTO 777"     QO`YLIQ</t>
  </si>
  <si>
    <t>“RUS SMART STUDY”         09.06.2021</t>
  </si>
  <si>
    <t>PRO TEACHER`S     14.07.2021</t>
  </si>
  <si>
    <t xml:space="preserve">DORKOMPLEKTSNAB PLUS   </t>
  </si>
  <si>
    <t>NOBEL EDU NTM 02.08.2021</t>
  </si>
  <si>
    <t>THE BEST CLEANERS МЧЖ 10.07.2021</t>
  </si>
  <si>
    <t>"SAPRAMTECH" OOO 29.08.2021</t>
  </si>
  <si>
    <t>"SHIRIN LYUKS TAOM" 01.09.2021</t>
  </si>
  <si>
    <t>"KIDS LUNCH LADY" MChJ 01.09.2021</t>
  </si>
  <si>
    <t>"AQSHSTUDY" MChJ 08.09.2021</t>
  </si>
  <si>
    <t>BUBISH AS HEALTH МЧЖ 01.09.2021</t>
  </si>
  <si>
    <t xml:space="preserve">ЧП "PREMIUM TRADING INVEST" </t>
  </si>
  <si>
    <t>MED PHARM ZAMIRAXON МЧЖ 28.09.2021</t>
  </si>
  <si>
    <t>7-NINE МЧЖ 28.09.2021</t>
  </si>
  <si>
    <t xml:space="preserve">"LIVING STONE" МЧЖ </t>
  </si>
  <si>
    <t>"MK OFFICE" OOO</t>
  </si>
  <si>
    <t>МEZON GRP OOO</t>
  </si>
  <si>
    <t>XK UNIMEAL BUSINESS ENTITY</t>
  </si>
  <si>
    <t xml:space="preserve">AVTOHAVASKOR CHORSU              </t>
  </si>
  <si>
    <t>ООО "SHIRIN SUPER TAOM"</t>
  </si>
  <si>
    <t>"AL-AZIZ ACADEMY" НОУ</t>
  </si>
  <si>
    <t>OLTINVODIY TEXTIL ZAMIN MCHJ</t>
  </si>
  <si>
    <t>GOLDVALLEY TEXTIL BUSINESS MCHJ</t>
  </si>
  <si>
    <t>ELEGANT SUNWAY MCHJ</t>
  </si>
  <si>
    <t>"EVOLUTION TEXTIL BUSINESS" MCHJ</t>
  </si>
  <si>
    <t>ЧП "MASHXUR TAOM BIZNES"</t>
  </si>
  <si>
    <t xml:space="preserve">HILOL PHARM     </t>
  </si>
  <si>
    <t>MIRIRMONTAJ MCHJ</t>
  </si>
  <si>
    <t>DAMBO STORY MCHJ</t>
  </si>
  <si>
    <t>"AUTOMATIC FIRE SYSTEM" MCHJ</t>
  </si>
  <si>
    <t>"THE ANNUR" OK 01.01.2022 НДС</t>
  </si>
  <si>
    <t>"ALWAKEEL" MCHJ</t>
  </si>
  <si>
    <t xml:space="preserve"> "DSD SS GROUP" MCHJ</t>
  </si>
  <si>
    <t>"GLOBAL OIL-PRO" MCHJ</t>
  </si>
  <si>
    <t xml:space="preserve"> "BLESSING INVEST OIL" MCHJ</t>
  </si>
  <si>
    <t>Охирги ўн икки ой ичида солиқ ҳисоботларини ўз вақтида тақдим этмаслик ҳолатлари мавжуд бўлганлиги</t>
  </si>
  <si>
    <t>сабаб</t>
  </si>
  <si>
    <t>Солиқ тўловчининг раҳбари бир вақтнинг ўзида бошқа солиқ тўловчида (юридик шахсда) раҳбар бўлиб, ушбу солиқ тўловчида солиқ қарзи мавжуд бўлганда ёхуд солиқ ҳисоботларини тақдим этилмаганлиги</t>
  </si>
  <si>
    <t>Уч ойдан ортиқ вақт давомида молия-хўжалик фаолияти амалга оширилмаганлиги</t>
  </si>
  <si>
    <t>Ходимлари ёки ёлланма ишчилари сони 4 кишидан кам бўлганлиги</t>
  </si>
  <si>
    <t>Раҳбарнинг ёки молиявий бошқарув вазифаларини амалга ошираётган шахснинг шахси “ЯММТ” ИДАК тизимида тасдиқланмаганлиги</t>
  </si>
  <si>
    <t>Ўз кўчмас мулкига эга бўлмай туриб ижарага олинган ёки текин фойдаланилаётган кўчмас мулки бўлмаганлиги</t>
  </si>
  <si>
    <t>Розия</t>
  </si>
  <si>
    <t>Ёркиной</t>
  </si>
  <si>
    <t>эгаси</t>
  </si>
  <si>
    <t>"XASANOV SABIRJAN LASHOVICH" AB</t>
  </si>
  <si>
    <t>"GITA DASTURCHILAR AKADEMIYASI" MCHJ</t>
  </si>
  <si>
    <t xml:space="preserve">"SAPRAMTECH" OOO </t>
  </si>
  <si>
    <t>SHIRIN XK</t>
  </si>
  <si>
    <t>MELIOMASH</t>
  </si>
  <si>
    <t xml:space="preserve">7-NINE МЧЖ </t>
  </si>
  <si>
    <t>Mirabbos</t>
  </si>
  <si>
    <t>Go'zaloy</t>
  </si>
  <si>
    <t>Abrorbek</t>
  </si>
  <si>
    <t xml:space="preserve">MIRGAS OIL MCHJ </t>
  </si>
  <si>
    <t xml:space="preserve">VIRTUS-SOCIUM МЧЖ   </t>
  </si>
  <si>
    <t>TRINITY TECHNOLOGY MCHJ</t>
  </si>
  <si>
    <t>HAPPY CLEAN MChJ</t>
  </si>
  <si>
    <t>Maxmuda</t>
  </si>
  <si>
    <t>"FINANCE COUNCIL" MCHJ</t>
  </si>
  <si>
    <t>MONTAJ TEPLO ENERGO MCHJ</t>
  </si>
  <si>
    <t>TRUST MEDICAL LAB</t>
  </si>
  <si>
    <t>"PHARM SMART" MCHJ</t>
  </si>
  <si>
    <t>"AMIRBEK-RUXSHONA PHARM" XK</t>
  </si>
  <si>
    <t>% бухгалтер</t>
  </si>
  <si>
    <t xml:space="preserve">LANGUAGE ACADEMY" </t>
  </si>
  <si>
    <t>"KIDS NUR CITY" ООО</t>
  </si>
  <si>
    <t>Бухгалтер</t>
  </si>
  <si>
    <t>% банк клиент</t>
  </si>
  <si>
    <t>Sherzod</t>
  </si>
  <si>
    <t>TAKSIM-KEBAB GROUP MCHJ</t>
  </si>
  <si>
    <t>"SOF MEDTEX" MCHJ</t>
  </si>
  <si>
    <t>Muslimbek</t>
  </si>
  <si>
    <t>NIGINA FARM</t>
  </si>
  <si>
    <t>Azizbek</t>
  </si>
  <si>
    <t>DOMINANT DOMKUR- SIGN OF QUALITY</t>
  </si>
  <si>
    <t>GELECTRONIC</t>
  </si>
  <si>
    <t>Axmadjon</t>
  </si>
  <si>
    <t>SOBIROV I YATT</t>
  </si>
  <si>
    <t>RIZO MULK MCHJ</t>
  </si>
  <si>
    <t>NATURE ECO WOOD MCHJ</t>
  </si>
  <si>
    <t>PHARZAM FARM</t>
  </si>
  <si>
    <t>"HI-TECH ORIENT MED-BUSINESS MCHJ</t>
  </si>
  <si>
    <t>Raximjonova Dilnoza YATT</t>
  </si>
  <si>
    <t>BRAND NEW HOUSES</t>
  </si>
  <si>
    <t>IT-INTEGRATOR</t>
  </si>
  <si>
    <t>UNI GLOBAL</t>
  </si>
  <si>
    <t>SOFI TEAM</t>
  </si>
  <si>
    <t>KOLBERG PRODUCTION</t>
  </si>
  <si>
    <t>DOUBLE X PRO</t>
  </si>
  <si>
    <t>Doniyor</t>
  </si>
  <si>
    <t>Avans</t>
  </si>
  <si>
    <t>Jami oylik</t>
  </si>
  <si>
    <t>Qo'shimcha</t>
  </si>
  <si>
    <t>Oylik</t>
  </si>
  <si>
    <t>Raschet</t>
  </si>
  <si>
    <t>Xammasi</t>
  </si>
  <si>
    <t>аренда</t>
  </si>
  <si>
    <t>овкат</t>
  </si>
  <si>
    <t>админ</t>
  </si>
  <si>
    <t>фаррош ва средствалар</t>
  </si>
  <si>
    <t>комунал</t>
  </si>
  <si>
    <t>ечиш</t>
  </si>
  <si>
    <t>солик</t>
  </si>
  <si>
    <t>1-С</t>
  </si>
  <si>
    <t>RM MUROD BIZNES</t>
  </si>
  <si>
    <t>RONICS ENGINEERING TEAM</t>
  </si>
  <si>
    <t>UZART GROUP PROJEKT</t>
  </si>
  <si>
    <t>KOLBERG MEDICAL</t>
  </si>
  <si>
    <t>KORBAZAAR</t>
  </si>
  <si>
    <t xml:space="preserve">NURDEVAI </t>
  </si>
  <si>
    <t>MEDICAL GM</t>
  </si>
  <si>
    <t>LUNA CATERING TEAM</t>
  </si>
  <si>
    <t>QUDRATILLA ILA</t>
  </si>
  <si>
    <t>MG BUSINESS BROKERS</t>
  </si>
  <si>
    <t>NOEL TRIP</t>
  </si>
  <si>
    <t>IE ASILBEKOVA ZULFIYA</t>
  </si>
  <si>
    <t>VIKTORIYA TIBBIY KORIK</t>
  </si>
  <si>
    <t>UPGRADE AUTO</t>
  </si>
  <si>
    <t>ALIF PHARMA</t>
  </si>
  <si>
    <t>GAZA LUX</t>
  </si>
  <si>
    <t>CRAVE TECH</t>
  </si>
  <si>
    <t>Столбец7</t>
  </si>
  <si>
    <t>Столбец10</t>
  </si>
  <si>
    <t>Названия строк</t>
  </si>
  <si>
    <t>(пусто)</t>
  </si>
  <si>
    <t>Общий итог</t>
  </si>
  <si>
    <t>Сумма по полю % бухгалтер</t>
  </si>
  <si>
    <t>bank klient</t>
  </si>
  <si>
    <t>Сумма по полю % банк клиент</t>
  </si>
  <si>
    <t>Назоратчи</t>
  </si>
  <si>
    <t>Назоратчи  %</t>
  </si>
  <si>
    <t>Сумма по полю Назоратчи  %</t>
  </si>
  <si>
    <t>BM UNIT</t>
  </si>
  <si>
    <t>BY ETIKETKA</t>
  </si>
  <si>
    <t>ENGLIFY</t>
  </si>
  <si>
    <t>TURON FAYZ</t>
  </si>
  <si>
    <t>Zamira</t>
  </si>
  <si>
    <t>BAROKAT TEAM</t>
  </si>
  <si>
    <t>HAYRULLO QAZISI</t>
  </si>
  <si>
    <t>LIDER BUSINESS</t>
  </si>
  <si>
    <t>BELLSTORE</t>
  </si>
  <si>
    <t>Musobek</t>
  </si>
  <si>
    <t>Abdugani</t>
  </si>
  <si>
    <t>Adxam</t>
  </si>
  <si>
    <t>Diyorbek</t>
  </si>
  <si>
    <t xml:space="preserve">Dilmurod </t>
  </si>
  <si>
    <t>tarqatildi</t>
  </si>
  <si>
    <t>LIDER ELITE</t>
  </si>
  <si>
    <t>BEK AND COMPANY</t>
  </si>
  <si>
    <t xml:space="preserve"> J-R GROUP</t>
  </si>
  <si>
    <t>TULYAGANOV FX</t>
  </si>
  <si>
    <t xml:space="preserve"> IN VITRO PLANTS</t>
  </si>
  <si>
    <t>NOMDOR PALOV</t>
  </si>
  <si>
    <t>KOKTOSH SHIFO</t>
  </si>
  <si>
    <t>HI UNIT</t>
  </si>
  <si>
    <t>MARGARET</t>
  </si>
  <si>
    <t>MAX NUTRITION</t>
  </si>
  <si>
    <t>DR1VE</t>
  </si>
  <si>
    <t>FIDELITY SERVISE</t>
  </si>
  <si>
    <t>Bekzod</t>
  </si>
  <si>
    <t>FERUZA NUR MED</t>
  </si>
  <si>
    <t>DURDONA ECO FARM</t>
  </si>
  <si>
    <t>olindi</t>
  </si>
  <si>
    <t>Shahzoda</t>
  </si>
  <si>
    <t>Belstore vostanavleniya</t>
  </si>
  <si>
    <t>ANVAR FARM</t>
  </si>
  <si>
    <t>BADEX LIFE</t>
  </si>
  <si>
    <t>MASHXUR TAOM</t>
  </si>
  <si>
    <t>Humora</t>
  </si>
  <si>
    <t>KIFTI OFTOB SARBONI</t>
  </si>
  <si>
    <t>накд</t>
  </si>
  <si>
    <t>Naqd</t>
  </si>
  <si>
    <t>Ishga vaqtida kelish ketish</t>
  </si>
  <si>
    <t>xatlar</t>
  </si>
  <si>
    <t xml:space="preserve">Gruppa bank klient </t>
  </si>
  <si>
    <t>Gruppa buxgalter</t>
  </si>
  <si>
    <t>Ishga vaqtida kelish ketish2</t>
  </si>
  <si>
    <t>Ishga kelish bank klient3</t>
  </si>
  <si>
    <t>Gruppa buxgalter4</t>
  </si>
  <si>
    <t>Gruppa bank klient 2</t>
  </si>
  <si>
    <t>1C baza3</t>
  </si>
  <si>
    <t>xatlar4</t>
  </si>
  <si>
    <t>Belgilangan otchetlar5</t>
  </si>
  <si>
    <t>Buxgalter KPI</t>
  </si>
  <si>
    <t>Bank klient KPI</t>
  </si>
  <si>
    <t>KPI</t>
  </si>
  <si>
    <t>Nazoratchi</t>
  </si>
  <si>
    <t>Nazoratchi2</t>
  </si>
  <si>
    <t>NazoratchiKPI</t>
  </si>
  <si>
    <t>Ishga vaqtida kelish nazoratchi</t>
  </si>
  <si>
    <t>XURSAND HOUSE</t>
  </si>
  <si>
    <t>BUSINESS INVEST COOPERATION</t>
  </si>
  <si>
    <t>SAFORT HOUSE</t>
  </si>
  <si>
    <t>INVEST PERSONA</t>
  </si>
  <si>
    <t>STANDART CHICKEN</t>
  </si>
  <si>
    <t>ROYAL BEAUTY</t>
  </si>
  <si>
    <t>PATRONUM</t>
  </si>
  <si>
    <t>LIVINGSTONE</t>
  </si>
  <si>
    <t>AFUBBA</t>
  </si>
  <si>
    <t>NODIR TRADING</t>
  </si>
  <si>
    <t>SMS 86</t>
  </si>
  <si>
    <t>AFUBBA 1149</t>
  </si>
  <si>
    <t xml:space="preserve">1149 ALKIMYOGAR </t>
  </si>
  <si>
    <t>DINAR CLASS</t>
  </si>
  <si>
    <t>BINAAR</t>
  </si>
  <si>
    <t>THE POWERFULL TEAM</t>
  </si>
  <si>
    <t>Plastik</t>
  </si>
  <si>
    <t>Ishga kelish nazoratchi2</t>
  </si>
  <si>
    <t>Ishga kelish bank klient</t>
  </si>
  <si>
    <t>SAFETY CCTV</t>
  </si>
  <si>
    <t>INTER DELEKATES</t>
  </si>
  <si>
    <t>Ilhom</t>
  </si>
  <si>
    <t>Didox</t>
  </si>
  <si>
    <t>Avtokameral</t>
  </si>
  <si>
    <t>Pul oqimlari</t>
  </si>
  <si>
    <t>Chiqadigan soliqlar</t>
  </si>
  <si>
    <t>Hisoblangan oylik</t>
  </si>
  <si>
    <t>Debitor kreditor</t>
  </si>
  <si>
    <t>Foyda va zarar</t>
  </si>
  <si>
    <t>1c</t>
  </si>
  <si>
    <t>STAR KAMERA</t>
  </si>
  <si>
    <t>AHSAN TECHNOLOGY</t>
  </si>
  <si>
    <t>BIG TEAM</t>
  </si>
  <si>
    <t>TIM BUILD INDUSTRY</t>
  </si>
  <si>
    <t>GARANT KOMPLEKS</t>
  </si>
  <si>
    <t>TASTIFY</t>
  </si>
  <si>
    <t>CONSTANT GROWTH</t>
  </si>
  <si>
    <t>Dilhush</t>
  </si>
  <si>
    <t>Yorqinoy</t>
  </si>
  <si>
    <t>REEF TRADE</t>
  </si>
  <si>
    <t>Buyuk turon</t>
  </si>
  <si>
    <t>Jami</t>
  </si>
  <si>
    <t>Jami tolanishi kerak</t>
  </si>
  <si>
    <t>Tolandi</t>
  </si>
  <si>
    <t>Qoldi</t>
  </si>
  <si>
    <t>Universal nutrition</t>
  </si>
  <si>
    <t>Gulrux</t>
  </si>
  <si>
    <t>Sardor firmalari</t>
  </si>
  <si>
    <t>Jamshid</t>
  </si>
  <si>
    <t>Living stone</t>
  </si>
  <si>
    <t>Gozaloy</t>
  </si>
  <si>
    <t>Unity</t>
  </si>
  <si>
    <t>Safety</t>
  </si>
  <si>
    <t>Divan</t>
  </si>
  <si>
    <t>EASTREX</t>
  </si>
  <si>
    <t>XURSHID AVTO</t>
  </si>
  <si>
    <t>KIDDLE LAND</t>
  </si>
  <si>
    <t>JASURBEK YUKSALISH OMAD</t>
  </si>
  <si>
    <t>ELSANQURILISH</t>
  </si>
  <si>
    <t>DIGITAL MASTERS ACADEMY</t>
  </si>
  <si>
    <t>NOMDOR OSH</t>
  </si>
  <si>
    <t>AVVITAL NATURALS</t>
  </si>
  <si>
    <t>SHIFO DOKTOR XASAN</t>
  </si>
  <si>
    <t>Anvar farm</t>
  </si>
  <si>
    <t>Shifo Xasan</t>
  </si>
  <si>
    <t xml:space="preserve">Tim building </t>
  </si>
  <si>
    <t>Javoxir</t>
  </si>
  <si>
    <t>Madina farm</t>
  </si>
  <si>
    <t>Jasurbek yuksalish</t>
  </si>
  <si>
    <t>DOOS DISTRIBUTION</t>
  </si>
  <si>
    <t>REEF trade</t>
  </si>
  <si>
    <t>Ruslan</t>
  </si>
  <si>
    <t>HUMMA</t>
  </si>
  <si>
    <t>ZVEZDA FARM</t>
  </si>
  <si>
    <t>AVTO YOL XIZMATI MARKAZI</t>
  </si>
  <si>
    <t>YOL TRANS SANOATI</t>
  </si>
  <si>
    <t>FC YOLBARS</t>
  </si>
  <si>
    <t>Javohir</t>
  </si>
  <si>
    <t>ULTIMATE ENERGY</t>
  </si>
  <si>
    <t>SPECIAL CARGO SERVICES</t>
  </si>
  <si>
    <t>VERTEX BETON</t>
  </si>
  <si>
    <t>GELATO ICE CREAM</t>
  </si>
  <si>
    <t>TERRA AGRO</t>
  </si>
  <si>
    <t>REAL RESPECT GROUP</t>
  </si>
  <si>
    <t>ARM INTER GROUP</t>
  </si>
  <si>
    <t>SHEL A</t>
  </si>
  <si>
    <t>X PRO TEAM</t>
  </si>
  <si>
    <t>YATT</t>
  </si>
  <si>
    <t>Special Cargo</t>
  </si>
  <si>
    <t>Mega ice cream</t>
  </si>
  <si>
    <t xml:space="preserve"> мехнат</t>
  </si>
  <si>
    <t>NEW ALKIMYOGAR GROUR</t>
  </si>
  <si>
    <t>MUROD AKA Yatt lari</t>
  </si>
  <si>
    <t>Wood city 1999</t>
  </si>
  <si>
    <t>RICH YS</t>
  </si>
  <si>
    <t>LINE OF NATURE</t>
  </si>
  <si>
    <t>RAMAZON OF LINE</t>
  </si>
  <si>
    <t>GC TRADE</t>
  </si>
  <si>
    <t>RICH Y S</t>
  </si>
  <si>
    <t>HOMEBAZAAR YATT</t>
  </si>
  <si>
    <t>ACADEMY RIZOMULK</t>
  </si>
  <si>
    <t>NEKOVA MAHLIYO bogcha</t>
  </si>
  <si>
    <t>MADINA FARM</t>
  </si>
  <si>
    <t>SPLENDID SERVICE</t>
  </si>
  <si>
    <t>SPLENDID CATERING</t>
  </si>
  <si>
    <t>TRUSTLY SERVICE</t>
  </si>
  <si>
    <t>Ishonchli Havfsiz Hudud MCHJ</t>
  </si>
  <si>
    <t>PAPER EXPERT</t>
  </si>
  <si>
    <t>TAKSIM-KEBAB TEAM</t>
  </si>
  <si>
    <t>LEMON FIT</t>
  </si>
  <si>
    <t>Olloshukur</t>
  </si>
  <si>
    <t>Otabek</t>
  </si>
  <si>
    <t>URBAN HEATING GROUP</t>
  </si>
  <si>
    <t>ARVAGTEXNIK</t>
  </si>
  <si>
    <t>Mirahmad</t>
  </si>
  <si>
    <t>DARVESHI NAVOI</t>
  </si>
  <si>
    <t>LIDERS BARAKA</t>
  </si>
  <si>
    <t>BORAN LIDERS</t>
  </si>
  <si>
    <t>AYOQSH</t>
  </si>
  <si>
    <t>AZS SHOFAYZ</t>
  </si>
  <si>
    <t>ELIT CHICKEN</t>
  </si>
  <si>
    <t>VENU</t>
  </si>
  <si>
    <t>SKY GATE SERVICES</t>
  </si>
  <si>
    <t>FUTURE IT</t>
  </si>
  <si>
    <t>BARQAROR 2018</t>
  </si>
  <si>
    <t>SOFT COMFORT MK4</t>
  </si>
  <si>
    <t>GEO DRILLING SERVICE</t>
  </si>
  <si>
    <t>Terra agro</t>
  </si>
  <si>
    <t>Darveshi Navoi</t>
  </si>
  <si>
    <t>Miahmad</t>
  </si>
  <si>
    <t>Boran Leaders</t>
  </si>
  <si>
    <t>Leaders baraka</t>
  </si>
  <si>
    <t>Urban heating group</t>
  </si>
  <si>
    <t>Manzura</t>
  </si>
  <si>
    <t>Siddiq biznes group</t>
  </si>
  <si>
    <t>Adham</t>
  </si>
  <si>
    <t>QULAY BOX</t>
  </si>
  <si>
    <t>DSKP AMUDARYO</t>
  </si>
  <si>
    <t>SIDDIQ BIZNES</t>
  </si>
  <si>
    <t>STIL SERVIS</t>
  </si>
  <si>
    <t>DOSANOV SCHOOL</t>
  </si>
  <si>
    <t>RIELTORLAR PALATASI</t>
  </si>
  <si>
    <t>Ohangaron Rustam Fayz</t>
  </si>
  <si>
    <t>Jizzakh Majic Star</t>
  </si>
  <si>
    <t>Toolstrek Ca</t>
  </si>
  <si>
    <t>Dilorom-Xidoyat</t>
  </si>
  <si>
    <t>Tursunxoja Xidoyat</t>
  </si>
  <si>
    <t>Favvora Fayz</t>
  </si>
  <si>
    <t>WISE-STORE MCHJ</t>
  </si>
  <si>
    <t>Special Building store</t>
  </si>
  <si>
    <t>Stroy Market</t>
  </si>
  <si>
    <t>Vazifa Venchur</t>
  </si>
  <si>
    <t>GRAYD GROUP MCHJ</t>
  </si>
  <si>
    <t>"SALOHIDDIN SFX" MCHJ</t>
  </si>
  <si>
    <t>Goodwill business servis MCHJ</t>
  </si>
  <si>
    <t>Saidbek Mustafo MCHJ</t>
  </si>
  <si>
    <t xml:space="preserve">MIRZAYEVLAR LOGISTICS </t>
  </si>
  <si>
    <t xml:space="preserve">ORIENT-CHEMICAL </t>
  </si>
  <si>
    <t xml:space="preserve">SHOHRUZ-IMRON-SHERDOR OK </t>
  </si>
  <si>
    <t xml:space="preserve">NORBEKOV IT </t>
  </si>
  <si>
    <t xml:space="preserve">MIXTRUE SEMENT </t>
  </si>
  <si>
    <t xml:space="preserve">FOREST SCHOOL   </t>
  </si>
  <si>
    <t xml:space="preserve">BEST BROOMS </t>
  </si>
  <si>
    <t>LOGAN</t>
  </si>
  <si>
    <t>"In'tegrity" MCHJ</t>
  </si>
  <si>
    <t>YATT Abdurasulova Lola</t>
  </si>
  <si>
    <t>"Omad texno-trans" MCHJ</t>
  </si>
  <si>
    <t>YATT Dilova Nigora</t>
  </si>
  <si>
    <t>"Sunny brand" OK</t>
  </si>
  <si>
    <t>"Dilsevar Hojakbar" MCHJ</t>
  </si>
  <si>
    <t>"AvloAI" MCHJ</t>
  </si>
  <si>
    <t>"Mastercoffee Roaster" MCHJ</t>
  </si>
  <si>
    <t>"Dashtobod aloqa-service" MCHJ</t>
  </si>
  <si>
    <t>EUROSOFT</t>
  </si>
  <si>
    <t>"Corsa' MChJ</t>
  </si>
  <si>
    <t>"Shox-Muhandis"</t>
  </si>
  <si>
    <t>"Iftixor Holding" MChJ</t>
  </si>
  <si>
    <t xml:space="preserve">Avto nams </t>
  </si>
  <si>
    <t xml:space="preserve">Hyper nams </t>
  </si>
  <si>
    <t>Integral servis</t>
  </si>
  <si>
    <t>FAROBIY 77</t>
  </si>
  <si>
    <t>ASIA PRO GROUP</t>
  </si>
  <si>
    <t>TOSHMI DIAGNOSTIKA</t>
  </si>
  <si>
    <t>HALOL OSHPAZ</t>
  </si>
  <si>
    <t>HALOL OSHPAZ JAMOASI</t>
  </si>
  <si>
    <t>AZIM DARYO</t>
  </si>
  <si>
    <t>GIPPER LUVER</t>
  </si>
  <si>
    <t>7 NEBO</t>
  </si>
  <si>
    <t>SIRLY MCHJ</t>
  </si>
  <si>
    <t>NOSIROV XOJIAKBAR YaTT</t>
  </si>
  <si>
    <t>ALIMXANOV ABDURAZZOQ</t>
  </si>
  <si>
    <t>SUHROBBEK PARIZODA</t>
  </si>
  <si>
    <t>Elbek</t>
  </si>
  <si>
    <t>Kamron</t>
  </si>
  <si>
    <t>Abdulaziz</t>
  </si>
  <si>
    <t>HARDPRESS CNC</t>
  </si>
  <si>
    <t>SAHARA UTD</t>
  </si>
  <si>
    <t>IBRAGIMOV SALE</t>
  </si>
  <si>
    <t>BRR OIL BIZNES</t>
  </si>
  <si>
    <t>GREAT KOMAX</t>
  </si>
  <si>
    <t>VULKAN TRADE</t>
  </si>
  <si>
    <t>E DOKON</t>
  </si>
  <si>
    <t>VT TRAVEL</t>
  </si>
  <si>
    <t>Hasan</t>
  </si>
  <si>
    <t>RF BUILDINGS</t>
  </si>
  <si>
    <t>AIFREIGHT</t>
  </si>
  <si>
    <t>Infinity group in industry</t>
  </si>
  <si>
    <t>FAXRIDDIN SAODAT PHARM</t>
  </si>
  <si>
    <t>Arvagtexnik</t>
  </si>
  <si>
    <t>Dilmurod</t>
  </si>
  <si>
    <t>Lemon fit</t>
  </si>
  <si>
    <t>Forest school</t>
  </si>
  <si>
    <t>Xojiakbar</t>
  </si>
  <si>
    <t>Great komax</t>
  </si>
  <si>
    <t>Suhrobbek Parizoda</t>
  </si>
  <si>
    <t>Kolberg production</t>
  </si>
  <si>
    <t>Mirzaevlar logistik</t>
  </si>
  <si>
    <t>Azizbek shogird</t>
  </si>
  <si>
    <t>Renova city</t>
  </si>
  <si>
    <t>Stroy market</t>
  </si>
  <si>
    <t>Wise store</t>
  </si>
  <si>
    <t>30 dekabrda olgan pulim</t>
  </si>
  <si>
    <t>Umid hospitals</t>
  </si>
  <si>
    <t>Nur up</t>
  </si>
  <si>
    <t>GREEN ENERGY MUXRIDDIN</t>
  </si>
  <si>
    <t>BUNYOD OMAD SERVICE</t>
  </si>
  <si>
    <t>Sevara</t>
  </si>
  <si>
    <t>NUR UP</t>
  </si>
  <si>
    <t>BUNYOD CHORBOG</t>
  </si>
  <si>
    <t>BUNYOD OMAD SERVISE</t>
  </si>
  <si>
    <t>BUNYOD SULTON SHOX</t>
  </si>
  <si>
    <t>TASHMATOV GROUP</t>
  </si>
  <si>
    <t>Alisher</t>
  </si>
  <si>
    <t>Mohirbek</t>
  </si>
  <si>
    <t>EFFSARI</t>
  </si>
  <si>
    <t>ELMIR FOOD CORP</t>
  </si>
  <si>
    <t>YULDUZ ALIBAYEVA YATT</t>
  </si>
  <si>
    <t>OILL SEVEN</t>
  </si>
  <si>
    <t>FITLINE FITNES CENTR</t>
  </si>
  <si>
    <t>ECO ZELEN</t>
  </si>
  <si>
    <t>GRAND CANYON HOTEL</t>
  </si>
  <si>
    <t>SINHAI</t>
  </si>
  <si>
    <t>Aziz shogird</t>
  </si>
  <si>
    <t>XASHAMATLI SAROY</t>
  </si>
  <si>
    <t>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</si>
</sst>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#,##0.00_ ;\-#,##0.00\ "/>
  </numFmts>
  <fonts count="34" x14ac:knownFonts="1">
    <font>
      <sz val="11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u/>
      <sz val="12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rgb="FF333333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333333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2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9"/>
      <color rgb="FF333333"/>
      <name val="Arial"/>
      <family val="2"/>
      <charset val="204"/>
    </font>
    <font>
      <sz val="9"/>
      <color theme="1" tint="0.1499984740745262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</cellStyleXfs>
  <cellXfs count="29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0" xfId="1" applyAlignment="1" applyProtection="1">
      <alignment horizontal="left" inden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5" fillId="0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4" borderId="0" xfId="0" applyFont="1" applyFill="1"/>
    <xf numFmtId="0" fontId="9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8" fillId="5" borderId="1" xfId="2" applyNumberFormat="1" applyFont="1" applyFill="1" applyBorder="1" applyAlignment="1">
      <alignment horizontal="right" vertical="top" wrapText="1"/>
    </xf>
    <xf numFmtId="164" fontId="8" fillId="0" borderId="1" xfId="2" applyNumberFormat="1" applyFont="1" applyBorder="1" applyAlignment="1">
      <alignment horizontal="right" vertical="top" wrapText="1"/>
    </xf>
    <xf numFmtId="0" fontId="10" fillId="0" borderId="1" xfId="0" applyFont="1" applyBorder="1" applyAlignment="1">
      <alignment vertical="top" wrapText="1"/>
    </xf>
    <xf numFmtId="164" fontId="10" fillId="0" borderId="1" xfId="2" applyNumberFormat="1" applyFont="1" applyBorder="1" applyAlignment="1">
      <alignment horizontal="right" vertical="top" wrapText="1"/>
    </xf>
    <xf numFmtId="0" fontId="10" fillId="0" borderId="0" xfId="0" applyFont="1" applyFill="1" applyBorder="1" applyAlignment="1">
      <alignment vertical="top" wrapText="1"/>
    </xf>
    <xf numFmtId="164" fontId="10" fillId="0" borderId="0" xfId="2" applyNumberFormat="1" applyFont="1" applyFill="1" applyBorder="1" applyAlignment="1">
      <alignment horizontal="right" vertical="top" wrapText="1"/>
    </xf>
    <xf numFmtId="0" fontId="7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3" fillId="0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0" borderId="1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3" fillId="0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center" wrapText="1"/>
    </xf>
    <xf numFmtId="0" fontId="0" fillId="0" borderId="0" xfId="0" applyFill="1"/>
    <xf numFmtId="0" fontId="0" fillId="3" borderId="1" xfId="0" applyFill="1" applyBorder="1"/>
    <xf numFmtId="0" fontId="13" fillId="0" borderId="0" xfId="0" applyFont="1" applyFill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wrapText="1"/>
    </xf>
    <xf numFmtId="0" fontId="16" fillId="0" borderId="1" xfId="0" applyFont="1" applyFill="1" applyBorder="1" applyAlignment="1">
      <alignment horizontal="center" wrapText="1"/>
    </xf>
    <xf numFmtId="0" fontId="15" fillId="0" borderId="4" xfId="0" applyFont="1" applyFill="1" applyBorder="1" applyAlignment="1">
      <alignment horizontal="left" wrapText="1"/>
    </xf>
    <xf numFmtId="0" fontId="15" fillId="0" borderId="4" xfId="0" applyFont="1" applyFill="1" applyBorder="1" applyAlignment="1">
      <alignment horizontal="center" wrapText="1"/>
    </xf>
    <xf numFmtId="0" fontId="15" fillId="0" borderId="4" xfId="0" applyFont="1" applyFill="1" applyBorder="1" applyAlignment="1">
      <alignment wrapText="1"/>
    </xf>
    <xf numFmtId="0" fontId="15" fillId="6" borderId="1" xfId="0" applyFont="1" applyFill="1" applyBorder="1" applyAlignment="1">
      <alignment horizontal="left" wrapText="1"/>
    </xf>
    <xf numFmtId="0" fontId="15" fillId="6" borderId="4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wrapText="1"/>
    </xf>
    <xf numFmtId="0" fontId="15" fillId="6" borderId="1" xfId="0" applyFont="1" applyFill="1" applyBorder="1" applyAlignment="1">
      <alignment wrapText="1"/>
    </xf>
    <xf numFmtId="0" fontId="17" fillId="6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 wrapText="1"/>
    </xf>
    <xf numFmtId="0" fontId="18" fillId="0" borderId="4" xfId="0" applyFont="1" applyFill="1" applyBorder="1" applyAlignment="1">
      <alignment horizontal="left" wrapText="1"/>
    </xf>
    <xf numFmtId="0" fontId="15" fillId="3" borderId="1" xfId="0" applyFont="1" applyFill="1" applyBorder="1" applyAlignment="1">
      <alignment horizontal="left" wrapText="1"/>
    </xf>
    <xf numFmtId="0" fontId="15" fillId="3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wrapText="1"/>
    </xf>
    <xf numFmtId="0" fontId="15" fillId="3" borderId="4" xfId="0" applyFont="1" applyFill="1" applyBorder="1" applyAlignment="1">
      <alignment horizontal="left" wrapText="1"/>
    </xf>
    <xf numFmtId="0" fontId="15" fillId="4" borderId="1" xfId="0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18" fillId="6" borderId="1" xfId="0" applyFont="1" applyFill="1" applyBorder="1" applyAlignment="1">
      <alignment horizontal="left" wrapText="1"/>
    </xf>
    <xf numFmtId="0" fontId="20" fillId="0" borderId="1" xfId="0" applyFont="1" applyFill="1" applyBorder="1" applyAlignment="1">
      <alignment horizontal="center" wrapText="1"/>
    </xf>
    <xf numFmtId="0" fontId="15" fillId="7" borderId="1" xfId="0" applyFont="1" applyFill="1" applyBorder="1" applyAlignment="1">
      <alignment horizontal="center" wrapText="1"/>
    </xf>
    <xf numFmtId="0" fontId="3" fillId="0" borderId="0" xfId="0" applyFont="1" applyFill="1" applyAlignment="1"/>
    <xf numFmtId="0" fontId="19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1" fillId="0" borderId="1" xfId="0" applyFont="1" applyBorder="1" applyAlignment="1">
      <alignment horizontal="left" wrapText="1" indent="4"/>
    </xf>
    <xf numFmtId="0" fontId="16" fillId="7" borderId="1" xfId="0" applyFont="1" applyFill="1" applyBorder="1" applyAlignment="1">
      <alignment horizontal="center" wrapText="1"/>
    </xf>
    <xf numFmtId="0" fontId="23" fillId="0" borderId="1" xfId="0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 wrapText="1"/>
    </xf>
    <xf numFmtId="0" fontId="15" fillId="7" borderId="1" xfId="0" applyFont="1" applyFill="1" applyBorder="1" applyAlignment="1">
      <alignment wrapText="1"/>
    </xf>
    <xf numFmtId="0" fontId="21" fillId="6" borderId="0" xfId="0" applyFont="1" applyFill="1" applyAlignment="1">
      <alignment wrapText="1"/>
    </xf>
    <xf numFmtId="0" fontId="3" fillId="7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16" fillId="4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17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left" wrapText="1"/>
    </xf>
    <xf numFmtId="4" fontId="24" fillId="0" borderId="1" xfId="0" applyNumberFormat="1" applyFont="1" applyFill="1" applyBorder="1" applyAlignment="1">
      <alignment horizontal="left" wrapText="1"/>
    </xf>
    <xf numFmtId="0" fontId="24" fillId="0" borderId="1" xfId="0" applyFont="1" applyFill="1" applyBorder="1" applyAlignment="1">
      <alignment wrapText="1"/>
    </xf>
    <xf numFmtId="0" fontId="24" fillId="6" borderId="1" xfId="0" applyFont="1" applyFill="1" applyBorder="1" applyAlignment="1">
      <alignment horizontal="left" wrapText="1"/>
    </xf>
    <xf numFmtId="0" fontId="24" fillId="6" borderId="1" xfId="0" applyFont="1" applyFill="1" applyBorder="1" applyAlignment="1">
      <alignment horizontal="center" wrapText="1"/>
    </xf>
    <xf numFmtId="0" fontId="24" fillId="6" borderId="1" xfId="0" applyFont="1" applyFill="1" applyBorder="1" applyAlignment="1">
      <alignment wrapText="1"/>
    </xf>
    <xf numFmtId="4" fontId="9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wrapText="1"/>
    </xf>
    <xf numFmtId="4" fontId="17" fillId="0" borderId="1" xfId="0" applyNumberFormat="1" applyFont="1" applyFill="1" applyBorder="1" applyAlignment="1">
      <alignment horizontal="left" wrapText="1"/>
    </xf>
    <xf numFmtId="4" fontId="24" fillId="0" borderId="1" xfId="0" applyNumberFormat="1" applyFont="1" applyFill="1" applyBorder="1" applyAlignment="1">
      <alignment wrapText="1"/>
    </xf>
    <xf numFmtId="4" fontId="24" fillId="0" borderId="1" xfId="0" applyNumberFormat="1" applyFont="1" applyFill="1" applyBorder="1" applyAlignment="1">
      <alignment horizontal="center" wrapText="1"/>
    </xf>
    <xf numFmtId="43" fontId="24" fillId="0" borderId="1" xfId="2" applyFont="1" applyFill="1" applyBorder="1" applyAlignment="1">
      <alignment horizontal="center" wrapText="1"/>
    </xf>
    <xf numFmtId="43" fontId="24" fillId="0" borderId="1" xfId="2" applyFont="1" applyFill="1" applyBorder="1" applyAlignment="1">
      <alignment wrapText="1"/>
    </xf>
    <xf numFmtId="43" fontId="24" fillId="0" borderId="1" xfId="0" applyNumberFormat="1" applyFont="1" applyFill="1" applyBorder="1" applyAlignment="1">
      <alignment wrapText="1"/>
    </xf>
    <xf numFmtId="0" fontId="25" fillId="0" borderId="1" xfId="0" applyFont="1" applyFill="1" applyBorder="1" applyAlignment="1">
      <alignment horizontal="left"/>
    </xf>
    <xf numFmtId="0" fontId="24" fillId="0" borderId="4" xfId="0" applyFont="1" applyFill="1" applyBorder="1" applyAlignment="1">
      <alignment horizontal="left" wrapText="1"/>
    </xf>
    <xf numFmtId="0" fontId="25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wrapText="1"/>
    </xf>
    <xf numFmtId="4" fontId="24" fillId="6" borderId="1" xfId="0" applyNumberFormat="1" applyFont="1" applyFill="1" applyBorder="1" applyAlignment="1">
      <alignment horizontal="left" wrapText="1"/>
    </xf>
    <xf numFmtId="4" fontId="24" fillId="3" borderId="1" xfId="0" applyNumberFormat="1" applyFont="1" applyFill="1" applyBorder="1" applyAlignment="1">
      <alignment horizontal="left" wrapText="1"/>
    </xf>
    <xf numFmtId="0" fontId="24" fillId="2" borderId="1" xfId="0" applyFont="1" applyFill="1" applyBorder="1" applyAlignment="1">
      <alignment wrapText="1"/>
    </xf>
    <xf numFmtId="43" fontId="24" fillId="2" borderId="1" xfId="0" applyNumberFormat="1" applyFont="1" applyFill="1" applyBorder="1" applyAlignment="1">
      <alignment wrapText="1"/>
    </xf>
    <xf numFmtId="4" fontId="24" fillId="8" borderId="1" xfId="0" applyNumberFormat="1" applyFont="1" applyFill="1" applyBorder="1" applyAlignment="1">
      <alignment wrapText="1"/>
    </xf>
    <xf numFmtId="4" fontId="24" fillId="6" borderId="1" xfId="0" applyNumberFormat="1" applyFont="1" applyFill="1" applyBorder="1" applyAlignment="1">
      <alignment wrapText="1"/>
    </xf>
    <xf numFmtId="43" fontId="24" fillId="6" borderId="1" xfId="2" applyFont="1" applyFill="1" applyBorder="1" applyAlignment="1">
      <alignment wrapText="1"/>
    </xf>
    <xf numFmtId="4" fontId="17" fillId="6" borderId="1" xfId="0" applyNumberFormat="1" applyFont="1" applyFill="1" applyBorder="1" applyAlignment="1">
      <alignment horizontal="left" wrapText="1"/>
    </xf>
    <xf numFmtId="0" fontId="24" fillId="0" borderId="3" xfId="0" applyFont="1" applyFill="1" applyBorder="1" applyAlignment="1">
      <alignment horizontal="center" wrapText="1"/>
    </xf>
    <xf numFmtId="0" fontId="24" fillId="0" borderId="2" xfId="0" applyFont="1" applyFill="1" applyBorder="1" applyAlignment="1">
      <alignment wrapText="1"/>
    </xf>
    <xf numFmtId="4" fontId="24" fillId="0" borderId="2" xfId="0" applyNumberFormat="1" applyFont="1" applyFill="1" applyBorder="1" applyAlignment="1">
      <alignment wrapText="1"/>
    </xf>
    <xf numFmtId="0" fontId="24" fillId="0" borderId="4" xfId="0" applyFont="1" applyFill="1" applyBorder="1" applyAlignment="1">
      <alignment wrapText="1"/>
    </xf>
    <xf numFmtId="0" fontId="24" fillId="0" borderId="7" xfId="0" applyFont="1" applyFill="1" applyBorder="1" applyAlignment="1">
      <alignment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4" fontId="9" fillId="0" borderId="6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vertical="center" wrapText="1"/>
    </xf>
    <xf numFmtId="4" fontId="24" fillId="0" borderId="4" xfId="0" applyNumberFormat="1" applyFont="1" applyFill="1" applyBorder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0" fontId="26" fillId="0" borderId="4" xfId="0" applyFont="1" applyFill="1" applyBorder="1" applyAlignment="1">
      <alignment wrapText="1"/>
    </xf>
    <xf numFmtId="0" fontId="26" fillId="0" borderId="7" xfId="0" applyFont="1" applyFill="1" applyBorder="1" applyAlignment="1">
      <alignment wrapText="1"/>
    </xf>
    <xf numFmtId="43" fontId="0" fillId="0" borderId="1" xfId="2" applyFont="1" applyFill="1" applyBorder="1" applyAlignment="1">
      <alignment horizontal="center" wrapText="1"/>
    </xf>
    <xf numFmtId="4" fontId="0" fillId="0" borderId="1" xfId="0" applyNumberFormat="1" applyFont="1" applyFill="1" applyBorder="1" applyAlignment="1">
      <alignment horizontal="center" wrapText="1"/>
    </xf>
    <xf numFmtId="4" fontId="24" fillId="3" borderId="1" xfId="0" applyNumberFormat="1" applyFont="1" applyFill="1" applyBorder="1" applyAlignment="1">
      <alignment wrapText="1"/>
    </xf>
    <xf numFmtId="0" fontId="27" fillId="0" borderId="7" xfId="0" applyFont="1" applyFill="1" applyBorder="1" applyAlignment="1">
      <alignment wrapText="1"/>
    </xf>
    <xf numFmtId="0" fontId="28" fillId="0" borderId="1" xfId="0" applyFont="1" applyFill="1" applyBorder="1" applyAlignment="1">
      <alignment wrapText="1"/>
    </xf>
    <xf numFmtId="0" fontId="28" fillId="0" borderId="2" xfId="0" applyFont="1" applyFill="1" applyBorder="1" applyAlignment="1">
      <alignment wrapText="1"/>
    </xf>
    <xf numFmtId="0" fontId="28" fillId="0" borderId="4" xfId="0" applyFont="1" applyFill="1" applyBorder="1" applyAlignment="1">
      <alignment wrapText="1"/>
    </xf>
    <xf numFmtId="4" fontId="28" fillId="0" borderId="4" xfId="0" applyNumberFormat="1" applyFont="1" applyFill="1" applyBorder="1" applyAlignment="1">
      <alignment horizontal="left" wrapText="1"/>
    </xf>
    <xf numFmtId="0" fontId="28" fillId="0" borderId="7" xfId="0" applyFont="1" applyFill="1" applyBorder="1" applyAlignment="1">
      <alignment wrapText="1"/>
    </xf>
    <xf numFmtId="43" fontId="17" fillId="6" borderId="1" xfId="2" applyFont="1" applyFill="1" applyBorder="1" applyAlignment="1">
      <alignment wrapText="1"/>
    </xf>
    <xf numFmtId="4" fontId="29" fillId="0" borderId="4" xfId="0" applyNumberFormat="1" applyFont="1" applyFill="1" applyBorder="1" applyAlignment="1">
      <alignment horizontal="left" wrapText="1"/>
    </xf>
    <xf numFmtId="0" fontId="29" fillId="0" borderId="4" xfId="0" applyFont="1" applyFill="1" applyBorder="1" applyAlignment="1">
      <alignment wrapText="1"/>
    </xf>
    <xf numFmtId="0" fontId="29" fillId="0" borderId="4" xfId="0" applyFont="1" applyFill="1" applyBorder="1" applyAlignment="1">
      <alignment horizontal="left" wrapText="1"/>
    </xf>
    <xf numFmtId="4" fontId="29" fillId="0" borderId="4" xfId="0" applyNumberFormat="1" applyFont="1" applyFill="1" applyBorder="1" applyAlignment="1">
      <alignment wrapText="1"/>
    </xf>
    <xf numFmtId="0" fontId="29" fillId="0" borderId="7" xfId="0" applyFont="1" applyFill="1" applyBorder="1" applyAlignment="1">
      <alignment wrapText="1"/>
    </xf>
    <xf numFmtId="4" fontId="24" fillId="0" borderId="2" xfId="0" applyNumberFormat="1" applyFont="1" applyFill="1" applyBorder="1" applyAlignment="1">
      <alignment horizontal="left" wrapText="1"/>
    </xf>
    <xf numFmtId="4" fontId="24" fillId="0" borderId="7" xfId="0" applyNumberFormat="1" applyFont="1" applyFill="1" applyBorder="1" applyAlignment="1">
      <alignment horizontal="left" wrapText="1"/>
    </xf>
    <xf numFmtId="4" fontId="29" fillId="0" borderId="7" xfId="0" applyNumberFormat="1" applyFont="1" applyFill="1" applyBorder="1" applyAlignment="1">
      <alignment horizontal="left" wrapText="1"/>
    </xf>
    <xf numFmtId="0" fontId="29" fillId="0" borderId="1" xfId="0" applyFont="1" applyFill="1" applyBorder="1" applyAlignment="1">
      <alignment wrapText="1"/>
    </xf>
    <xf numFmtId="0" fontId="29" fillId="0" borderId="1" xfId="0" applyFont="1" applyFill="1" applyBorder="1" applyAlignment="1">
      <alignment horizontal="left" wrapText="1"/>
    </xf>
    <xf numFmtId="4" fontId="29" fillId="0" borderId="1" xfId="0" applyNumberFormat="1" applyFont="1" applyFill="1" applyBorder="1" applyAlignment="1">
      <alignment wrapText="1"/>
    </xf>
    <xf numFmtId="4" fontId="29" fillId="0" borderId="1" xfId="0" applyNumberFormat="1" applyFont="1" applyFill="1" applyBorder="1" applyAlignment="1">
      <alignment horizontal="left" wrapText="1"/>
    </xf>
    <xf numFmtId="0" fontId="29" fillId="0" borderId="7" xfId="0" applyNumberFormat="1" applyFont="1" applyFill="1" applyBorder="1" applyAlignment="1">
      <alignment wrapText="1"/>
    </xf>
    <xf numFmtId="0" fontId="29" fillId="0" borderId="2" xfId="0" applyNumberFormat="1" applyFont="1" applyFill="1" applyBorder="1" applyAlignment="1">
      <alignment wrapText="1"/>
    </xf>
    <xf numFmtId="0" fontId="24" fillId="3" borderId="1" xfId="0" applyFont="1" applyFill="1" applyBorder="1" applyAlignment="1">
      <alignment wrapText="1"/>
    </xf>
    <xf numFmtId="0" fontId="29" fillId="6" borderId="4" xfId="0" applyFont="1" applyFill="1" applyBorder="1" applyAlignment="1">
      <alignment wrapText="1"/>
    </xf>
    <xf numFmtId="0" fontId="29" fillId="6" borderId="1" xfId="0" applyFont="1" applyFill="1" applyBorder="1" applyAlignment="1">
      <alignment horizontal="left" wrapText="1"/>
    </xf>
    <xf numFmtId="0" fontId="29" fillId="6" borderId="1" xfId="0" applyFont="1" applyFill="1" applyBorder="1" applyAlignment="1">
      <alignment wrapText="1"/>
    </xf>
    <xf numFmtId="4" fontId="29" fillId="0" borderId="4" xfId="2" applyNumberFormat="1" applyFont="1" applyFill="1" applyBorder="1" applyAlignment="1">
      <alignment horizontal="left" wrapText="1"/>
    </xf>
    <xf numFmtId="4" fontId="29" fillId="0" borderId="7" xfId="2" applyNumberFormat="1" applyFont="1" applyFill="1" applyBorder="1" applyAlignment="1">
      <alignment horizontal="left" wrapText="1"/>
    </xf>
    <xf numFmtId="0" fontId="29" fillId="0" borderId="7" xfId="2" applyNumberFormat="1" applyFont="1" applyFill="1" applyBorder="1" applyAlignment="1">
      <alignment wrapText="1"/>
    </xf>
    <xf numFmtId="43" fontId="29" fillId="0" borderId="4" xfId="2" applyFont="1" applyFill="1" applyBorder="1" applyAlignment="1">
      <alignment horizontal="center" wrapText="1"/>
    </xf>
    <xf numFmtId="43" fontId="29" fillId="0" borderId="4" xfId="2" applyFont="1" applyFill="1" applyBorder="1" applyAlignment="1">
      <alignment wrapText="1"/>
    </xf>
    <xf numFmtId="4" fontId="24" fillId="6" borderId="4" xfId="0" applyNumberFormat="1" applyFont="1" applyFill="1" applyBorder="1" applyAlignment="1">
      <alignment wrapText="1"/>
    </xf>
    <xf numFmtId="4" fontId="24" fillId="0" borderId="7" xfId="0" applyNumberFormat="1" applyFont="1" applyFill="1" applyBorder="1" applyAlignment="1">
      <alignment wrapText="1"/>
    </xf>
    <xf numFmtId="4" fontId="29" fillId="0" borderId="7" xfId="0" applyNumberFormat="1" applyFont="1" applyFill="1" applyBorder="1" applyAlignment="1">
      <alignment wrapText="1"/>
    </xf>
    <xf numFmtId="4" fontId="29" fillId="0" borderId="7" xfId="2" applyNumberFormat="1" applyFont="1" applyFill="1" applyBorder="1" applyAlignment="1">
      <alignment wrapText="1"/>
    </xf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center" wrapText="1"/>
    </xf>
    <xf numFmtId="43" fontId="29" fillId="0" borderId="1" xfId="2" applyFont="1" applyFill="1" applyBorder="1" applyAlignment="1">
      <alignment wrapText="1"/>
    </xf>
    <xf numFmtId="0" fontId="29" fillId="0" borderId="4" xfId="2" applyNumberFormat="1" applyFont="1" applyFill="1" applyBorder="1" applyAlignment="1">
      <alignment wrapText="1"/>
    </xf>
    <xf numFmtId="4" fontId="29" fillId="0" borderId="4" xfId="2" applyNumberFormat="1" applyFont="1" applyFill="1" applyBorder="1" applyAlignment="1">
      <alignment wrapText="1"/>
    </xf>
    <xf numFmtId="4" fontId="29" fillId="0" borderId="8" xfId="2" applyNumberFormat="1" applyFont="1" applyFill="1" applyBorder="1" applyAlignment="1">
      <alignment wrapText="1"/>
    </xf>
    <xf numFmtId="0" fontId="29" fillId="0" borderId="8" xfId="2" applyNumberFormat="1" applyFont="1" applyFill="1" applyBorder="1" applyAlignment="1">
      <alignment wrapText="1"/>
    </xf>
    <xf numFmtId="43" fontId="0" fillId="0" borderId="1" xfId="2" applyFont="1" applyBorder="1"/>
    <xf numFmtId="43" fontId="0" fillId="0" borderId="1" xfId="2" applyFont="1" applyFill="1" applyBorder="1"/>
    <xf numFmtId="43" fontId="7" fillId="0" borderId="1" xfId="2" applyFont="1" applyBorder="1"/>
    <xf numFmtId="43" fontId="6" fillId="0" borderId="1" xfId="2" applyFont="1" applyBorder="1"/>
    <xf numFmtId="43" fontId="29" fillId="0" borderId="4" xfId="2" applyFont="1" applyFill="1" applyBorder="1" applyAlignment="1">
      <alignment horizontal="left" wrapText="1"/>
    </xf>
    <xf numFmtId="0" fontId="29" fillId="0" borderId="4" xfId="0" applyNumberFormat="1" applyFont="1" applyFill="1" applyBorder="1" applyAlignment="1">
      <alignment wrapText="1"/>
    </xf>
    <xf numFmtId="4" fontId="29" fillId="0" borderId="8" xfId="0" applyNumberFormat="1" applyFont="1" applyFill="1" applyBorder="1" applyAlignment="1">
      <alignment wrapText="1"/>
    </xf>
    <xf numFmtId="0" fontId="29" fillId="0" borderId="8" xfId="0" applyNumberFormat="1" applyFont="1" applyFill="1" applyBorder="1" applyAlignment="1">
      <alignment wrapText="1"/>
    </xf>
    <xf numFmtId="4" fontId="28" fillId="6" borderId="4" xfId="0" applyNumberFormat="1" applyFont="1" applyFill="1" applyBorder="1" applyAlignment="1">
      <alignment wrapText="1"/>
    </xf>
    <xf numFmtId="4" fontId="24" fillId="6" borderId="4" xfId="0" applyNumberFormat="1" applyFont="1" applyFill="1" applyBorder="1" applyAlignment="1">
      <alignment horizontal="left" wrapText="1"/>
    </xf>
    <xf numFmtId="4" fontId="26" fillId="6" borderId="4" xfId="0" applyNumberFormat="1" applyFont="1" applyFill="1" applyBorder="1" applyAlignment="1">
      <alignment wrapText="1"/>
    </xf>
    <xf numFmtId="4" fontId="28" fillId="6" borderId="1" xfId="0" applyNumberFormat="1" applyFont="1" applyFill="1" applyBorder="1" applyAlignment="1">
      <alignment horizontal="left" wrapText="1"/>
    </xf>
    <xf numFmtId="4" fontId="28" fillId="6" borderId="1" xfId="0" applyNumberFormat="1" applyFont="1" applyFill="1" applyBorder="1" applyAlignment="1">
      <alignment wrapText="1"/>
    </xf>
    <xf numFmtId="4" fontId="28" fillId="6" borderId="4" xfId="0" applyNumberFormat="1" applyFont="1" applyFill="1" applyBorder="1" applyAlignment="1">
      <alignment horizontal="left" wrapText="1"/>
    </xf>
    <xf numFmtId="4" fontId="29" fillId="6" borderId="4" xfId="0" applyNumberFormat="1" applyFont="1" applyFill="1" applyBorder="1" applyAlignment="1">
      <alignment wrapText="1"/>
    </xf>
    <xf numFmtId="4" fontId="29" fillId="6" borderId="1" xfId="0" applyNumberFormat="1" applyFont="1" applyFill="1" applyBorder="1" applyAlignment="1">
      <alignment wrapText="1"/>
    </xf>
    <xf numFmtId="4" fontId="24" fillId="0" borderId="1" xfId="0" applyNumberFormat="1" applyFont="1" applyBorder="1" applyAlignment="1">
      <alignment horizontal="left" wrapText="1"/>
    </xf>
    <xf numFmtId="0" fontId="7" fillId="0" borderId="1" xfId="0" applyFont="1" applyBorder="1"/>
    <xf numFmtId="0" fontId="29" fillId="0" borderId="3" xfId="0" applyFont="1" applyFill="1" applyBorder="1" applyAlignment="1">
      <alignment horizontal="center" wrapText="1"/>
    </xf>
    <xf numFmtId="4" fontId="30" fillId="0" borderId="1" xfId="0" applyNumberFormat="1" applyFont="1" applyBorder="1" applyAlignment="1">
      <alignment horizontal="left" wrapText="1"/>
    </xf>
    <xf numFmtId="0" fontId="29" fillId="0" borderId="1" xfId="0" applyFont="1" applyBorder="1" applyAlignment="1">
      <alignment wrapText="1"/>
    </xf>
    <xf numFmtId="4" fontId="17" fillId="0" borderId="1" xfId="0" applyNumberFormat="1" applyFont="1" applyBorder="1" applyAlignment="1">
      <alignment horizontal="left" wrapText="1"/>
    </xf>
    <xf numFmtId="4" fontId="24" fillId="0" borderId="4" xfId="0" applyNumberFormat="1" applyFont="1" applyBorder="1" applyAlignment="1">
      <alignment horizontal="left" wrapText="1"/>
    </xf>
    <xf numFmtId="0" fontId="29" fillId="0" borderId="4" xfId="0" applyFont="1" applyBorder="1" applyAlignment="1">
      <alignment horizontal="left" wrapText="1"/>
    </xf>
    <xf numFmtId="0" fontId="29" fillId="0" borderId="4" xfId="0" applyFont="1" applyBorder="1" applyAlignment="1">
      <alignment wrapText="1"/>
    </xf>
    <xf numFmtId="0" fontId="29" fillId="0" borderId="1" xfId="0" applyFont="1" applyBorder="1" applyAlignment="1">
      <alignment horizontal="left" wrapText="1"/>
    </xf>
    <xf numFmtId="4" fontId="29" fillId="0" borderId="4" xfId="0" applyNumberFormat="1" applyFont="1" applyBorder="1" applyAlignment="1">
      <alignment horizontal="left" wrapText="1"/>
    </xf>
    <xf numFmtId="4" fontId="29" fillId="0" borderId="1" xfId="0" applyNumberFormat="1" applyFont="1" applyBorder="1" applyAlignment="1">
      <alignment horizontal="left" wrapText="1"/>
    </xf>
    <xf numFmtId="4" fontId="29" fillId="0" borderId="4" xfId="0" applyNumberFormat="1" applyFont="1" applyBorder="1" applyAlignment="1">
      <alignment wrapText="1"/>
    </xf>
    <xf numFmtId="4" fontId="29" fillId="0" borderId="1" xfId="0" applyNumberFormat="1" applyFont="1" applyBorder="1" applyAlignment="1">
      <alignment wrapText="1"/>
    </xf>
    <xf numFmtId="4" fontId="29" fillId="0" borderId="1" xfId="0" applyNumberFormat="1" applyFont="1" applyBorder="1" applyAlignment="1">
      <alignment horizontal="center" wrapText="1"/>
    </xf>
    <xf numFmtId="4" fontId="29" fillId="0" borderId="4" xfId="0" applyNumberFormat="1" applyFont="1" applyBorder="1" applyAlignment="1">
      <alignment horizontal="center" wrapText="1"/>
    </xf>
    <xf numFmtId="43" fontId="29" fillId="0" borderId="4" xfId="0" applyNumberFormat="1" applyFont="1" applyBorder="1" applyAlignment="1">
      <alignment wrapText="1"/>
    </xf>
    <xf numFmtId="0" fontId="29" fillId="0" borderId="2" xfId="2" applyNumberFormat="1" applyFont="1" applyFill="1" applyBorder="1" applyAlignment="1">
      <alignment wrapText="1"/>
    </xf>
    <xf numFmtId="4" fontId="26" fillId="0" borderId="4" xfId="0" applyNumberFormat="1" applyFont="1" applyFill="1" applyBorder="1" applyAlignment="1">
      <alignment wrapText="1"/>
    </xf>
    <xf numFmtId="0" fontId="31" fillId="0" borderId="4" xfId="0" applyFont="1" applyFill="1" applyBorder="1" applyAlignment="1">
      <alignment wrapText="1"/>
    </xf>
    <xf numFmtId="0" fontId="31" fillId="0" borderId="1" xfId="0" applyFont="1" applyFill="1" applyBorder="1" applyAlignment="1">
      <alignment wrapText="1"/>
    </xf>
    <xf numFmtId="4" fontId="31" fillId="0" borderId="1" xfId="0" applyNumberFormat="1" applyFont="1" applyFill="1" applyBorder="1" applyAlignment="1">
      <alignment wrapText="1"/>
    </xf>
    <xf numFmtId="4" fontId="31" fillId="0" borderId="4" xfId="0" applyNumberFormat="1" applyFont="1" applyFill="1" applyBorder="1" applyAlignment="1">
      <alignment wrapText="1"/>
    </xf>
    <xf numFmtId="4" fontId="31" fillId="0" borderId="4" xfId="0" applyNumberFormat="1" applyFont="1" applyFill="1" applyBorder="1" applyAlignment="1">
      <alignment horizontal="left" wrapText="1"/>
    </xf>
    <xf numFmtId="43" fontId="0" fillId="0" borderId="1" xfId="0" applyNumberFormat="1" applyBorder="1"/>
    <xf numFmtId="0" fontId="32" fillId="0" borderId="4" xfId="0" applyFont="1" applyFill="1" applyBorder="1" applyAlignment="1">
      <alignment wrapText="1"/>
    </xf>
    <xf numFmtId="0" fontId="32" fillId="0" borderId="4" xfId="0" applyFont="1" applyFill="1" applyBorder="1" applyAlignment="1">
      <alignment horizontal="left" wrapText="1"/>
    </xf>
    <xf numFmtId="4" fontId="32" fillId="0" borderId="4" xfId="0" applyNumberFormat="1" applyFont="1" applyFill="1" applyBorder="1" applyAlignment="1">
      <alignment wrapText="1"/>
    </xf>
    <xf numFmtId="4" fontId="32" fillId="0" borderId="4" xfId="0" applyNumberFormat="1" applyFont="1" applyFill="1" applyBorder="1" applyAlignment="1">
      <alignment horizontal="left" wrapText="1"/>
    </xf>
    <xf numFmtId="4" fontId="32" fillId="6" borderId="4" xfId="0" applyNumberFormat="1" applyFont="1" applyFill="1" applyBorder="1" applyAlignment="1">
      <alignment wrapText="1"/>
    </xf>
    <xf numFmtId="0" fontId="33" fillId="0" borderId="4" xfId="0" applyFont="1" applyFill="1" applyBorder="1" applyAlignment="1">
      <alignment wrapText="1"/>
    </xf>
    <xf numFmtId="0" fontId="33" fillId="0" borderId="4" xfId="0" applyFont="1" applyFill="1" applyBorder="1" applyAlignment="1">
      <alignment horizontal="left" wrapText="1"/>
    </xf>
    <xf numFmtId="4" fontId="33" fillId="0" borderId="4" xfId="0" applyNumberFormat="1" applyFont="1" applyFill="1" applyBorder="1" applyAlignment="1">
      <alignment wrapText="1"/>
    </xf>
    <xf numFmtId="4" fontId="33" fillId="0" borderId="4" xfId="0" applyNumberFormat="1" applyFont="1" applyFill="1" applyBorder="1" applyAlignment="1">
      <alignment horizontal="left" wrapText="1"/>
    </xf>
    <xf numFmtId="4" fontId="33" fillId="3" borderId="4" xfId="0" applyNumberFormat="1" applyFont="1" applyFill="1" applyBorder="1" applyAlignment="1">
      <alignment wrapText="1"/>
    </xf>
    <xf numFmtId="4" fontId="33" fillId="6" borderId="4" xfId="0" applyNumberFormat="1" applyFont="1" applyFill="1" applyBorder="1" applyAlignment="1">
      <alignment wrapText="1"/>
    </xf>
    <xf numFmtId="0" fontId="33" fillId="0" borderId="10" xfId="0" applyFont="1" applyFill="1" applyBorder="1" applyAlignment="1">
      <alignment horizontal="center" wrapText="1"/>
    </xf>
    <xf numFmtId="0" fontId="24" fillId="6" borderId="4" xfId="0" applyFont="1" applyFill="1" applyBorder="1" applyAlignment="1">
      <alignment horizontal="left" wrapText="1"/>
    </xf>
    <xf numFmtId="0" fontId="32" fillId="0" borderId="1" xfId="0" applyFont="1" applyFill="1" applyBorder="1" applyAlignment="1">
      <alignment wrapText="1"/>
    </xf>
    <xf numFmtId="0" fontId="31" fillId="6" borderId="1" xfId="0" applyFont="1" applyFill="1" applyBorder="1" applyAlignment="1">
      <alignment horizontal="left" wrapText="1"/>
    </xf>
    <xf numFmtId="4" fontId="31" fillId="6" borderId="1" xfId="0" applyNumberFormat="1" applyFont="1" applyFill="1" applyBorder="1" applyAlignment="1">
      <alignment wrapText="1"/>
    </xf>
    <xf numFmtId="0" fontId="33" fillId="0" borderId="3" xfId="0" applyFont="1" applyFill="1" applyBorder="1" applyAlignment="1">
      <alignment horizontal="center" wrapText="1"/>
    </xf>
    <xf numFmtId="0" fontId="33" fillId="0" borderId="1" xfId="0" applyFont="1" applyFill="1" applyBorder="1" applyAlignment="1">
      <alignment wrapText="1"/>
    </xf>
    <xf numFmtId="0" fontId="33" fillId="0" borderId="1" xfId="0" applyFont="1" applyFill="1" applyBorder="1" applyAlignment="1">
      <alignment horizontal="left" wrapText="1"/>
    </xf>
    <xf numFmtId="4" fontId="33" fillId="0" borderId="1" xfId="0" applyNumberFormat="1" applyFont="1" applyFill="1" applyBorder="1" applyAlignment="1">
      <alignment wrapText="1"/>
    </xf>
    <xf numFmtId="0" fontId="33" fillId="0" borderId="4" xfId="0" applyFont="1" applyFill="1" applyBorder="1" applyAlignment="1">
      <alignment horizontal="center" wrapText="1"/>
    </xf>
    <xf numFmtId="4" fontId="33" fillId="0" borderId="1" xfId="0" applyNumberFormat="1" applyFont="1" applyFill="1" applyBorder="1" applyAlignment="1">
      <alignment horizontal="left" wrapText="1"/>
    </xf>
    <xf numFmtId="43" fontId="33" fillId="0" borderId="4" xfId="2" applyFont="1" applyFill="1" applyBorder="1" applyAlignment="1">
      <alignment wrapText="1"/>
    </xf>
    <xf numFmtId="43" fontId="33" fillId="0" borderId="1" xfId="2" applyFont="1" applyFill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43" fontId="24" fillId="3" borderId="1" xfId="2" applyFont="1" applyFill="1" applyBorder="1" applyAlignment="1">
      <alignment wrapText="1"/>
    </xf>
    <xf numFmtId="43" fontId="0" fillId="0" borderId="0" xfId="2" applyFont="1"/>
    <xf numFmtId="43" fontId="0" fillId="0" borderId="0" xfId="2" applyFont="1" applyFill="1" applyBorder="1"/>
    <xf numFmtId="43" fontId="0" fillId="0" borderId="0" xfId="0" applyNumberFormat="1"/>
    <xf numFmtId="0" fontId="0" fillId="0" borderId="0" xfId="0" applyBorder="1"/>
    <xf numFmtId="43" fontId="6" fillId="0" borderId="0" xfId="2" applyFont="1" applyBorder="1"/>
    <xf numFmtId="43" fontId="0" fillId="0" borderId="0" xfId="0" applyNumberFormat="1" applyBorder="1"/>
    <xf numFmtId="43" fontId="6" fillId="3" borderId="1" xfId="2" applyFont="1" applyFill="1" applyBorder="1"/>
    <xf numFmtId="43" fontId="0" fillId="3" borderId="0" xfId="0" applyNumberFormat="1" applyFill="1"/>
    <xf numFmtId="43" fontId="0" fillId="3" borderId="0" xfId="2" applyFont="1" applyFill="1" applyBorder="1"/>
    <xf numFmtId="43" fontId="6" fillId="6" borderId="1" xfId="2" applyFont="1" applyFill="1" applyBorder="1"/>
    <xf numFmtId="43" fontId="6" fillId="9" borderId="1" xfId="2" applyFont="1" applyFill="1" applyBorder="1"/>
    <xf numFmtId="43" fontId="0" fillId="9" borderId="1" xfId="0" applyNumberFormat="1" applyFill="1" applyBorder="1"/>
    <xf numFmtId="43" fontId="0" fillId="10" borderId="0" xfId="0" applyNumberFormat="1" applyFill="1"/>
    <xf numFmtId="0" fontId="11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2" xfId="2" applyFont="1" applyBorder="1" applyAlignment="1">
      <alignment horizontal="center"/>
    </xf>
    <xf numFmtId="43" fontId="0" fillId="0" borderId="9" xfId="2" applyFont="1" applyBorder="1" applyAlignment="1">
      <alignment horizontal="center"/>
    </xf>
    <xf numFmtId="43" fontId="0" fillId="0" borderId="3" xfId="2" applyFont="1" applyBorder="1" applyAlignment="1">
      <alignment horizontal="center"/>
    </xf>
    <xf numFmtId="43" fontId="7" fillId="0" borderId="2" xfId="2" applyFont="1" applyBorder="1" applyAlignment="1">
      <alignment horizontal="center"/>
    </xf>
    <xf numFmtId="43" fontId="7" fillId="0" borderId="9" xfId="2" applyFont="1" applyBorder="1" applyAlignment="1">
      <alignment horizontal="center"/>
    </xf>
    <xf numFmtId="43" fontId="7" fillId="0" borderId="3" xfId="2" applyFont="1" applyBorder="1" applyAlignment="1">
      <alignment horizontal="center"/>
    </xf>
    <xf numFmtId="43" fontId="6" fillId="0" borderId="9" xfId="2" applyFont="1" applyBorder="1" applyAlignment="1">
      <alignment horizontal="center"/>
    </xf>
    <xf numFmtId="43" fontId="6" fillId="0" borderId="3" xfId="2" applyFont="1" applyBorder="1" applyAlignment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73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  <fill>
        <patternFill patternType="none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гости1" refreshedDate="46046.749057407411" createdVersion="4" refreshedVersion="4" minRefreshableVersion="3" recordCount="277">
  <cacheSource type="worksheet">
    <worksheetSource name="Таблица3"/>
  </cacheSource>
  <cacheFields count="13">
    <cacheField name="№" numFmtId="0">
      <sharedItems containsString="0" containsBlank="1" containsNumber="1" containsInteger="1" minValue="1" maxValue="264"/>
    </cacheField>
    <cacheField name="НАИМЕНОВАНИЯ" numFmtId="0">
      <sharedItems containsBlank="1"/>
    </cacheField>
    <cacheField name="ИНН" numFmtId="0">
      <sharedItems containsString="0" containsBlank="1" containsNumber="1" containsInteger="1" minValue="201250775" maxValue="40806820470047"/>
    </cacheField>
    <cacheField name="НДС" numFmtId="0">
      <sharedItems containsBlank="1"/>
    </cacheField>
    <cacheField name="Бухгалтер" numFmtId="0">
      <sharedItems containsBlank="1" count="56">
        <s v="Sevara"/>
        <s v="Ruslan"/>
        <s v="Abrorbek"/>
        <s v="Go'zaloy"/>
        <s v="Mohirbek"/>
        <s v="Maxmuda"/>
        <s v="Muslimbek"/>
        <s v="Mirabbos"/>
        <s v="Abdugani"/>
        <s v="Musobek"/>
        <s v="Humora"/>
        <s v="Alisher"/>
        <m/>
        <s v="Zamira"/>
        <s v="Otabek"/>
        <s v="Aziz shogird"/>
        <s v="Dilhush"/>
        <s v="Hasan"/>
        <s v="Javohir"/>
        <s v="Axmadjon"/>
        <s v="Ilhom"/>
        <s v="Olloshukur"/>
        <s v="Mirahmad"/>
        <s v="Sherzod"/>
        <s v="Adxam"/>
        <s v="Kamron"/>
        <s v="Elbek"/>
        <s v="   " u="1"/>
        <s v="Lobar" u="1"/>
        <s v="Urganch" u="1"/>
        <s v="Doniyor" u="1"/>
        <s v="Hojiakbar" u="1"/>
        <s v="Marifat" u="1"/>
        <s v="Dilafruz" u="1"/>
        <s v="Sanjar" u="1"/>
        <s v="Dilmurod 2" u="1"/>
        <s v="Hazratali" u="1"/>
        <s v="Jurat" u="1"/>
        <s v="Azizbek" u="1"/>
        <s v="Sarvinoz" u="1"/>
        <s v="Shaxodat" u="1"/>
        <s v="Simora" u="1"/>
        <s v="Adham" u="1"/>
        <s v="Furqatbek" u="1"/>
        <s v="Raxima" u="1"/>
        <s v="Bekzodbek" u="1"/>
        <s v="Shoira" u="1"/>
        <s v="Muxlisa" u="1"/>
        <s v="Dilmurod" u="1"/>
        <s v="Diyorbek" u="1"/>
        <s v="Asliddin" u="1"/>
        <s v="Shahzoda" u="1"/>
        <s v="Sardor" u="1"/>
        <s v="Xasan" u="1"/>
        <s v="Gulrux" u="1"/>
        <s v="Jamshid" u="1"/>
      </sharedItems>
    </cacheField>
    <cacheField name="bank klient" numFmtId="0">
      <sharedItems containsBlank="1" count="13">
        <s v="Azizbek"/>
        <s v="Ruslan"/>
        <m/>
        <s v="Bekzod"/>
        <s v="Abdulaziz"/>
        <s v="Ziyoda" u="1"/>
        <s v="Doniyor" u="1"/>
        <s v="Dilhush" u="1"/>
        <s v="Dilmurod 2" u="1"/>
        <s v="Jasur" u="1"/>
        <s v="Isfandiyor" u="1"/>
        <s v="Sherzod" u="1"/>
        <s v="Jamshid" u="1"/>
      </sharedItems>
    </cacheField>
    <cacheField name="Столбец7" numFmtId="0">
      <sharedItems containsString="0" containsBlank="1" containsNumber="1" containsInteger="1" minValue="0" maxValue="50000000"/>
    </cacheField>
    <cacheField name="Назоратчи" numFmtId="0">
      <sharedItems containsBlank="1" count="12">
        <s v="Muslimbek"/>
        <s v="Go'zaloy"/>
        <s v="Musobek"/>
        <m/>
        <s v="Zamira"/>
        <s v="Yorqinoy" u="1"/>
        <s v="Urganch" u="1"/>
        <s v="Roziya" u="1"/>
        <s v="Furqatbek" u="1"/>
        <s v="Maxmuda" u="1"/>
        <s v="Dilmurod" u="1"/>
        <s v="Jamshid" u="1"/>
      </sharedItems>
    </cacheField>
    <cacheField name="Столбец10" numFmtId="4">
      <sharedItems containsString="0" containsBlank="1" containsNumber="1" containsInteger="1" minValue="10" maxValue="25"/>
    </cacheField>
    <cacheField name="% банк клиент" numFmtId="4">
      <sharedItems containsString="0" containsBlank="1" containsNumber="1" containsInteger="1" minValue="0" maxValue="1250000"/>
    </cacheField>
    <cacheField name="% бухгалтер" numFmtId="0">
      <sharedItems containsString="0" containsBlank="1" containsNumber="1" containsInteger="1" minValue="0" maxValue="5000000"/>
    </cacheField>
    <cacheField name="Ёркиной" numFmtId="0">
      <sharedItems containsString="0" containsBlank="1" containsNumber="1" minValue="0" maxValue="2500000"/>
    </cacheField>
    <cacheField name="Назоратчи  %" numFmtId="0">
      <sharedItems containsString="0" containsBlank="1" containsNumber="1" containsInteger="1" minValue="0" maxValue="1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n v="1"/>
    <s v="MONTAJ TEPLO ENERGO MCHJ"/>
    <n v="306033555"/>
    <s v="НДС"/>
    <x v="0"/>
    <x v="0"/>
    <n v="500000"/>
    <x v="0"/>
    <n v="20"/>
    <n v="25000"/>
    <n v="100000"/>
    <n v="35000"/>
    <n v="25000"/>
  </r>
  <r>
    <n v="2"/>
    <s v="&quot;FINANCE COUNCIL&quot; MCHJ"/>
    <n v="302672452"/>
    <m/>
    <x v="1"/>
    <x v="1"/>
    <n v="700000"/>
    <x v="1"/>
    <n v="20"/>
    <n v="35000"/>
    <n v="140000"/>
    <n v="49000.000000000007"/>
    <n v="35000"/>
  </r>
  <r>
    <n v="3"/>
    <s v="&quot;ЧП &quot;ROAD RIDERS&quot;"/>
    <n v="306807944"/>
    <m/>
    <x v="2"/>
    <x v="1"/>
    <n v="700000"/>
    <x v="1"/>
    <n v="20"/>
    <n v="35000"/>
    <n v="140000"/>
    <n v="49000.000000000007"/>
    <n v="35000"/>
  </r>
  <r>
    <n v="4"/>
    <s v="ЧП &quot;SEVEN`S UP&quot; "/>
    <n v="306918663"/>
    <m/>
    <x v="1"/>
    <x v="1"/>
    <n v="700000"/>
    <x v="1"/>
    <n v="20"/>
    <n v="35000"/>
    <n v="140000"/>
    <n v="49000.000000000007"/>
    <n v="35000"/>
  </r>
  <r>
    <n v="5"/>
    <s v="ООО &quot;TEN BRANCHES&quot;"/>
    <n v="307053253"/>
    <m/>
    <x v="3"/>
    <x v="2"/>
    <n v="0"/>
    <x v="0"/>
    <n v="20"/>
    <n v="0"/>
    <n v="0"/>
    <n v="0"/>
    <n v="0"/>
  </r>
  <r>
    <n v="6"/>
    <s v="СП &quot;ZIL-BAX&quot;"/>
    <n v="307972154"/>
    <m/>
    <x v="4"/>
    <x v="1"/>
    <n v="700000"/>
    <x v="2"/>
    <n v="20"/>
    <n v="35000"/>
    <n v="140000"/>
    <n v="49000.000000000007"/>
    <n v="35000"/>
  </r>
  <r>
    <n v="7"/>
    <s v="OOO &quot;SARDORBEK HOUSE&quot; "/>
    <n v="308435425"/>
    <m/>
    <x v="1"/>
    <x v="1"/>
    <n v="700000"/>
    <x v="1"/>
    <n v="20"/>
    <n v="35000"/>
    <n v="140000"/>
    <n v="49000.000000000007"/>
    <n v="35000"/>
  </r>
  <r>
    <n v="8"/>
    <s v=" &quot;DILFUZAXON AVTO&quot; "/>
    <n v="304825630"/>
    <s v="НДС"/>
    <x v="2"/>
    <x v="1"/>
    <n v="2000000"/>
    <x v="1"/>
    <n v="20"/>
    <n v="100000"/>
    <n v="400000"/>
    <n v="140000"/>
    <n v="100000"/>
  </r>
  <r>
    <n v="9"/>
    <s v="&quot;SOF MEDTEX&quot; MCHJ"/>
    <n v="309899654"/>
    <m/>
    <x v="5"/>
    <x v="0"/>
    <n v="6000000"/>
    <x v="1"/>
    <n v="20"/>
    <n v="300000"/>
    <n v="1200000"/>
    <n v="420000.00000000006"/>
    <n v="300000"/>
  </r>
  <r>
    <n v="10"/>
    <s v="OOO &quot;RONICS&quot;"/>
    <n v="308023653"/>
    <s v="НДС"/>
    <x v="6"/>
    <x v="0"/>
    <n v="2500000"/>
    <x v="1"/>
    <n v="20"/>
    <n v="125000"/>
    <n v="500000"/>
    <n v="175000.00000000003"/>
    <n v="125000"/>
  </r>
  <r>
    <n v="11"/>
    <s v="&quot;SAPRAMTECH&quot; OOO "/>
    <n v="308820248"/>
    <s v="НДС"/>
    <x v="6"/>
    <x v="0"/>
    <n v="7000000"/>
    <x v="1"/>
    <n v="20"/>
    <n v="350000"/>
    <n v="1400000"/>
    <n v="490000.00000000006"/>
    <n v="350000"/>
  </r>
  <r>
    <n v="12"/>
    <s v="GELECTRONIC"/>
    <n v="310055812"/>
    <s v="НДС"/>
    <x v="7"/>
    <x v="1"/>
    <n v="4000000"/>
    <x v="0"/>
    <n v="20"/>
    <n v="200000"/>
    <n v="800000"/>
    <n v="280000"/>
    <n v="200000"/>
  </r>
  <r>
    <n v="13"/>
    <s v="SHIRIN XK"/>
    <n v="202536307"/>
    <s v="НДС"/>
    <x v="3"/>
    <x v="2"/>
    <n v="2000000"/>
    <x v="0"/>
    <n v="25"/>
    <n v="0"/>
    <n v="500000"/>
    <n v="140000"/>
    <n v="100000"/>
  </r>
  <r>
    <n v="14"/>
    <s v="MELIOMASH"/>
    <n v="304940229"/>
    <s v="НДС"/>
    <x v="3"/>
    <x v="2"/>
    <n v="0"/>
    <x v="0"/>
    <n v="20"/>
    <n v="0"/>
    <n v="0"/>
    <n v="0"/>
    <n v="0"/>
  </r>
  <r>
    <n v="15"/>
    <s v=" &quot;C A WOLVES&quot; "/>
    <n v="305713761"/>
    <s v="НДС"/>
    <x v="8"/>
    <x v="0"/>
    <n v="3000000"/>
    <x v="0"/>
    <n v="20"/>
    <n v="150000"/>
    <n v="600000"/>
    <n v="210000.00000000003"/>
    <n v="150000"/>
  </r>
  <r>
    <n v="16"/>
    <s v="&quot;AL-AZIZ ACADEMY&quot; НОУ"/>
    <n v="306784151"/>
    <s v="НДС"/>
    <x v="9"/>
    <x v="0"/>
    <n v="3500000"/>
    <x v="1"/>
    <n v="20"/>
    <n v="175000"/>
    <n v="700000"/>
    <n v="245000.00000000003"/>
    <n v="175000"/>
  </r>
  <r>
    <n v="17"/>
    <s v="ООО &quot;INTEST MAX&quot;"/>
    <n v="307058508"/>
    <s v="НДС"/>
    <x v="3"/>
    <x v="0"/>
    <n v="25000000"/>
    <x v="0"/>
    <n v="20"/>
    <n v="1250000"/>
    <n v="5000000"/>
    <n v="1750000.0000000002"/>
    <n v="1250000"/>
  </r>
  <r>
    <n v="18"/>
    <s v="&quot;AVIA GORODOK&quot;"/>
    <n v="307688389"/>
    <s v="НДС"/>
    <x v="4"/>
    <x v="1"/>
    <n v="1000000"/>
    <x v="0"/>
    <n v="20"/>
    <n v="50000"/>
    <n v="200000"/>
    <n v="70000"/>
    <n v="50000"/>
  </r>
  <r>
    <n v="19"/>
    <s v="&quot;AVTOMATLASHTIRILGAN ELEKTRIK YURITMA&quot;"/>
    <n v="201250775"/>
    <m/>
    <x v="0"/>
    <x v="2"/>
    <n v="500000"/>
    <x v="0"/>
    <n v="20"/>
    <n v="0"/>
    <n v="100000"/>
    <n v="35000"/>
    <n v="25000"/>
  </r>
  <r>
    <n v="20"/>
    <s v="BM UNIT"/>
    <m/>
    <m/>
    <x v="10"/>
    <x v="0"/>
    <n v="1000000"/>
    <x v="1"/>
    <n v="20"/>
    <n v="50000"/>
    <n v="200000"/>
    <n v="70000"/>
    <n v="50000"/>
  </r>
  <r>
    <n v="21"/>
    <s v="ООО &quot;AVTO LUXUSARY TRADE&quot;  "/>
    <n v="307043621"/>
    <m/>
    <x v="11"/>
    <x v="1"/>
    <n v="1000000"/>
    <x v="0"/>
    <n v="20"/>
    <n v="50000"/>
    <n v="200000"/>
    <n v="70000"/>
    <n v="50000"/>
  </r>
  <r>
    <n v="22"/>
    <s v="KOLBERG PRODUCTION"/>
    <m/>
    <m/>
    <x v="12"/>
    <x v="2"/>
    <n v="50000000"/>
    <x v="3"/>
    <m/>
    <m/>
    <n v="0"/>
    <n v="2500000"/>
    <n v="0"/>
  </r>
  <r>
    <n v="23"/>
    <s v=" &quot;AKJ SEBZOR BO`LIMI&quot; "/>
    <n v="305150198"/>
    <s v="НДС"/>
    <x v="0"/>
    <x v="1"/>
    <n v="500000"/>
    <x v="0"/>
    <n v="20"/>
    <n v="25000"/>
    <n v="100000"/>
    <n v="35000"/>
    <n v="25000"/>
  </r>
  <r>
    <n v="24"/>
    <s v=" &quot;AKJ TUZEL BO`LIMI&quot;"/>
    <n v="307829726"/>
    <s v="НДС"/>
    <x v="0"/>
    <x v="1"/>
    <n v="500000"/>
    <x v="0"/>
    <n v="20"/>
    <n v="25000"/>
    <n v="100000"/>
    <n v="35000"/>
    <n v="25000"/>
  </r>
  <r>
    <n v="25"/>
    <s v="&quot;WALL STREET ACADEMY&quot; "/>
    <n v="306116238"/>
    <s v="НДС"/>
    <x v="5"/>
    <x v="1"/>
    <n v="2300000"/>
    <x v="1"/>
    <n v="20"/>
    <n v="115000"/>
    <n v="460000"/>
    <n v="161000.00000000003"/>
    <n v="115000"/>
  </r>
  <r>
    <n v="27"/>
    <s v="LIDER ELITE"/>
    <m/>
    <m/>
    <x v="13"/>
    <x v="0"/>
    <n v="2500000"/>
    <x v="1"/>
    <n v="20"/>
    <n v="125000"/>
    <n v="500000"/>
    <n v="175000.00000000003"/>
    <n v="125000"/>
  </r>
  <r>
    <n v="28"/>
    <s v="NATURE ECO WOOD MCHJ"/>
    <n v="309706846"/>
    <s v="НДС"/>
    <x v="7"/>
    <x v="2"/>
    <m/>
    <x v="0"/>
    <n v="20"/>
    <n v="0"/>
    <n v="0"/>
    <n v="0"/>
    <n v="0"/>
  </r>
  <r>
    <n v="29"/>
    <s v="Wood city 1999"/>
    <m/>
    <m/>
    <x v="7"/>
    <x v="2"/>
    <m/>
    <x v="0"/>
    <n v="20"/>
    <n v="0"/>
    <n v="0"/>
    <n v="0"/>
    <n v="0"/>
  </r>
  <r>
    <n v="30"/>
    <s v="&quot;G-R-A-N-D ELECTRONICS&quot; "/>
    <n v="308038910"/>
    <m/>
    <x v="7"/>
    <x v="0"/>
    <n v="1000000"/>
    <x v="0"/>
    <n v="20"/>
    <n v="50000"/>
    <n v="200000"/>
    <n v="70000"/>
    <n v="50000"/>
  </r>
  <r>
    <n v="31"/>
    <s v="KIFTI OFTOB SARBONI"/>
    <m/>
    <m/>
    <x v="7"/>
    <x v="1"/>
    <n v="2000000"/>
    <x v="0"/>
    <n v="20"/>
    <n v="100000"/>
    <n v="400000"/>
    <n v="140000"/>
    <n v="0"/>
  </r>
  <r>
    <n v="32"/>
    <s v="ЧП &quot;MATYUSUF SALAEV&quot;"/>
    <n v="206155668"/>
    <s v="НДС"/>
    <x v="10"/>
    <x v="0"/>
    <n v="0"/>
    <x v="1"/>
    <n v="20"/>
    <n v="0"/>
    <n v="0"/>
    <n v="0"/>
    <n v="0"/>
  </r>
  <r>
    <n v="33"/>
    <s v="OOO &quot;MAGISTRAL TRANS QURILISH&quot;"/>
    <n v="207189989"/>
    <s v="НДС"/>
    <x v="10"/>
    <x v="1"/>
    <n v="3500000"/>
    <x v="1"/>
    <n v="20"/>
    <n v="175000"/>
    <n v="700000"/>
    <n v="245000.00000000003"/>
    <n v="175000"/>
  </r>
  <r>
    <n v="34"/>
    <s v="&quot;SHIRIN LYUKS TAOM&quot; 01.09.2021"/>
    <n v="302813323"/>
    <s v="НДС"/>
    <x v="9"/>
    <x v="2"/>
    <n v="0"/>
    <x v="1"/>
    <n v="20"/>
    <n v="0"/>
    <n v="0"/>
    <n v="0"/>
    <n v="0"/>
  </r>
  <r>
    <n v="35"/>
    <s v="BY ETIKETKA"/>
    <m/>
    <m/>
    <x v="2"/>
    <x v="0"/>
    <n v="1500000"/>
    <x v="1"/>
    <n v="20"/>
    <n v="75000"/>
    <n v="300000"/>
    <n v="105000.00000000001"/>
    <n v="75000"/>
  </r>
  <r>
    <n v="36"/>
    <s v=" IN VITRO PLANTS"/>
    <m/>
    <m/>
    <x v="7"/>
    <x v="0"/>
    <n v="2000000"/>
    <x v="0"/>
    <n v="20"/>
    <n v="100000"/>
    <n v="400000"/>
    <n v="140000"/>
    <n v="100000"/>
  </r>
  <r>
    <n v="37"/>
    <s v="ООО &quot;BASKETBALL ACADEMY&quot; "/>
    <n v="307205799"/>
    <s v="НДС"/>
    <x v="14"/>
    <x v="1"/>
    <n v="700000"/>
    <x v="0"/>
    <n v="20"/>
    <n v="35000"/>
    <n v="140000"/>
    <n v="49000.000000000007"/>
    <n v="35000"/>
  </r>
  <r>
    <n v="38"/>
    <s v="&quot;KESH LOGIST&quot;"/>
    <n v="307947611"/>
    <s v="НДС"/>
    <x v="15"/>
    <x v="1"/>
    <n v="500000"/>
    <x v="0"/>
    <n v="20"/>
    <n v="25000"/>
    <n v="100000"/>
    <n v="35000"/>
    <n v="25000"/>
  </r>
  <r>
    <n v="39"/>
    <s v="&quot;GITA DASTURCHILAR AKADEMIYASI&quot; MCHJ"/>
    <n v="309238352"/>
    <m/>
    <x v="16"/>
    <x v="0"/>
    <n v="1000000"/>
    <x v="1"/>
    <n v="20"/>
    <n v="50000"/>
    <n v="200000"/>
    <n v="70000"/>
    <n v="50000"/>
  </r>
  <r>
    <n v="40"/>
    <s v="&quot;JS MUROTOV&quot; АДВОКАТЛИК БЮРОСИ&quot; "/>
    <n v="207314302"/>
    <m/>
    <x v="5"/>
    <x v="0"/>
    <n v="800000"/>
    <x v="1"/>
    <n v="20"/>
    <n v="40000"/>
    <n v="160000"/>
    <n v="56000.000000000007"/>
    <n v="40000"/>
  </r>
  <r>
    <n v="41"/>
    <s v="VMM RELIABLE LEGAL PROTECTION"/>
    <n v="207324203"/>
    <m/>
    <x v="5"/>
    <x v="0"/>
    <n v="500000"/>
    <x v="1"/>
    <n v="20"/>
    <n v="25000"/>
    <n v="100000"/>
    <n v="35000"/>
    <n v="25000"/>
  </r>
  <r>
    <n v="42"/>
    <s v="&quot;RUSLAN GRAND &quot;"/>
    <n v="303451710"/>
    <m/>
    <x v="14"/>
    <x v="1"/>
    <n v="1500000"/>
    <x v="0"/>
    <n v="20"/>
    <n v="75000"/>
    <n v="300000"/>
    <n v="105000.00000000001"/>
    <n v="75000"/>
  </r>
  <r>
    <n v="43"/>
    <s v="ЧП &quot;CHIRCHIQ SAHOVAT&quot; "/>
    <n v="307077420"/>
    <m/>
    <x v="1"/>
    <x v="1"/>
    <n v="400000"/>
    <x v="1"/>
    <n v="20"/>
    <n v="20000"/>
    <n v="80000"/>
    <n v="28000.000000000004"/>
    <n v="20000"/>
  </r>
  <r>
    <n v="44"/>
    <s v="&quot;JT INVESTMENT HUB&quot; "/>
    <n v="307159792"/>
    <m/>
    <x v="5"/>
    <x v="0"/>
    <n v="2000000"/>
    <x v="1"/>
    <n v="20"/>
    <n v="100000"/>
    <n v="400000"/>
    <n v="140000"/>
    <n v="100000"/>
  </r>
  <r>
    <n v="45"/>
    <s v="&quot;AMIRBEK-RUXSHONA PHARM&quot; XK"/>
    <n v="303328933"/>
    <s v="НДС"/>
    <x v="13"/>
    <x v="2"/>
    <n v="4000000"/>
    <x v="1"/>
    <n v="20"/>
    <n v="0"/>
    <n v="800000"/>
    <n v="280000"/>
    <n v="200000"/>
  </r>
  <r>
    <n v="46"/>
    <s v="&quot;XASANOV SABIRJAN LASHOVICH&quot; AB"/>
    <n v="309188899"/>
    <m/>
    <x v="16"/>
    <x v="0"/>
    <n v="700000"/>
    <x v="1"/>
    <n v="20"/>
    <n v="35000"/>
    <n v="140000"/>
    <n v="49000.000000000007"/>
    <n v="35000"/>
  </r>
  <r>
    <n v="47"/>
    <s v="HAPPY CLEAN MChJ"/>
    <n v="309610674"/>
    <m/>
    <x v="16"/>
    <x v="0"/>
    <n v="1000000"/>
    <x v="1"/>
    <n v="20"/>
    <n v="50000"/>
    <n v="200000"/>
    <n v="70000"/>
    <n v="50000"/>
  </r>
  <r>
    <n v="48"/>
    <s v="ООО &quot;HIGH-TECH GROUP&quot;"/>
    <n v="307446998"/>
    <s v="НДС"/>
    <x v="5"/>
    <x v="2"/>
    <n v="3000000"/>
    <x v="1"/>
    <n v="20"/>
    <n v="0"/>
    <n v="600000"/>
    <n v="210000.00000000003"/>
    <n v="150000"/>
  </r>
  <r>
    <n v="49"/>
    <s v="XK UNIMEAL BUSINESS ENTITY"/>
    <n v="308763019"/>
    <m/>
    <x v="10"/>
    <x v="0"/>
    <n v="1000000"/>
    <x v="1"/>
    <n v="20"/>
    <n v="50000"/>
    <n v="200000"/>
    <n v="70000"/>
    <n v="50000"/>
  </r>
  <r>
    <n v="50"/>
    <s v="&quot;ЧП INTER PROF EDUCATION&quot; "/>
    <n v="304107369"/>
    <s v="НДС"/>
    <x v="10"/>
    <x v="1"/>
    <n v="2000000"/>
    <x v="1"/>
    <n v="20"/>
    <n v="100000"/>
    <n v="400000"/>
    <n v="140000"/>
    <n v="100000"/>
  </r>
  <r>
    <n v="51"/>
    <s v="LANGUAGE ACADEMY&quot; "/>
    <n v="305610162"/>
    <s v="НДС"/>
    <x v="8"/>
    <x v="0"/>
    <n v="2500000"/>
    <x v="1"/>
    <n v="20"/>
    <n v="125000"/>
    <n v="500000"/>
    <n v="175000.00000000003"/>
    <n v="125000"/>
  </r>
  <r>
    <n v="52"/>
    <s v="BEK AND COMPANY"/>
    <m/>
    <m/>
    <x v="7"/>
    <x v="0"/>
    <n v="1000000"/>
    <x v="0"/>
    <n v="20"/>
    <n v="50000"/>
    <n v="200000"/>
    <n v="70000"/>
    <n v="50000"/>
  </r>
  <r>
    <n v="53"/>
    <s v="7-NINE МЧЖ "/>
    <n v="308836242"/>
    <s v="НДС"/>
    <x v="9"/>
    <x v="0"/>
    <n v="1500000"/>
    <x v="1"/>
    <n v="20"/>
    <n v="75000"/>
    <n v="300000"/>
    <n v="105000.00000000001"/>
    <n v="75000"/>
  </r>
  <r>
    <n v="54"/>
    <s v="BELLSTORE"/>
    <m/>
    <m/>
    <x v="3"/>
    <x v="0"/>
    <n v="1000000"/>
    <x v="0"/>
    <n v="20"/>
    <n v="50000"/>
    <n v="200000"/>
    <n v="70000"/>
    <n v="50000"/>
  </r>
  <r>
    <n v="55"/>
    <s v="TRUST MEDICAL LAB"/>
    <n v="307409092"/>
    <m/>
    <x v="7"/>
    <x v="1"/>
    <n v="1500000"/>
    <x v="0"/>
    <n v="20"/>
    <n v="75000"/>
    <n v="300000"/>
    <n v="105000.00000000001"/>
    <n v="75000"/>
  </r>
  <r>
    <n v="56"/>
    <s v=" &quot;STUDY GUIDE&quot; "/>
    <n v="303408381"/>
    <s v="НДС"/>
    <x v="8"/>
    <x v="0"/>
    <n v="4000000"/>
    <x v="0"/>
    <n v="20"/>
    <n v="200000"/>
    <n v="800000"/>
    <n v="280000"/>
    <n v="200000"/>
  </r>
  <r>
    <n v="57"/>
    <s v="HILOL PHARM     "/>
    <n v="305979201"/>
    <s v="НДС"/>
    <x v="8"/>
    <x v="0"/>
    <n v="2500000"/>
    <x v="1"/>
    <n v="20"/>
    <n v="125000"/>
    <n v="500000"/>
    <n v="175000.00000000003"/>
    <n v="125000"/>
  </r>
  <r>
    <n v="58"/>
    <s v="&quot;HI-TECH ORIENT MED-BUSINESS MCHJ"/>
    <n v="306672520"/>
    <s v="НДС"/>
    <x v="6"/>
    <x v="2"/>
    <n v="4000000"/>
    <x v="1"/>
    <n v="20"/>
    <n v="0"/>
    <n v="800000"/>
    <n v="280000"/>
    <n v="200000"/>
  </r>
  <r>
    <n v="59"/>
    <s v="&quot;FINANCE SCHOOL&quot;"/>
    <n v="308234589"/>
    <s v="НДС"/>
    <x v="10"/>
    <x v="1"/>
    <n v="700000"/>
    <x v="1"/>
    <n v="20"/>
    <n v="35000"/>
    <n v="140000"/>
    <n v="49000.000000000007"/>
    <n v="35000"/>
  </r>
  <r>
    <n v="60"/>
    <s v="&quot;KIDS NUR CITY&quot; ООО"/>
    <n v="306774385"/>
    <s v="НДС"/>
    <x v="9"/>
    <x v="0"/>
    <n v="4350000"/>
    <x v="1"/>
    <n v="20"/>
    <n v="217500"/>
    <n v="870000"/>
    <n v="304500"/>
    <n v="217500"/>
  </r>
  <r>
    <n v="61"/>
    <s v="TAKSIM-KEBAB GROUP MCHJ"/>
    <n v="309695560"/>
    <m/>
    <x v="8"/>
    <x v="1"/>
    <n v="0"/>
    <x v="1"/>
    <n v="20"/>
    <n v="0"/>
    <n v="0"/>
    <n v="0"/>
    <n v="0"/>
  </r>
  <r>
    <n v="62"/>
    <s v="NIGINA FARM"/>
    <m/>
    <s v="НДС"/>
    <x v="13"/>
    <x v="2"/>
    <n v="5000000"/>
    <x v="1"/>
    <n v="20"/>
    <n v="0"/>
    <n v="1000000"/>
    <n v="350000.00000000006"/>
    <n v="250000"/>
  </r>
  <r>
    <n v="63"/>
    <s v="DOUBLE X PRO"/>
    <m/>
    <m/>
    <x v="17"/>
    <x v="0"/>
    <n v="1000000"/>
    <x v="0"/>
    <n v="20"/>
    <n v="50000"/>
    <n v="200000"/>
    <n v="70000"/>
    <n v="50000"/>
  </r>
  <r>
    <n v="64"/>
    <s v="&quot;MUZAFFARXO`JA-HILOL&quot; Х.Ф."/>
    <n v="206450634"/>
    <s v="НДС"/>
    <x v="9"/>
    <x v="1"/>
    <n v="2500000"/>
    <x v="1"/>
    <n v="20"/>
    <n v="125000"/>
    <n v="500000"/>
    <n v="175000.00000000003"/>
    <n v="125000"/>
  </r>
  <r>
    <n v="65"/>
    <s v="VIRTUS-SOCIUM МЧЖ   "/>
    <n v="308241991"/>
    <s v="НДС"/>
    <x v="2"/>
    <x v="0"/>
    <n v="0"/>
    <x v="1"/>
    <m/>
    <n v="0"/>
    <n v="0"/>
    <m/>
    <n v="0"/>
  </r>
  <r>
    <n v="66"/>
    <s v="&quot;PHARM SMART&quot; MCHJ"/>
    <n v="309680747"/>
    <s v="НДС"/>
    <x v="14"/>
    <x v="0"/>
    <n v="4000000"/>
    <x v="0"/>
    <n v="20"/>
    <n v="200000"/>
    <n v="800000"/>
    <n v="280000"/>
    <n v="200000"/>
  </r>
  <r>
    <n v="67"/>
    <s v="PHARZAM FARM"/>
    <m/>
    <m/>
    <x v="18"/>
    <x v="1"/>
    <n v="3000000"/>
    <x v="0"/>
    <n v="20"/>
    <n v="150000"/>
    <n v="600000"/>
    <n v="210000.00000000003"/>
    <n v="150000"/>
  </r>
  <r>
    <n v="68"/>
    <s v="MIRGAS OIL MCHJ "/>
    <n v="309291123"/>
    <s v="НДС"/>
    <x v="7"/>
    <x v="0"/>
    <n v="1500000"/>
    <x v="0"/>
    <n v="20"/>
    <n v="75000"/>
    <n v="300000"/>
    <n v="105000.00000000001"/>
    <n v="75000"/>
  </r>
  <r>
    <n v="69"/>
    <s v="TRINITY TECHNOLOGY MCHJ"/>
    <n v="305218618"/>
    <s v="НДС"/>
    <x v="12"/>
    <x v="2"/>
    <n v="20000000"/>
    <x v="3"/>
    <n v="25"/>
    <n v="0"/>
    <m/>
    <n v="1400000.0000000002"/>
    <m/>
  </r>
  <r>
    <n v="70"/>
    <s v="SOBIROV I YATT"/>
    <m/>
    <m/>
    <x v="8"/>
    <x v="2"/>
    <n v="200000"/>
    <x v="1"/>
    <n v="20"/>
    <m/>
    <n v="40000"/>
    <n v="14000.000000000002"/>
    <n v="10000"/>
  </r>
  <r>
    <n v="71"/>
    <s v="RIZO MULK MCHJ"/>
    <n v="309918004"/>
    <m/>
    <x v="2"/>
    <x v="2"/>
    <n v="1000000"/>
    <x v="1"/>
    <n v="20"/>
    <n v="0"/>
    <n v="200000"/>
    <n v="70000"/>
    <n v="50000"/>
  </r>
  <r>
    <n v="72"/>
    <s v="ENGLIFY"/>
    <m/>
    <m/>
    <x v="19"/>
    <x v="1"/>
    <n v="11000000"/>
    <x v="0"/>
    <n v="20"/>
    <n v="200000"/>
    <n v="0"/>
    <n v="770000.00000000012"/>
    <n v="550000"/>
  </r>
  <r>
    <n v="73"/>
    <s v=" J-R GROUP"/>
    <m/>
    <m/>
    <x v="7"/>
    <x v="0"/>
    <n v="1000000"/>
    <x v="0"/>
    <n v="20"/>
    <n v="50000"/>
    <n v="200000"/>
    <n v="70000"/>
    <n v="50000"/>
  </r>
  <r>
    <n v="74"/>
    <s v="BADEX LIFE"/>
    <m/>
    <m/>
    <x v="6"/>
    <x v="1"/>
    <n v="2500000"/>
    <x v="1"/>
    <n v="20"/>
    <n v="125000"/>
    <n v="500000"/>
    <n v="175000.00000000003"/>
    <n v="125000"/>
  </r>
  <r>
    <n v="75"/>
    <s v="RONICS ENGINEERING TEAM"/>
    <n v="310310683"/>
    <m/>
    <x v="6"/>
    <x v="0"/>
    <n v="700000"/>
    <x v="1"/>
    <n v="20"/>
    <n v="35000"/>
    <n v="140000"/>
    <n v="49000.000000000007"/>
    <n v="35000"/>
  </r>
  <r>
    <n v="76"/>
    <s v="Raximjonova Dilnoza YATT"/>
    <m/>
    <m/>
    <x v="3"/>
    <x v="2"/>
    <n v="170000"/>
    <x v="0"/>
    <n v="20"/>
    <m/>
    <n v="34000"/>
    <n v="11900.000000000002"/>
    <n v="8500"/>
  </r>
  <r>
    <n v="77"/>
    <s v="HI UNIT"/>
    <m/>
    <m/>
    <x v="10"/>
    <x v="0"/>
    <n v="1000000"/>
    <x v="1"/>
    <n v="20"/>
    <n v="50000"/>
    <n v="200000"/>
    <n v="70000"/>
    <n v="50000"/>
  </r>
  <r>
    <n v="78"/>
    <s v="BRAND NEW HOUSES"/>
    <m/>
    <m/>
    <x v="10"/>
    <x v="2"/>
    <n v="10000000"/>
    <x v="1"/>
    <n v="20"/>
    <m/>
    <n v="2000000"/>
    <n v="700000.00000000012"/>
    <n v="500000"/>
  </r>
  <r>
    <n v="80"/>
    <s v="IT-INTEGRATOR"/>
    <m/>
    <m/>
    <x v="6"/>
    <x v="0"/>
    <n v="1500000"/>
    <x v="1"/>
    <n v="20"/>
    <n v="75000"/>
    <n v="300000"/>
    <n v="105000.00000000001"/>
    <n v="75000"/>
  </r>
  <r>
    <n v="81"/>
    <s v="UNI GLOBAL"/>
    <m/>
    <m/>
    <x v="10"/>
    <x v="0"/>
    <n v="0"/>
    <x v="1"/>
    <n v="20"/>
    <n v="0"/>
    <n v="0"/>
    <n v="0"/>
    <n v="0"/>
  </r>
  <r>
    <n v="82"/>
    <s v="NOEL TRIP"/>
    <m/>
    <m/>
    <x v="14"/>
    <x v="0"/>
    <n v="800000"/>
    <x v="0"/>
    <n v="20"/>
    <n v="40000"/>
    <n v="160000"/>
    <n v="56000.000000000007"/>
    <n v="40000"/>
  </r>
  <r>
    <n v="83"/>
    <s v="KOLBERG MEDICAL"/>
    <m/>
    <m/>
    <x v="20"/>
    <x v="3"/>
    <n v="15000000"/>
    <x v="1"/>
    <n v="20"/>
    <n v="750000"/>
    <n v="3000000"/>
    <n v="1050000"/>
    <n v="1500000"/>
  </r>
  <r>
    <n v="84"/>
    <s v="TULYAGANOV FX"/>
    <m/>
    <m/>
    <x v="7"/>
    <x v="0"/>
    <n v="1000000"/>
    <x v="0"/>
    <n v="20"/>
    <n v="50000"/>
    <n v="200000"/>
    <n v="70000"/>
    <n v="50000"/>
  </r>
  <r>
    <n v="85"/>
    <s v="SOFI TEAM"/>
    <m/>
    <m/>
    <x v="1"/>
    <x v="1"/>
    <n v="700000"/>
    <x v="1"/>
    <n v="20"/>
    <n v="35000"/>
    <n v="140000"/>
    <n v="49000.000000000007"/>
    <n v="35000"/>
  </r>
  <r>
    <n v="86"/>
    <s v="RM MUROD BIZNES"/>
    <m/>
    <m/>
    <x v="2"/>
    <x v="1"/>
    <n v="1000000"/>
    <x v="1"/>
    <n v="20"/>
    <n v="50000"/>
    <n v="200000"/>
    <n v="70000"/>
    <n v="50000"/>
  </r>
  <r>
    <n v="87"/>
    <s v="BAROKAT TEAM"/>
    <m/>
    <m/>
    <x v="1"/>
    <x v="1"/>
    <n v="700000"/>
    <x v="1"/>
    <n v="20"/>
    <n v="35000"/>
    <n v="140000"/>
    <n v="49000.000000000007"/>
    <n v="35000"/>
  </r>
  <r>
    <n v="88"/>
    <s v="UZART GROUP PROJEKT"/>
    <m/>
    <m/>
    <x v="2"/>
    <x v="0"/>
    <n v="3000000"/>
    <x v="1"/>
    <n v="20"/>
    <n v="150000"/>
    <n v="0"/>
    <n v="510000"/>
    <n v="150000"/>
  </r>
  <r>
    <n v="89"/>
    <s v="KORBAZAAR"/>
    <m/>
    <m/>
    <x v="8"/>
    <x v="1"/>
    <n v="3000000"/>
    <x v="1"/>
    <n v="20"/>
    <n v="150000"/>
    <n v="600000"/>
    <n v="210000.00000000003"/>
    <n v="150000"/>
  </r>
  <r>
    <n v="90"/>
    <s v="NURDEVAI "/>
    <m/>
    <m/>
    <x v="15"/>
    <x v="1"/>
    <n v="500000"/>
    <x v="0"/>
    <n v="25"/>
    <n v="25000"/>
    <n v="125000"/>
    <n v="35000"/>
    <n v="25000"/>
  </r>
  <r>
    <n v="91"/>
    <s v="MEDICAL GM"/>
    <m/>
    <m/>
    <x v="9"/>
    <x v="2"/>
    <n v="2500000"/>
    <x v="1"/>
    <n v="20"/>
    <n v="0"/>
    <n v="500000"/>
    <n v="175000.00000000003"/>
    <n v="125000"/>
  </r>
  <r>
    <n v="92"/>
    <s v="LUNA CATERING TEAM"/>
    <m/>
    <m/>
    <x v="10"/>
    <x v="0"/>
    <n v="0"/>
    <x v="1"/>
    <n v="20"/>
    <n v="0"/>
    <n v="0"/>
    <n v="0"/>
    <n v="0"/>
  </r>
  <r>
    <n v="93"/>
    <s v="IE ASILBEKOVA ZULFIYA"/>
    <m/>
    <m/>
    <x v="16"/>
    <x v="0"/>
    <n v="700000"/>
    <x v="1"/>
    <n v="20"/>
    <n v="35000"/>
    <n v="140000"/>
    <n v="49000.000000000007"/>
    <n v="35000"/>
  </r>
  <r>
    <n v="94"/>
    <s v="QUDRATILLA ILA"/>
    <m/>
    <m/>
    <x v="14"/>
    <x v="1"/>
    <n v="700000"/>
    <x v="0"/>
    <n v="25"/>
    <n v="35000"/>
    <n v="175000"/>
    <n v="49000.000000000007"/>
    <n v="35000"/>
  </r>
  <r>
    <n v="95"/>
    <s v="MG BUSINESS BROKERS"/>
    <m/>
    <m/>
    <x v="15"/>
    <x v="2"/>
    <n v="500000"/>
    <x v="0"/>
    <n v="20"/>
    <n v="0"/>
    <n v="100000"/>
    <n v="35000"/>
    <n v="25000"/>
  </r>
  <r>
    <n v="96"/>
    <s v="FIDELITY SERVISE"/>
    <m/>
    <m/>
    <x v="10"/>
    <x v="0"/>
    <n v="1000000"/>
    <x v="1"/>
    <n v="20"/>
    <n v="50000"/>
    <n v="200000"/>
    <n v="70000"/>
    <n v="50000"/>
  </r>
  <r>
    <n v="97"/>
    <s v="EASTREX"/>
    <m/>
    <m/>
    <x v="16"/>
    <x v="0"/>
    <n v="700000"/>
    <x v="1"/>
    <n v="20"/>
    <n v="35000"/>
    <n v="140000"/>
    <n v="49000.000000000007"/>
    <n v="35000"/>
  </r>
  <r>
    <n v="98"/>
    <s v="XURSHID AVTO"/>
    <m/>
    <m/>
    <x v="14"/>
    <x v="1"/>
    <n v="750000"/>
    <x v="0"/>
    <n v="20"/>
    <n v="37500"/>
    <n v="150000"/>
    <n v="52500.000000000007"/>
    <n v="37500"/>
  </r>
  <r>
    <n v="99"/>
    <s v="VIKTORIYA TIBBIY KORIK"/>
    <m/>
    <m/>
    <x v="9"/>
    <x v="0"/>
    <n v="700000"/>
    <x v="1"/>
    <n v="20"/>
    <n v="35000"/>
    <n v="140000"/>
    <n v="49000.000000000007"/>
    <n v="35000"/>
  </r>
  <r>
    <n v="100"/>
    <m/>
    <m/>
    <m/>
    <x v="12"/>
    <x v="2"/>
    <m/>
    <x v="3"/>
    <m/>
    <m/>
    <m/>
    <m/>
    <m/>
  </r>
  <r>
    <n v="101"/>
    <s v="NOMDOR PALOV"/>
    <m/>
    <m/>
    <x v="5"/>
    <x v="1"/>
    <n v="10000000"/>
    <x v="1"/>
    <n v="20"/>
    <n v="500000"/>
    <n v="2000000"/>
    <n v="700000.00000000012"/>
    <n v="500000"/>
  </r>
  <r>
    <n v="102"/>
    <s v="KOKTOSH SHIFO"/>
    <m/>
    <m/>
    <x v="9"/>
    <x v="2"/>
    <n v="2500000"/>
    <x v="1"/>
    <n v="20"/>
    <m/>
    <n v="500000"/>
    <n v="175000.00000000003"/>
    <n v="125000"/>
  </r>
  <r>
    <n v="103"/>
    <s v="ALIF PHARMA"/>
    <m/>
    <m/>
    <x v="9"/>
    <x v="0"/>
    <n v="2000000"/>
    <x v="1"/>
    <n v="20"/>
    <n v="100000"/>
    <n v="400000"/>
    <n v="140000"/>
    <n v="100000"/>
  </r>
  <r>
    <n v="104"/>
    <s v="GAZA LUX"/>
    <m/>
    <m/>
    <x v="2"/>
    <x v="1"/>
    <n v="2500000"/>
    <x v="1"/>
    <n v="20"/>
    <n v="125000"/>
    <n v="500000"/>
    <n v="175000.00000000003"/>
    <n v="125000"/>
  </r>
  <r>
    <n v="105"/>
    <s v="CRAVE TECH"/>
    <m/>
    <m/>
    <x v="3"/>
    <x v="0"/>
    <n v="2000000"/>
    <x v="0"/>
    <n v="20"/>
    <n v="100000"/>
    <n v="400000"/>
    <n v="140000"/>
    <n v="100000"/>
  </r>
  <r>
    <n v="106"/>
    <s v="TURON FAYZ"/>
    <m/>
    <m/>
    <x v="2"/>
    <x v="1"/>
    <n v="2000000"/>
    <x v="1"/>
    <n v="20"/>
    <n v="100000"/>
    <n v="400000"/>
    <n v="140000"/>
    <n v="100000"/>
  </r>
  <r>
    <n v="107"/>
    <s v="THE POWERFULL TEAM"/>
    <m/>
    <m/>
    <x v="1"/>
    <x v="1"/>
    <n v="700000"/>
    <x v="1"/>
    <n v="20"/>
    <n v="35000"/>
    <n v="140000"/>
    <n v="49000.000000000007"/>
    <n v="35000"/>
  </r>
  <r>
    <n v="108"/>
    <s v="HAYRULLO QAZISI"/>
    <m/>
    <m/>
    <x v="13"/>
    <x v="0"/>
    <n v="1500000"/>
    <x v="1"/>
    <n v="20"/>
    <n v="75000"/>
    <n v="300000"/>
    <n v="105000.00000000001"/>
    <n v="75000"/>
  </r>
  <r>
    <n v="109"/>
    <s v="LIDER BUSINESS"/>
    <m/>
    <m/>
    <x v="13"/>
    <x v="0"/>
    <n v="3000000"/>
    <x v="1"/>
    <n v="20"/>
    <n v="150000"/>
    <n v="600000"/>
    <n v="210000.00000000003"/>
    <n v="150000"/>
  </r>
  <r>
    <n v="110"/>
    <s v="MAX NUTRITION"/>
    <m/>
    <m/>
    <x v="6"/>
    <x v="1"/>
    <n v="1000000"/>
    <x v="1"/>
    <n v="20"/>
    <n v="50000"/>
    <n v="200000"/>
    <n v="70000"/>
    <n v="50000"/>
  </r>
  <r>
    <n v="111"/>
    <s v="DR1VE"/>
    <m/>
    <m/>
    <x v="15"/>
    <x v="1"/>
    <n v="700000"/>
    <x v="0"/>
    <n v="20"/>
    <n v="35000"/>
    <n v="140000"/>
    <n v="49000.000000000007"/>
    <n v="35000"/>
  </r>
  <r>
    <n v="112"/>
    <s v="ANVAR FARM"/>
    <m/>
    <m/>
    <x v="6"/>
    <x v="3"/>
    <n v="18000000"/>
    <x v="1"/>
    <n v="20"/>
    <n v="900000"/>
    <n v="3600000"/>
    <n v="1260000.0000000002"/>
    <n v="900000"/>
  </r>
  <r>
    <n v="113"/>
    <s v="FERUZA NUR MED"/>
    <m/>
    <m/>
    <x v="8"/>
    <x v="2"/>
    <n v="3000000"/>
    <x v="1"/>
    <n v="20"/>
    <m/>
    <n v="600000"/>
    <n v="210000.00000000003"/>
    <n v="150000"/>
  </r>
  <r>
    <n v="114"/>
    <s v="DURDONA ECO FARM"/>
    <m/>
    <m/>
    <x v="8"/>
    <x v="2"/>
    <n v="3000000"/>
    <x v="1"/>
    <n v="20"/>
    <m/>
    <n v="600000"/>
    <n v="210000.00000000003"/>
    <n v="150000"/>
  </r>
  <r>
    <n v="115"/>
    <s v="XURSAND HOUSE"/>
    <m/>
    <m/>
    <x v="10"/>
    <x v="2"/>
    <n v="2000000"/>
    <x v="1"/>
    <n v="20"/>
    <m/>
    <n v="400000"/>
    <n v="140000"/>
    <n v="100000"/>
  </r>
  <r>
    <n v="116"/>
    <s v="BUSINESS INVEST COOPERATION"/>
    <m/>
    <m/>
    <x v="10"/>
    <x v="1"/>
    <n v="5000000"/>
    <x v="1"/>
    <n v="20"/>
    <n v="250000"/>
    <n v="1000000"/>
    <n v="350000.00000000006"/>
    <n v="250000"/>
  </r>
  <r>
    <n v="117"/>
    <s v="SAFORT HOUSE"/>
    <m/>
    <m/>
    <x v="10"/>
    <x v="1"/>
    <n v="500000"/>
    <x v="1"/>
    <n v="20"/>
    <n v="25000"/>
    <n v="100000"/>
    <n v="35000"/>
    <n v="25000"/>
  </r>
  <r>
    <n v="118"/>
    <s v="INVEST PERSONA"/>
    <m/>
    <m/>
    <x v="10"/>
    <x v="1"/>
    <n v="500000"/>
    <x v="1"/>
    <n v="20"/>
    <n v="25000"/>
    <n v="100000"/>
    <n v="35000"/>
    <n v="25000"/>
  </r>
  <r>
    <n v="119"/>
    <s v="STANDART CHICKEN"/>
    <m/>
    <m/>
    <x v="9"/>
    <x v="2"/>
    <n v="12000000"/>
    <x v="1"/>
    <n v="20"/>
    <m/>
    <n v="3000000"/>
    <n v="600000"/>
    <n v="600000"/>
  </r>
  <r>
    <n v="120"/>
    <s v="ROYAL BEAUTY"/>
    <m/>
    <m/>
    <x v="17"/>
    <x v="2"/>
    <n v="800000"/>
    <x v="0"/>
    <n v="20"/>
    <m/>
    <n v="160000"/>
    <n v="56000.000000000007"/>
    <n v="40000"/>
  </r>
  <r>
    <n v="121"/>
    <s v="PATRONUM"/>
    <m/>
    <m/>
    <x v="17"/>
    <x v="1"/>
    <n v="1000000"/>
    <x v="0"/>
    <n v="20"/>
    <n v="50000"/>
    <n v="200000"/>
    <n v="70000"/>
    <n v="50000"/>
  </r>
  <r>
    <n v="122"/>
    <s v="LIVINGSTONE"/>
    <m/>
    <m/>
    <x v="5"/>
    <x v="2"/>
    <n v="3000000"/>
    <x v="1"/>
    <n v="20"/>
    <m/>
    <n v="600000"/>
    <n v="210000.00000000003"/>
    <n v="150000"/>
  </r>
  <r>
    <n v="123"/>
    <s v="AFUBBA"/>
    <m/>
    <m/>
    <x v="2"/>
    <x v="1"/>
    <n v="300000"/>
    <x v="1"/>
    <n v="20"/>
    <n v="15000"/>
    <n v="60000"/>
    <n v="21000.000000000004"/>
    <n v="15000"/>
  </r>
  <r>
    <n v="124"/>
    <s v="NODIR TRADING"/>
    <m/>
    <m/>
    <x v="2"/>
    <x v="1"/>
    <n v="1000000"/>
    <x v="1"/>
    <n v="20"/>
    <n v="50000"/>
    <n v="200000"/>
    <n v="70000"/>
    <n v="50000"/>
  </r>
  <r>
    <n v="125"/>
    <s v="SMS 86"/>
    <m/>
    <m/>
    <x v="2"/>
    <x v="1"/>
    <n v="1000000"/>
    <x v="1"/>
    <n v="20"/>
    <n v="50000"/>
    <n v="200000"/>
    <n v="70000"/>
    <n v="50000"/>
  </r>
  <r>
    <n v="126"/>
    <s v="AFUBBA 1149"/>
    <m/>
    <m/>
    <x v="2"/>
    <x v="1"/>
    <n v="1000000"/>
    <x v="1"/>
    <n v="20"/>
    <n v="50000"/>
    <n v="200000"/>
    <n v="70000"/>
    <n v="50000"/>
  </r>
  <r>
    <n v="127"/>
    <s v="1149 ALKIMYOGAR "/>
    <m/>
    <m/>
    <x v="2"/>
    <x v="1"/>
    <n v="300000"/>
    <x v="1"/>
    <n v="20"/>
    <n v="15000"/>
    <n v="60000"/>
    <n v="21000.000000000004"/>
    <n v="15000"/>
  </r>
  <r>
    <n v="128"/>
    <s v="NEW ALKIMYOGAR GROUR"/>
    <m/>
    <m/>
    <x v="2"/>
    <x v="1"/>
    <n v="400000"/>
    <x v="1"/>
    <n v="20"/>
    <n v="20000"/>
    <n v="80000"/>
    <n v="28000.000000000004"/>
    <n v="20000"/>
  </r>
  <r>
    <n v="129"/>
    <s v="DINAR CLASS"/>
    <m/>
    <m/>
    <x v="17"/>
    <x v="1"/>
    <n v="1000000"/>
    <x v="0"/>
    <n v="20"/>
    <n v="50000"/>
    <n v="200000"/>
    <n v="70000"/>
    <n v="50000"/>
  </r>
  <r>
    <n v="130"/>
    <s v="BINAAR"/>
    <m/>
    <m/>
    <x v="21"/>
    <x v="2"/>
    <n v="0"/>
    <x v="1"/>
    <n v="20"/>
    <m/>
    <n v="0"/>
    <n v="0"/>
    <n v="0"/>
  </r>
  <r>
    <n v="131"/>
    <s v="SAFETY CCTV"/>
    <m/>
    <m/>
    <x v="10"/>
    <x v="0"/>
    <n v="2000000"/>
    <x v="1"/>
    <n v="20"/>
    <n v="100000"/>
    <n v="400000"/>
    <n v="140000"/>
    <n v="100000"/>
  </r>
  <r>
    <n v="132"/>
    <s v="INTER DELEKATES"/>
    <m/>
    <m/>
    <x v="5"/>
    <x v="1"/>
    <n v="0"/>
    <x v="1"/>
    <n v="20"/>
    <n v="0"/>
    <n v="0"/>
    <n v="0"/>
    <n v="0"/>
  </r>
  <r>
    <n v="133"/>
    <s v="STAR KAMERA"/>
    <m/>
    <m/>
    <x v="7"/>
    <x v="0"/>
    <n v="4000000"/>
    <x v="0"/>
    <n v="20"/>
    <n v="200000"/>
    <n v="800000"/>
    <n v="280000"/>
    <n v="200000"/>
  </r>
  <r>
    <n v="134"/>
    <s v="AHSAN TECHNOLOGY"/>
    <m/>
    <m/>
    <x v="7"/>
    <x v="0"/>
    <n v="0"/>
    <x v="0"/>
    <n v="20"/>
    <n v="0"/>
    <n v="0"/>
    <n v="0"/>
    <n v="0"/>
  </r>
  <r>
    <n v="135"/>
    <s v="BIG TEAM"/>
    <m/>
    <m/>
    <x v="7"/>
    <x v="0"/>
    <n v="0"/>
    <x v="0"/>
    <n v="20"/>
    <n v="0"/>
    <n v="0"/>
    <n v="0"/>
    <n v="0"/>
  </r>
  <r>
    <n v="136"/>
    <s v="TIM BUILD INDUSTRY"/>
    <m/>
    <m/>
    <x v="22"/>
    <x v="0"/>
    <n v="2000000"/>
    <x v="0"/>
    <n v="20"/>
    <n v="100000"/>
    <n v="400000"/>
    <n v="140000"/>
    <n v="100000"/>
  </r>
  <r>
    <n v="137"/>
    <s v="GARANT KOMPLEKS"/>
    <m/>
    <m/>
    <x v="10"/>
    <x v="2"/>
    <n v="0"/>
    <x v="1"/>
    <n v="20"/>
    <m/>
    <n v="0"/>
    <n v="0"/>
    <n v="0"/>
  </r>
  <r>
    <n v="138"/>
    <s v="TASTIFY"/>
    <m/>
    <m/>
    <x v="1"/>
    <x v="1"/>
    <n v="700000"/>
    <x v="1"/>
    <n v="20"/>
    <n v="35000"/>
    <n v="140000"/>
    <n v="49000.000000000007"/>
    <n v="35000"/>
  </r>
  <r>
    <n v="139"/>
    <s v="REEF TRADE"/>
    <m/>
    <m/>
    <x v="23"/>
    <x v="2"/>
    <n v="500000"/>
    <x v="1"/>
    <n v="20"/>
    <n v="0"/>
    <n v="100000"/>
    <n v="35000"/>
    <n v="25000"/>
  </r>
  <r>
    <n v="140"/>
    <s v="ELSANQURILISH"/>
    <m/>
    <m/>
    <x v="2"/>
    <x v="2"/>
    <n v="6000000"/>
    <x v="1"/>
    <n v="20"/>
    <m/>
    <n v="1200000"/>
    <n v="420000.00000000006"/>
    <n v="300000"/>
  </r>
  <r>
    <n v="141"/>
    <s v="KIDDLE LAND"/>
    <m/>
    <m/>
    <x v="0"/>
    <x v="2"/>
    <n v="750000"/>
    <x v="0"/>
    <n v="20"/>
    <m/>
    <n v="150000"/>
    <n v="52500.000000000007"/>
    <n v="37500"/>
  </r>
  <r>
    <n v="142"/>
    <s v="JASURBEK YUKSALISH OMAD"/>
    <m/>
    <m/>
    <x v="16"/>
    <x v="0"/>
    <n v="1000000"/>
    <x v="1"/>
    <n v="20"/>
    <n v="50000"/>
    <n v="200000"/>
    <n v="70000"/>
    <n v="50000"/>
  </r>
  <r>
    <n v="143"/>
    <s v="ULTIMATE ENERGY"/>
    <m/>
    <m/>
    <x v="16"/>
    <x v="1"/>
    <n v="500000"/>
    <x v="1"/>
    <n v="20"/>
    <n v="25000"/>
    <n v="100000"/>
    <n v="35000"/>
    <n v="25000"/>
  </r>
  <r>
    <n v="144"/>
    <s v="REAL RESPECT GROUP"/>
    <m/>
    <m/>
    <x v="7"/>
    <x v="0"/>
    <n v="1000000"/>
    <x v="0"/>
    <n v="20"/>
    <n v="50000"/>
    <n v="200000"/>
    <n v="70000"/>
    <n v="50000"/>
  </r>
  <r>
    <n v="145"/>
    <s v="DIGITAL MASTERS ACADEMY"/>
    <m/>
    <m/>
    <x v="5"/>
    <x v="0"/>
    <n v="1000000"/>
    <x v="1"/>
    <n v="20"/>
    <n v="50000"/>
    <n v="200000"/>
    <n v="70000"/>
    <n v="50000"/>
  </r>
  <r>
    <n v="146"/>
    <s v="NOMDOR OSH"/>
    <m/>
    <m/>
    <x v="5"/>
    <x v="1"/>
    <n v="0"/>
    <x v="1"/>
    <n v="20"/>
    <n v="0"/>
    <n v="0"/>
    <n v="0"/>
    <n v="0"/>
  </r>
  <r>
    <n v="147"/>
    <s v="AVVITAL NATURALS"/>
    <m/>
    <m/>
    <x v="6"/>
    <x v="3"/>
    <n v="500000"/>
    <x v="1"/>
    <n v="20"/>
    <n v="25000"/>
    <n v="100000"/>
    <n v="35000"/>
    <n v="25000"/>
  </r>
  <r>
    <n v="148"/>
    <s v="SHIFO DOKTOR XASAN"/>
    <m/>
    <m/>
    <x v="8"/>
    <x v="1"/>
    <n v="3000000"/>
    <x v="1"/>
    <n v="20"/>
    <n v="150000"/>
    <n v="600000"/>
    <n v="210000.00000000003"/>
    <n v="150000"/>
  </r>
  <r>
    <n v="149"/>
    <s v="DOOS DISTRIBUTION"/>
    <m/>
    <m/>
    <x v="18"/>
    <x v="0"/>
    <n v="5000000"/>
    <x v="0"/>
    <n v="25"/>
    <n v="250000"/>
    <n v="1250000"/>
    <n v="350000.00000000006"/>
    <n v="250000"/>
  </r>
  <r>
    <n v="150"/>
    <s v="ZVEZDA FARM"/>
    <m/>
    <m/>
    <x v="18"/>
    <x v="0"/>
    <n v="0"/>
    <x v="0"/>
    <n v="20"/>
    <n v="0"/>
    <n v="0"/>
    <n v="0"/>
    <n v="0"/>
  </r>
  <r>
    <n v="151"/>
    <s v="HUMMA"/>
    <m/>
    <m/>
    <x v="4"/>
    <x v="0"/>
    <n v="500000"/>
    <x v="2"/>
    <n v="20"/>
    <n v="25000"/>
    <n v="100000"/>
    <n v="35000"/>
    <n v="25000"/>
  </r>
  <r>
    <n v="152"/>
    <s v="AVTO YOL XIZMATI MARKAZI"/>
    <m/>
    <m/>
    <x v="16"/>
    <x v="2"/>
    <n v="500000"/>
    <x v="1"/>
    <n v="20"/>
    <n v="0"/>
    <n v="100000"/>
    <n v="35000"/>
    <n v="25000"/>
  </r>
  <r>
    <n v="153"/>
    <s v="YOL TRANS SANOATI"/>
    <m/>
    <m/>
    <x v="16"/>
    <x v="1"/>
    <n v="1000000"/>
    <x v="1"/>
    <n v="20"/>
    <n v="50000"/>
    <n v="200000"/>
    <n v="70000"/>
    <n v="50000"/>
  </r>
  <r>
    <n v="154"/>
    <s v="FC YOLBARS"/>
    <m/>
    <m/>
    <x v="14"/>
    <x v="1"/>
    <n v="700000"/>
    <x v="0"/>
    <n v="20"/>
    <n v="35000"/>
    <n v="140000"/>
    <n v="49000.000000000007"/>
    <n v="35000"/>
  </r>
  <r>
    <n v="155"/>
    <s v="MASHXUR TAOM"/>
    <m/>
    <m/>
    <x v="9"/>
    <x v="1"/>
    <n v="1000000"/>
    <x v="1"/>
    <n v="20"/>
    <n v="50000"/>
    <n v="200000"/>
    <n v="70000"/>
    <n v="50000"/>
  </r>
  <r>
    <n v="156"/>
    <s v="SPECIAL CARGO SERVICES"/>
    <m/>
    <m/>
    <x v="3"/>
    <x v="1"/>
    <n v="4000000"/>
    <x v="0"/>
    <n v="20"/>
    <n v="200000"/>
    <n v="800000"/>
    <n v="280000"/>
    <n v="200000"/>
  </r>
  <r>
    <n v="157"/>
    <s v="VERTEX BETON"/>
    <m/>
    <m/>
    <x v="10"/>
    <x v="0"/>
    <n v="5000000"/>
    <x v="1"/>
    <n v="20"/>
    <n v="250000"/>
    <n v="1000000"/>
    <n v="350000.00000000006"/>
    <n v="250000"/>
  </r>
  <r>
    <n v="158"/>
    <s v="GELATO ICE CREAM"/>
    <m/>
    <m/>
    <x v="21"/>
    <x v="2"/>
    <n v="3000000"/>
    <x v="1"/>
    <n v="20"/>
    <m/>
    <n v="600000"/>
    <n v="210000.00000000003"/>
    <n v="150000"/>
  </r>
  <r>
    <n v="159"/>
    <s v="TERRA AGRO"/>
    <m/>
    <m/>
    <x v="21"/>
    <x v="2"/>
    <n v="3000000"/>
    <x v="1"/>
    <n v="20"/>
    <m/>
    <n v="600000"/>
    <n v="210000.00000000003"/>
    <n v="150000"/>
  </r>
  <r>
    <n v="160"/>
    <s v="ООО &quot;SHIRIN SUPER TAOM&quot;"/>
    <n v="308543061"/>
    <s v="НДС"/>
    <x v="9"/>
    <x v="1"/>
    <n v="2000000"/>
    <x v="1"/>
    <n v="20"/>
    <n v="100000"/>
    <n v="400000"/>
    <n v="140000"/>
    <n v="100000"/>
  </r>
  <r>
    <n v="161"/>
    <s v="ARM INTER GROUP"/>
    <m/>
    <m/>
    <x v="15"/>
    <x v="2"/>
    <n v="500000"/>
    <x v="0"/>
    <n v="20"/>
    <m/>
    <n v="100000"/>
    <n v="35000"/>
    <n v="25000"/>
  </r>
  <r>
    <n v="162"/>
    <s v="SHEL A"/>
    <m/>
    <m/>
    <x v="2"/>
    <x v="0"/>
    <n v="1500000"/>
    <x v="1"/>
    <n v="20"/>
    <n v="75000"/>
    <n v="300000"/>
    <n v="105000.00000000001"/>
    <n v="75000"/>
  </r>
  <r>
    <n v="163"/>
    <s v="X PRO TEAM"/>
    <m/>
    <m/>
    <x v="17"/>
    <x v="0"/>
    <n v="1000000"/>
    <x v="0"/>
    <n v="20"/>
    <n v="50000"/>
    <n v="200000"/>
    <n v="70000"/>
    <n v="50000"/>
  </r>
  <r>
    <n v="164"/>
    <s v="YATT"/>
    <m/>
    <m/>
    <x v="3"/>
    <x v="2"/>
    <n v="300000"/>
    <x v="0"/>
    <n v="20"/>
    <m/>
    <n v="60000"/>
    <n v="21000.000000000004"/>
    <n v="15000"/>
  </r>
  <r>
    <n v="165"/>
    <s v="MUROD AKA Yatt lari"/>
    <m/>
    <m/>
    <x v="13"/>
    <x v="3"/>
    <n v="7000000"/>
    <x v="1"/>
    <n v="20"/>
    <n v="700000"/>
    <n v="1400000"/>
    <n v="490000.00000000006"/>
    <n v="350000"/>
  </r>
  <r>
    <n v="166"/>
    <s v="RICH Y S"/>
    <m/>
    <m/>
    <x v="21"/>
    <x v="2"/>
    <n v="5000000"/>
    <x v="1"/>
    <n v="20"/>
    <m/>
    <n v="1000000"/>
    <n v="350000.00000000006"/>
    <n v="250000"/>
  </r>
  <r>
    <n v="167"/>
    <s v="RAMAZON OF LINE"/>
    <m/>
    <m/>
    <x v="21"/>
    <x v="2"/>
    <n v="15000000"/>
    <x v="1"/>
    <n v="20"/>
    <m/>
    <n v="2000000"/>
    <n v="1050000"/>
    <n v="750000"/>
  </r>
  <r>
    <n v="168"/>
    <s v="LINE OF NATURE"/>
    <m/>
    <m/>
    <x v="21"/>
    <x v="2"/>
    <n v="5000000"/>
    <x v="1"/>
    <n v="20"/>
    <m/>
    <n v="1000000"/>
    <n v="350000.00000000006"/>
    <n v="250000"/>
  </r>
  <r>
    <n v="169"/>
    <s v="HOMEBAZAAR YATT"/>
    <m/>
    <m/>
    <x v="17"/>
    <x v="2"/>
    <n v="500000"/>
    <x v="0"/>
    <n v="20"/>
    <m/>
    <n v="100000"/>
    <n v="35000"/>
    <n v="25000"/>
  </r>
  <r>
    <n v="170"/>
    <s v="GC TRADE"/>
    <m/>
    <m/>
    <x v="21"/>
    <x v="2"/>
    <n v="0"/>
    <x v="1"/>
    <n v="20"/>
    <m/>
    <n v="0"/>
    <n v="0"/>
    <n v="0"/>
  </r>
  <r>
    <n v="171"/>
    <s v="ACADEMY RIZOMULK"/>
    <m/>
    <m/>
    <x v="11"/>
    <x v="2"/>
    <n v="600000"/>
    <x v="2"/>
    <n v="20"/>
    <m/>
    <n v="120000"/>
    <n v="42000.000000000007"/>
    <n v="30000"/>
  </r>
  <r>
    <n v="172"/>
    <s v="NEKOVA MAHLIYO bogcha"/>
    <m/>
    <m/>
    <x v="2"/>
    <x v="1"/>
    <n v="2000000"/>
    <x v="1"/>
    <n v="20"/>
    <n v="100000"/>
    <n v="400000"/>
    <n v="140000"/>
    <n v="100000"/>
  </r>
  <r>
    <n v="174"/>
    <s v="SPLENDID SERVICE"/>
    <m/>
    <m/>
    <x v="10"/>
    <x v="0"/>
    <n v="1000000"/>
    <x v="1"/>
    <n v="20"/>
    <n v="50000"/>
    <n v="200000"/>
    <n v="70000"/>
    <n v="50000"/>
  </r>
  <r>
    <n v="175"/>
    <s v="SPLENDID CATERING"/>
    <m/>
    <m/>
    <x v="10"/>
    <x v="0"/>
    <n v="1000000"/>
    <x v="1"/>
    <n v="20"/>
    <n v="50000"/>
    <n v="200000"/>
    <n v="70000"/>
    <n v="50000"/>
  </r>
  <r>
    <n v="176"/>
    <s v="TRUSTLY SERVICE"/>
    <m/>
    <m/>
    <x v="10"/>
    <x v="0"/>
    <n v="0"/>
    <x v="1"/>
    <n v="20"/>
    <m/>
    <n v="0"/>
    <n v="0"/>
    <n v="0"/>
  </r>
  <r>
    <n v="177"/>
    <s v="Ishonchli Havfsiz Hudud MCHJ"/>
    <m/>
    <m/>
    <x v="7"/>
    <x v="2"/>
    <n v="0"/>
    <x v="0"/>
    <n v="20"/>
    <m/>
    <n v="0"/>
    <n v="0"/>
    <n v="0"/>
  </r>
  <r>
    <n v="178"/>
    <s v="PAPER EXPERT"/>
    <m/>
    <m/>
    <x v="2"/>
    <x v="1"/>
    <n v="1000000"/>
    <x v="1"/>
    <n v="20"/>
    <n v="50000"/>
    <n v="200000"/>
    <n v="70000"/>
    <n v="50000"/>
  </r>
  <r>
    <n v="179"/>
    <s v="TAKSIM-KEBAB TEAM"/>
    <m/>
    <m/>
    <x v="8"/>
    <x v="1"/>
    <n v="0"/>
    <x v="1"/>
    <n v="20"/>
    <m/>
    <n v="0"/>
    <n v="0"/>
    <n v="0"/>
  </r>
  <r>
    <n v="180"/>
    <s v="LEMON FIT"/>
    <m/>
    <m/>
    <x v="2"/>
    <x v="1"/>
    <n v="4000000"/>
    <x v="1"/>
    <n v="20"/>
    <n v="200000"/>
    <n v="800000"/>
    <n v="280000"/>
    <n v="200000"/>
  </r>
  <r>
    <n v="181"/>
    <s v="URBAN HEATING GROUP"/>
    <m/>
    <m/>
    <x v="22"/>
    <x v="1"/>
    <n v="10000000"/>
    <x v="1"/>
    <n v="20"/>
    <n v="500000"/>
    <n v="2000000"/>
    <n v="700000.00000000012"/>
    <n v="500000"/>
  </r>
  <r>
    <n v="182"/>
    <s v="ARVAGTEXNIK"/>
    <m/>
    <m/>
    <x v="22"/>
    <x v="1"/>
    <n v="2000000"/>
    <x v="1"/>
    <n v="20"/>
    <n v="100000"/>
    <n v="400000"/>
    <n v="140000"/>
    <n v="100000"/>
  </r>
  <r>
    <n v="183"/>
    <s v="DARVESHI NAVOI"/>
    <m/>
    <m/>
    <x v="22"/>
    <x v="2"/>
    <n v="5000000"/>
    <x v="0"/>
    <n v="20"/>
    <m/>
    <n v="1000000"/>
    <n v="350000.00000000006"/>
    <n v="250000"/>
  </r>
  <r>
    <n v="184"/>
    <s v="LIDERS BARAKA"/>
    <m/>
    <m/>
    <x v="22"/>
    <x v="2"/>
    <n v="5000000"/>
    <x v="0"/>
    <n v="20"/>
    <m/>
    <n v="1000000"/>
    <n v="350000.00000000006"/>
    <n v="250000"/>
  </r>
  <r>
    <n v="185"/>
    <s v="BORAN LIDERS"/>
    <m/>
    <m/>
    <x v="22"/>
    <x v="2"/>
    <n v="5000000"/>
    <x v="0"/>
    <n v="20"/>
    <m/>
    <n v="1000000"/>
    <n v="350000.00000000006"/>
    <n v="250000"/>
  </r>
  <r>
    <n v="186"/>
    <s v="AYOQSH"/>
    <m/>
    <m/>
    <x v="8"/>
    <x v="2"/>
    <n v="3500000"/>
    <x v="1"/>
    <n v="20"/>
    <m/>
    <n v="700000"/>
    <n v="245000.00000000003"/>
    <n v="175000"/>
  </r>
  <r>
    <n v="187"/>
    <s v="AZS SHOFAYZ"/>
    <m/>
    <m/>
    <x v="8"/>
    <x v="2"/>
    <n v="3500000"/>
    <x v="1"/>
    <n v="20"/>
    <m/>
    <n v="700000"/>
    <n v="245000.00000000003"/>
    <n v="175000"/>
  </r>
  <r>
    <n v="188"/>
    <s v="ELIT CHICKEN"/>
    <m/>
    <m/>
    <x v="9"/>
    <x v="2"/>
    <n v="1000000"/>
    <x v="1"/>
    <n v="10"/>
    <m/>
    <n v="100000"/>
    <n v="70000"/>
    <n v="50000"/>
  </r>
  <r>
    <n v="189"/>
    <s v="VENU"/>
    <m/>
    <m/>
    <x v="13"/>
    <x v="3"/>
    <n v="0"/>
    <x v="1"/>
    <n v="20"/>
    <m/>
    <n v="0"/>
    <n v="0"/>
    <n v="0"/>
  </r>
  <r>
    <n v="190"/>
    <s v="FUTURE IT"/>
    <m/>
    <m/>
    <x v="13"/>
    <x v="3"/>
    <n v="0"/>
    <x v="1"/>
    <n v="20"/>
    <m/>
    <n v="0"/>
    <n v="0"/>
    <n v="0"/>
  </r>
  <r>
    <n v="191"/>
    <s v="BARQAROR 2018"/>
    <m/>
    <m/>
    <x v="13"/>
    <x v="3"/>
    <n v="0"/>
    <x v="1"/>
    <n v="20"/>
    <m/>
    <n v="0"/>
    <n v="0"/>
    <n v="0"/>
  </r>
  <r>
    <n v="192"/>
    <s v="SOFT COMFORT MK4"/>
    <m/>
    <m/>
    <x v="13"/>
    <x v="3"/>
    <n v="0"/>
    <x v="1"/>
    <n v="20"/>
    <m/>
    <n v="0"/>
    <n v="0"/>
    <n v="0"/>
  </r>
  <r>
    <n v="193"/>
    <s v="SKY GATE SERVICES"/>
    <m/>
    <m/>
    <x v="5"/>
    <x v="3"/>
    <n v="0"/>
    <x v="1"/>
    <n v="20"/>
    <m/>
    <n v="0"/>
    <n v="0"/>
    <n v="0"/>
  </r>
  <r>
    <n v="194"/>
    <s v="GEO DRILLING SERVICE"/>
    <m/>
    <m/>
    <x v="5"/>
    <x v="3"/>
    <n v="7500000"/>
    <x v="1"/>
    <n v="20"/>
    <n v="375000"/>
    <n v="1500000"/>
    <n v="525000"/>
    <n v="375000"/>
  </r>
  <r>
    <n v="195"/>
    <s v="QULAY BOX"/>
    <m/>
    <m/>
    <x v="7"/>
    <x v="1"/>
    <n v="700000"/>
    <x v="0"/>
    <n v="20"/>
    <n v="35000"/>
    <n v="140000"/>
    <n v="49000.000000000007"/>
    <n v="35000"/>
  </r>
  <r>
    <n v="196"/>
    <s v="DSKP AMUDARYO"/>
    <m/>
    <m/>
    <x v="13"/>
    <x v="1"/>
    <n v="14000000"/>
    <x v="1"/>
    <n v="20"/>
    <n v="700000"/>
    <n v="2800000"/>
    <n v="980000.00000000012"/>
    <n v="700000"/>
  </r>
  <r>
    <n v="197"/>
    <s v="SIDDIQ BIZNES"/>
    <m/>
    <m/>
    <x v="24"/>
    <x v="0"/>
    <n v="5000000"/>
    <x v="0"/>
    <n v="20"/>
    <n v="250000"/>
    <n v="1000000"/>
    <n v="350000.00000000006"/>
    <n v="250000"/>
  </r>
  <r>
    <n v="198"/>
    <s v="STIL SERVIS"/>
    <m/>
    <m/>
    <x v="8"/>
    <x v="0"/>
    <n v="4500000"/>
    <x v="1"/>
    <n v="20"/>
    <n v="225000"/>
    <n v="900000"/>
    <n v="315000.00000000006"/>
    <n v="225000"/>
  </r>
  <r>
    <n v="199"/>
    <s v="DOSANOV SCHOOL"/>
    <m/>
    <m/>
    <x v="0"/>
    <x v="2"/>
    <n v="1000000"/>
    <x v="0"/>
    <n v="20"/>
    <m/>
    <n v="200000"/>
    <n v="70000"/>
    <n v="50000"/>
  </r>
  <r>
    <n v="200"/>
    <s v="RIELTORLAR PALATASI"/>
    <m/>
    <m/>
    <x v="7"/>
    <x v="2"/>
    <n v="700000"/>
    <x v="0"/>
    <n v="20"/>
    <m/>
    <n v="140000"/>
    <n v="49000.000000000007"/>
    <n v="35000"/>
  </r>
  <r>
    <n v="201"/>
    <s v="CONSTANT GROWTH"/>
    <m/>
    <m/>
    <x v="13"/>
    <x v="0"/>
    <n v="2000000"/>
    <x v="1"/>
    <n v="20"/>
    <n v="100000"/>
    <n v="400000"/>
    <n v="140000"/>
    <n v="100000"/>
  </r>
  <r>
    <n v="202"/>
    <s v="Ohangaron Rustam Fayz"/>
    <n v="302595327"/>
    <m/>
    <x v="25"/>
    <x v="2"/>
    <n v="1000000"/>
    <x v="2"/>
    <n v="20"/>
    <m/>
    <n v="200000"/>
    <n v="70000"/>
    <n v="50000"/>
  </r>
  <r>
    <n v="203"/>
    <s v="Jizzakh Majic Star"/>
    <n v="309314757"/>
    <m/>
    <x v="25"/>
    <x v="2"/>
    <n v="500000"/>
    <x v="2"/>
    <n v="20"/>
    <m/>
    <n v="100000"/>
    <n v="35000"/>
    <n v="25000"/>
  </r>
  <r>
    <n v="204"/>
    <s v="Toolstrek Ca"/>
    <n v="309850241"/>
    <m/>
    <x v="1"/>
    <x v="1"/>
    <n v="700000"/>
    <x v="1"/>
    <n v="20"/>
    <n v="35000"/>
    <n v="140000"/>
    <n v="49000.000000000007"/>
    <n v="35000"/>
  </r>
  <r>
    <n v="205"/>
    <s v="Dilorom-Xidoyat"/>
    <n v="206447841"/>
    <m/>
    <x v="9"/>
    <x v="0"/>
    <n v="9500000"/>
    <x v="1"/>
    <n v="20"/>
    <n v="475000"/>
    <n v="1900000"/>
    <n v="665000.00000000012"/>
    <n v="475000"/>
  </r>
  <r>
    <n v="206"/>
    <s v="Tursunxoja Xidoyat"/>
    <n v="306061553"/>
    <m/>
    <x v="9"/>
    <x v="0"/>
    <n v="9500000"/>
    <x v="0"/>
    <n v="20"/>
    <n v="475000"/>
    <n v="1900000"/>
    <n v="665000.00000000012"/>
    <n v="475000"/>
  </r>
  <r>
    <n v="207"/>
    <s v="Favvora Fayz"/>
    <n v="302080350"/>
    <m/>
    <x v="9"/>
    <x v="0"/>
    <n v="1000000"/>
    <x v="0"/>
    <n v="20"/>
    <n v="100000"/>
    <n v="200000"/>
    <n v="70000"/>
    <n v="50000"/>
  </r>
  <r>
    <n v="208"/>
    <s v="WISE-STORE MCHJ"/>
    <n v="308722764"/>
    <m/>
    <x v="21"/>
    <x v="4"/>
    <n v="7000000"/>
    <x v="1"/>
    <n v="20"/>
    <n v="350000"/>
    <n v="1400000"/>
    <n v="490000.00000000006"/>
    <n v="350000"/>
  </r>
  <r>
    <n v="209"/>
    <s v="Special Building store"/>
    <n v="312094462"/>
    <m/>
    <x v="21"/>
    <x v="2"/>
    <n v="0"/>
    <x v="1"/>
    <n v="20"/>
    <m/>
    <n v="0"/>
    <n v="0"/>
    <n v="0"/>
  </r>
  <r>
    <n v="210"/>
    <s v="Stroy Market"/>
    <n v="305956530"/>
    <m/>
    <x v="21"/>
    <x v="4"/>
    <n v="3000000"/>
    <x v="1"/>
    <n v="20"/>
    <n v="150000"/>
    <n v="600000"/>
    <n v="210000.00000000003"/>
    <n v="150000"/>
  </r>
  <r>
    <n v="211"/>
    <s v="Vazifa Venchur"/>
    <n v="311910064"/>
    <m/>
    <x v="26"/>
    <x v="4"/>
    <n v="500000"/>
    <x v="2"/>
    <n v="20"/>
    <n v="25000"/>
    <n v="100000"/>
    <n v="35000"/>
    <n v="25000"/>
  </r>
  <r>
    <n v="212"/>
    <s v="GRAYD GROUP MCHJ"/>
    <n v="312391054"/>
    <m/>
    <x v="26"/>
    <x v="4"/>
    <n v="500000"/>
    <x v="2"/>
    <n v="20"/>
    <n v="25000"/>
    <n v="100000"/>
    <n v="35000"/>
    <n v="25000"/>
  </r>
  <r>
    <n v="213"/>
    <s v="&quot;SALOHIDDIN SFX&quot; MCHJ"/>
    <n v="312305364"/>
    <m/>
    <x v="26"/>
    <x v="4"/>
    <n v="1000000"/>
    <x v="2"/>
    <n v="20"/>
    <n v="50000"/>
    <n v="200000"/>
    <n v="70000"/>
    <n v="50000"/>
  </r>
  <r>
    <n v="214"/>
    <s v="Goodwill business servis MCHJ"/>
    <n v="302672681"/>
    <m/>
    <x v="9"/>
    <x v="0"/>
    <n v="8000000"/>
    <x v="1"/>
    <n v="20"/>
    <n v="400000"/>
    <n v="1600000"/>
    <n v="560000"/>
    <n v="400000"/>
  </r>
  <r>
    <n v="215"/>
    <s v="Saidbek Mustafo MCHJ"/>
    <n v="304219671"/>
    <m/>
    <x v="26"/>
    <x v="2"/>
    <n v="6000000"/>
    <x v="2"/>
    <n v="20"/>
    <m/>
    <n v="1200000"/>
    <n v="420000.00000000006"/>
    <n v="300000"/>
  </r>
  <r>
    <n v="216"/>
    <s v="MIRZAYEVLAR LOGISTICS "/>
    <n v="309378456"/>
    <m/>
    <x v="24"/>
    <x v="4"/>
    <n v="1300000"/>
    <x v="0"/>
    <n v="20"/>
    <n v="65000"/>
    <n v="260000"/>
    <n v="91000.000000000015"/>
    <n v="65000"/>
  </r>
  <r>
    <n v="217"/>
    <s v="ORIENT-CHEMICAL "/>
    <n v="305846138"/>
    <m/>
    <x v="24"/>
    <x v="2"/>
    <n v="1500000"/>
    <x v="0"/>
    <n v="20"/>
    <m/>
    <n v="300000"/>
    <n v="105000.00000000001"/>
    <n v="75000"/>
  </r>
  <r>
    <n v="218"/>
    <s v="SHOHRUZ-IMRON-SHERDOR OK "/>
    <n v="305578771"/>
    <m/>
    <x v="24"/>
    <x v="4"/>
    <n v="800000"/>
    <x v="0"/>
    <n v="20"/>
    <n v="40000"/>
    <n v="160000"/>
    <n v="56000.000000000007"/>
    <n v="40000"/>
  </r>
  <r>
    <n v="219"/>
    <s v="NORBEKOV IT "/>
    <n v="30905921571729"/>
    <m/>
    <x v="24"/>
    <x v="2"/>
    <n v="1000000"/>
    <x v="0"/>
    <n v="20"/>
    <m/>
    <n v="200000"/>
    <n v="70000"/>
    <n v="50000"/>
  </r>
  <r>
    <n v="220"/>
    <s v="MIXTRUE SEMENT "/>
    <n v="310585944"/>
    <m/>
    <x v="24"/>
    <x v="2"/>
    <n v="1000000"/>
    <x v="0"/>
    <n v="20"/>
    <m/>
    <n v="200000"/>
    <n v="70000"/>
    <n v="50000"/>
  </r>
  <r>
    <n v="221"/>
    <s v="FOREST SCHOOL   "/>
    <n v="311250245"/>
    <m/>
    <x v="26"/>
    <x v="4"/>
    <n v="2000000"/>
    <x v="2"/>
    <n v="20"/>
    <n v="100000"/>
    <n v="400000"/>
    <n v="140000"/>
    <n v="100000"/>
  </r>
  <r>
    <n v="222"/>
    <s v="BEST BROOMS "/>
    <n v="312405929"/>
    <m/>
    <x v="26"/>
    <x v="2"/>
    <n v="2500000"/>
    <x v="2"/>
    <n v="20"/>
    <m/>
    <n v="500000"/>
    <n v="175000.00000000003"/>
    <n v="125000"/>
  </r>
  <r>
    <n v="223"/>
    <s v="LOGAN"/>
    <n v="311074535"/>
    <m/>
    <x v="2"/>
    <x v="4"/>
    <n v="6000000"/>
    <x v="1"/>
    <n v="20"/>
    <n v="300000"/>
    <n v="1200000"/>
    <n v="420000.00000000006"/>
    <n v="300000"/>
  </r>
  <r>
    <n v="224"/>
    <s v="&quot;In'tegrity&quot; MCHJ"/>
    <n v="309449913"/>
    <m/>
    <x v="7"/>
    <x v="4"/>
    <n v="1500000"/>
    <x v="0"/>
    <n v="20"/>
    <n v="75000"/>
    <n v="300000"/>
    <n v="105000.00000000001"/>
    <n v="75000"/>
  </r>
  <r>
    <n v="225"/>
    <s v="YATT Abdurasulova Lola"/>
    <n v="40806820470047"/>
    <m/>
    <x v="7"/>
    <x v="4"/>
    <n v="0"/>
    <x v="0"/>
    <n v="20"/>
    <n v="0"/>
    <n v="0"/>
    <n v="0"/>
    <n v="0"/>
  </r>
  <r>
    <n v="226"/>
    <s v="&quot;Omad texno-trans&quot; MCHJ"/>
    <n v="310393360"/>
    <m/>
    <x v="24"/>
    <x v="4"/>
    <n v="0"/>
    <x v="0"/>
    <n v="20"/>
    <n v="0"/>
    <n v="0"/>
    <n v="0"/>
    <n v="0"/>
  </r>
  <r>
    <n v="227"/>
    <s v="YATT Dilova Nigora"/>
    <n v="40404772720014"/>
    <m/>
    <x v="24"/>
    <x v="4"/>
    <n v="0"/>
    <x v="0"/>
    <n v="20"/>
    <n v="0"/>
    <n v="0"/>
    <n v="0"/>
    <n v="0"/>
  </r>
  <r>
    <n v="228"/>
    <s v="&quot;Sunny brand&quot; OK"/>
    <n v="307807888"/>
    <m/>
    <x v="24"/>
    <x v="2"/>
    <n v="1400000"/>
    <x v="0"/>
    <n v="20"/>
    <m/>
    <n v="280000"/>
    <n v="98000.000000000015"/>
    <n v="70000"/>
  </r>
  <r>
    <n v="229"/>
    <s v="&quot;Dilsevar Hojakbar&quot; MCHJ"/>
    <n v="311985232"/>
    <m/>
    <x v="14"/>
    <x v="2"/>
    <n v="500000"/>
    <x v="0"/>
    <n v="20"/>
    <m/>
    <n v="100000"/>
    <n v="35000"/>
    <n v="25000"/>
  </r>
  <r>
    <n v="230"/>
    <s v="&quot;AvloAI&quot; MCHJ"/>
    <n v="311494868"/>
    <m/>
    <x v="14"/>
    <x v="4"/>
    <n v="500000"/>
    <x v="0"/>
    <n v="20"/>
    <n v="25000"/>
    <n v="100000"/>
    <n v="35000"/>
    <n v="25000"/>
  </r>
  <r>
    <n v="231"/>
    <s v="&quot;Mastercoffee Roaster&quot; MCHJ"/>
    <n v="311638211"/>
    <m/>
    <x v="7"/>
    <x v="4"/>
    <n v="2500000"/>
    <x v="0"/>
    <n v="20"/>
    <n v="125000"/>
    <n v="500000"/>
    <n v="175000.00000000003"/>
    <n v="125000"/>
  </r>
  <r>
    <n v="232"/>
    <s v="&quot;Dashtobod aloqa-service&quot; MCHJ"/>
    <n v="301844182"/>
    <m/>
    <x v="14"/>
    <x v="2"/>
    <n v="500000"/>
    <x v="0"/>
    <n v="20"/>
    <m/>
    <n v="100000"/>
    <n v="35000"/>
    <n v="25000"/>
  </r>
  <r>
    <n v="233"/>
    <s v="EUROSOFT"/>
    <n v="305976474"/>
    <m/>
    <x v="14"/>
    <x v="0"/>
    <n v="900000"/>
    <x v="0"/>
    <n v="20"/>
    <n v="45000"/>
    <n v="180000"/>
    <n v="63000.000000000007"/>
    <n v="45000"/>
  </r>
  <r>
    <n v="234"/>
    <s v="&quot;Corsa' MChJ"/>
    <n v="311817724"/>
    <m/>
    <x v="25"/>
    <x v="4"/>
    <n v="700000"/>
    <x v="2"/>
    <n v="20"/>
    <n v="35000"/>
    <n v="140000"/>
    <n v="49000.000000000007"/>
    <n v="35000"/>
  </r>
  <r>
    <n v="235"/>
    <s v="&quot;Shox-Muhandis&quot;"/>
    <n v="312108030"/>
    <m/>
    <x v="25"/>
    <x v="2"/>
    <n v="1000000"/>
    <x v="2"/>
    <n v="20"/>
    <m/>
    <n v="200000"/>
    <n v="70000"/>
    <n v="50000"/>
  </r>
  <r>
    <n v="236"/>
    <s v="&quot;Iftixor Holding&quot; MChJ"/>
    <n v="312168908"/>
    <m/>
    <x v="25"/>
    <x v="4"/>
    <n v="700000"/>
    <x v="2"/>
    <n v="20"/>
    <n v="35000"/>
    <n v="140000"/>
    <n v="49000.000000000007"/>
    <n v="35000"/>
  </r>
  <r>
    <n v="237"/>
    <s v="Avto nams "/>
    <n v="311081052"/>
    <m/>
    <x v="25"/>
    <x v="4"/>
    <n v="1300000"/>
    <x v="2"/>
    <n v="20"/>
    <n v="65000"/>
    <n v="260000"/>
    <n v="91000.000000000015"/>
    <n v="65000"/>
  </r>
  <r>
    <n v="238"/>
    <s v="Hyper nams "/>
    <n v="310817377"/>
    <m/>
    <x v="25"/>
    <x v="4"/>
    <n v="1300000"/>
    <x v="2"/>
    <n v="20"/>
    <n v="65000"/>
    <n v="260000"/>
    <n v="91000.000000000015"/>
    <n v="65000"/>
  </r>
  <r>
    <n v="239"/>
    <s v="Integral servis"/>
    <n v="302528344"/>
    <m/>
    <x v="25"/>
    <x v="4"/>
    <n v="8000000"/>
    <x v="2"/>
    <n v="20"/>
    <n v="400000"/>
    <n v="1600000"/>
    <n v="560000"/>
    <n v="400000"/>
  </r>
  <r>
    <n v="240"/>
    <s v="FAROBIY 77"/>
    <n v="307860928"/>
    <m/>
    <x v="25"/>
    <x v="2"/>
    <n v="1200000"/>
    <x v="2"/>
    <n v="20"/>
    <m/>
    <n v="240000"/>
    <n v="84000.000000000015"/>
    <n v="60000"/>
  </r>
  <r>
    <n v="241"/>
    <s v="ASIA PRO GROUP"/>
    <m/>
    <m/>
    <x v="26"/>
    <x v="2"/>
    <n v="700000"/>
    <x v="2"/>
    <n v="20"/>
    <m/>
    <n v="140000"/>
    <n v="49000.000000000007"/>
    <n v="35000"/>
  </r>
  <r>
    <n v="242"/>
    <s v="TOSHMI DIAGNOSTIKA"/>
    <m/>
    <m/>
    <x v="26"/>
    <x v="4"/>
    <n v="1200000"/>
    <x v="2"/>
    <n v="20"/>
    <n v="60000"/>
    <n v="240000"/>
    <n v="84000.000000000015"/>
    <n v="60000"/>
  </r>
  <r>
    <n v="243"/>
    <s v="HALOL OSHPAZ"/>
    <m/>
    <m/>
    <x v="26"/>
    <x v="4"/>
    <n v="800000"/>
    <x v="2"/>
    <n v="20"/>
    <n v="40000"/>
    <n v="160000"/>
    <n v="56000.000000000007"/>
    <n v="40000"/>
  </r>
  <r>
    <n v="244"/>
    <s v="HALOL OSHPAZ JAMOASI"/>
    <m/>
    <m/>
    <x v="26"/>
    <x v="4"/>
    <n v="0"/>
    <x v="2"/>
    <n v="20"/>
    <n v="0"/>
    <n v="0"/>
    <n v="0"/>
    <n v="0"/>
  </r>
  <r>
    <n v="245"/>
    <s v="AZIM DARYO"/>
    <m/>
    <m/>
    <x v="10"/>
    <x v="2"/>
    <n v="500000"/>
    <x v="1"/>
    <n v="20"/>
    <m/>
    <n v="100000"/>
    <n v="35000"/>
    <n v="25000"/>
  </r>
  <r>
    <n v="246"/>
    <s v="GIPPER LUVER"/>
    <m/>
    <m/>
    <x v="10"/>
    <x v="2"/>
    <n v="1000000"/>
    <x v="1"/>
    <n v="20"/>
    <m/>
    <n v="200000"/>
    <n v="70000"/>
    <n v="50000"/>
  </r>
  <r>
    <n v="247"/>
    <s v="7 NEBO"/>
    <m/>
    <m/>
    <x v="10"/>
    <x v="2"/>
    <n v="500000"/>
    <x v="1"/>
    <n v="20"/>
    <m/>
    <n v="100000"/>
    <n v="35000"/>
    <n v="25000"/>
  </r>
  <r>
    <n v="248"/>
    <s v="SIRLY MCHJ"/>
    <m/>
    <m/>
    <x v="25"/>
    <x v="2"/>
    <n v="500000"/>
    <x v="2"/>
    <n v="20"/>
    <m/>
    <n v="100000"/>
    <n v="35000"/>
    <n v="25000"/>
  </r>
  <r>
    <n v="249"/>
    <s v="NOSIROV XOJIAKBAR YaTT"/>
    <m/>
    <m/>
    <x v="25"/>
    <x v="2"/>
    <n v="500000"/>
    <x v="2"/>
    <n v="20"/>
    <m/>
    <n v="100000"/>
    <n v="35000"/>
    <n v="25000"/>
  </r>
  <r>
    <n v="250"/>
    <s v="FAXRIDDIN SAODAT PHARM"/>
    <m/>
    <m/>
    <x v="17"/>
    <x v="1"/>
    <n v="2000000"/>
    <x v="0"/>
    <n v="20"/>
    <n v="100000"/>
    <n v="400000"/>
    <n v="140000"/>
    <n v="100000"/>
  </r>
  <r>
    <n v="251"/>
    <s v="ALIMXANOV ABDURAZZOQ"/>
    <m/>
    <m/>
    <x v="25"/>
    <x v="2"/>
    <n v="300000"/>
    <x v="2"/>
    <n v="20"/>
    <m/>
    <n v="60000"/>
    <n v="21000.000000000004"/>
    <n v="15000"/>
  </r>
  <r>
    <n v="252"/>
    <m/>
    <m/>
    <m/>
    <x v="12"/>
    <x v="2"/>
    <m/>
    <x v="3"/>
    <m/>
    <m/>
    <m/>
    <m/>
    <m/>
  </r>
  <r>
    <n v="253"/>
    <s v="SUHROBBEK PARIZODA"/>
    <m/>
    <m/>
    <x v="25"/>
    <x v="2"/>
    <n v="1000000"/>
    <x v="2"/>
    <n v="20"/>
    <m/>
    <n v="200000"/>
    <n v="70000"/>
    <n v="50000"/>
  </r>
  <r>
    <n v="254"/>
    <s v="HARDPRESS CNC"/>
    <n v="312340250"/>
    <m/>
    <x v="25"/>
    <x v="2"/>
    <n v="500000"/>
    <x v="2"/>
    <n v="20"/>
    <m/>
    <n v="100000"/>
    <n v="35000"/>
    <n v="25000"/>
  </r>
  <r>
    <n v="255"/>
    <s v="SAHARA UTD"/>
    <m/>
    <m/>
    <x v="25"/>
    <x v="2"/>
    <n v="500000"/>
    <x v="2"/>
    <n v="20"/>
    <m/>
    <n v="100000"/>
    <n v="35000"/>
    <n v="25000"/>
  </r>
  <r>
    <n v="256"/>
    <s v="BRR OIL BIZNES"/>
    <m/>
    <m/>
    <x v="6"/>
    <x v="0"/>
    <n v="1000000"/>
    <x v="1"/>
    <n v="20"/>
    <n v="50000"/>
    <n v="200000"/>
    <n v="70000"/>
    <n v="50000"/>
  </r>
  <r>
    <n v="257"/>
    <s v="IBRAGIMOV SALE"/>
    <m/>
    <m/>
    <x v="22"/>
    <x v="0"/>
    <n v="3500000"/>
    <x v="0"/>
    <n v="20"/>
    <n v="175000"/>
    <n v="700000"/>
    <n v="245000.00000000003"/>
    <n v="175000"/>
  </r>
  <r>
    <n v="258"/>
    <s v="GREAT KOMAX"/>
    <m/>
    <m/>
    <x v="6"/>
    <x v="2"/>
    <n v="5000000"/>
    <x v="1"/>
    <n v="20"/>
    <m/>
    <n v="1000000"/>
    <n v="350000.00000000006"/>
    <n v="250000"/>
  </r>
  <r>
    <n v="259"/>
    <s v="VULKAN TRADE"/>
    <m/>
    <m/>
    <x v="13"/>
    <x v="2"/>
    <n v="700000"/>
    <x v="1"/>
    <n v="20"/>
    <m/>
    <n v="140000"/>
    <n v="49000.000000000007"/>
    <n v="35000"/>
  </r>
  <r>
    <n v="260"/>
    <s v="E DOKON"/>
    <m/>
    <m/>
    <x v="13"/>
    <x v="2"/>
    <n v="700000"/>
    <x v="1"/>
    <n v="20"/>
    <m/>
    <n v="140000"/>
    <n v="49000.000000000007"/>
    <n v="35000"/>
  </r>
  <r>
    <n v="261"/>
    <s v="VT TRAVEL"/>
    <m/>
    <m/>
    <x v="13"/>
    <x v="2"/>
    <n v="1000000"/>
    <x v="1"/>
    <n v="20"/>
    <m/>
    <n v="200000"/>
    <n v="70000"/>
    <n v="50000"/>
  </r>
  <r>
    <n v="262"/>
    <s v="RF BUILDINGS"/>
    <m/>
    <m/>
    <x v="5"/>
    <x v="2"/>
    <n v="500000"/>
    <x v="1"/>
    <n v="20"/>
    <m/>
    <n v="100000"/>
    <n v="35000"/>
    <n v="25000"/>
  </r>
  <r>
    <n v="263"/>
    <s v="AIFREIGHT"/>
    <m/>
    <m/>
    <x v="3"/>
    <x v="2"/>
    <n v="700000"/>
    <x v="0"/>
    <n v="20"/>
    <m/>
    <n v="140000"/>
    <n v="49000.000000000007"/>
    <n v="35000"/>
  </r>
  <r>
    <n v="264"/>
    <s v="Infinity group in industry"/>
    <m/>
    <m/>
    <x v="3"/>
    <x v="2"/>
    <n v="1000000"/>
    <x v="0"/>
    <n v="20"/>
    <m/>
    <n v="200000"/>
    <n v="70000"/>
    <n v="50000"/>
  </r>
  <r>
    <m/>
    <s v="NUR UP"/>
    <m/>
    <m/>
    <x v="21"/>
    <x v="2"/>
    <n v="2000000"/>
    <x v="1"/>
    <n v="20"/>
    <m/>
    <n v="400000"/>
    <n v="140000"/>
    <n v="100000"/>
  </r>
  <r>
    <m/>
    <s v="BUNYOD CHORBOG"/>
    <m/>
    <m/>
    <x v="11"/>
    <x v="2"/>
    <n v="1500000"/>
    <x v="2"/>
    <n v="20"/>
    <m/>
    <n v="300000"/>
    <n v="105000.00000000001"/>
    <n v="75000"/>
  </r>
  <r>
    <m/>
    <s v="BUNYOD OMAD SERVISE"/>
    <m/>
    <m/>
    <x v="11"/>
    <x v="2"/>
    <n v="1500000"/>
    <x v="2"/>
    <n v="20"/>
    <m/>
    <n v="300000"/>
    <n v="105000.00000000001"/>
    <n v="75000"/>
  </r>
  <r>
    <m/>
    <s v="BUNYOD SULTON SHOX"/>
    <m/>
    <m/>
    <x v="11"/>
    <x v="2"/>
    <n v="0"/>
    <x v="2"/>
    <n v="20"/>
    <m/>
    <n v="0"/>
    <n v="0"/>
    <n v="0"/>
  </r>
  <r>
    <m/>
    <s v="TASHMATOV GROUP"/>
    <m/>
    <m/>
    <x v="4"/>
    <x v="2"/>
    <n v="1500000"/>
    <x v="2"/>
    <n v="20"/>
    <m/>
    <n v="300000"/>
    <n v="105000.00000000001"/>
    <n v="75000"/>
  </r>
  <r>
    <m/>
    <s v="EFFSARI"/>
    <m/>
    <m/>
    <x v="17"/>
    <x v="2"/>
    <m/>
    <x v="0"/>
    <n v="20"/>
    <m/>
    <n v="0"/>
    <n v="0"/>
    <n v="0"/>
  </r>
  <r>
    <m/>
    <s v="ELMIR FOOD CORP"/>
    <m/>
    <m/>
    <x v="11"/>
    <x v="2"/>
    <n v="1500000"/>
    <x v="2"/>
    <n v="20"/>
    <m/>
    <n v="300000"/>
    <n v="105000.00000000001"/>
    <n v="75000"/>
  </r>
  <r>
    <m/>
    <s v="YULDUZ ALIBAYEVA YATT"/>
    <m/>
    <m/>
    <x v="0"/>
    <x v="2"/>
    <m/>
    <x v="4"/>
    <n v="20"/>
    <m/>
    <n v="0"/>
    <n v="0"/>
    <n v="0"/>
  </r>
  <r>
    <m/>
    <s v="OILL SEVEN"/>
    <m/>
    <m/>
    <x v="6"/>
    <x v="2"/>
    <n v="5000000"/>
    <x v="1"/>
    <n v="20"/>
    <m/>
    <n v="1000000"/>
    <n v="350000.00000000006"/>
    <n v="250000"/>
  </r>
  <r>
    <m/>
    <s v="FITLINE FITNES CENTR"/>
    <m/>
    <m/>
    <x v="3"/>
    <x v="2"/>
    <n v="4000000"/>
    <x v="0"/>
    <n v="20"/>
    <m/>
    <n v="800000"/>
    <n v="280000"/>
    <n v="200000"/>
  </r>
  <r>
    <m/>
    <s v="ECO ZELEN"/>
    <m/>
    <m/>
    <x v="22"/>
    <x v="2"/>
    <n v="2000000"/>
    <x v="1"/>
    <n v="20"/>
    <m/>
    <n v="400000"/>
    <n v="140000"/>
    <n v="100000"/>
  </r>
  <r>
    <m/>
    <s v="GRAND CANYON HOTEL"/>
    <m/>
    <m/>
    <x v="11"/>
    <x v="2"/>
    <n v="2000000"/>
    <x v="2"/>
    <n v="20"/>
    <m/>
    <n v="400000"/>
    <n v="140000"/>
    <n v="100000"/>
  </r>
  <r>
    <m/>
    <s v="GREEN ENERGY MUXRIDDIN"/>
    <m/>
    <m/>
    <x v="25"/>
    <x v="2"/>
    <n v="3000000"/>
    <x v="2"/>
    <n v="20"/>
    <m/>
    <n v="600000"/>
    <n v="210000.00000000003"/>
    <n v="150000"/>
  </r>
  <r>
    <m/>
    <s v="SINHAI"/>
    <m/>
    <m/>
    <x v="14"/>
    <x v="2"/>
    <n v="1500000"/>
    <x v="0"/>
    <n v="20"/>
    <m/>
    <n v="300000"/>
    <n v="105000.00000000001"/>
    <n v="75000"/>
  </r>
  <r>
    <m/>
    <s v="XASHAMATLI SAROY"/>
    <m/>
    <m/>
    <x v="4"/>
    <x v="2"/>
    <n v="500000"/>
    <x v="2"/>
    <n v="20"/>
    <m/>
    <n v="100000"/>
    <n v="35000"/>
    <n v="25000"/>
  </r>
  <r>
    <m/>
    <s v="INTEGRATION"/>
    <m/>
    <m/>
    <x v="4"/>
    <x v="2"/>
    <n v="500000"/>
    <x v="2"/>
    <n v="20"/>
    <m/>
    <n v="100000"/>
    <n v="35000"/>
    <n v="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81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31" firstHeaderRow="1" firstDataRow="1" firstDataCol="1"/>
  <pivotFields count="13">
    <pivotField showAll="0"/>
    <pivotField showAll="0"/>
    <pivotField showAll="0"/>
    <pivotField showAll="0"/>
    <pivotField axis="axisRow" showAll="0">
      <items count="57">
        <item x="2"/>
        <item m="1" x="50"/>
        <item x="19"/>
        <item m="1" x="38"/>
        <item m="1" x="48"/>
        <item m="1" x="35"/>
        <item m="1" x="30"/>
        <item m="1" x="43"/>
        <item x="3"/>
        <item m="1" x="55"/>
        <item m="1" x="37"/>
        <item m="1" x="28"/>
        <item m="1" x="32"/>
        <item x="5"/>
        <item x="7"/>
        <item x="6"/>
        <item m="1" x="44"/>
        <item m="1" x="39"/>
        <item m="1" x="40"/>
        <item x="23"/>
        <item m="1" x="41"/>
        <item m="1" x="29"/>
        <item x="12"/>
        <item x="13"/>
        <item m="1" x="27"/>
        <item m="1" x="54"/>
        <item x="9"/>
        <item m="1" x="49"/>
        <item m="1" x="33"/>
        <item x="10"/>
        <item m="1" x="51"/>
        <item x="20"/>
        <item x="22"/>
        <item m="1" x="46"/>
        <item x="16"/>
        <item x="18"/>
        <item x="8"/>
        <item x="1"/>
        <item x="21"/>
        <item x="14"/>
        <item m="1" x="53"/>
        <item m="1" x="42"/>
        <item x="24"/>
        <item m="1" x="52"/>
        <item m="1" x="45"/>
        <item x="26"/>
        <item m="1" x="34"/>
        <item m="1" x="47"/>
        <item m="1" x="31"/>
        <item m="1" x="36"/>
        <item x="25"/>
        <item x="17"/>
        <item x="0"/>
        <item x="11"/>
        <item x="4"/>
        <item x="15"/>
        <item t="default"/>
      </items>
    </pivotField>
    <pivotField showAll="0" defaultSubtotal="0"/>
    <pivotField showAll="0"/>
    <pivotField showAll="0" defaultSubtotal="0"/>
    <pivotField showAll="0"/>
    <pivotField showAll="0"/>
    <pivotField dataField="1" showAll="0"/>
    <pivotField showAll="0"/>
    <pivotField showAll="0" defaultSubtotal="0"/>
  </pivotFields>
  <rowFields count="1">
    <field x="4"/>
  </rowFields>
  <rowItems count="28">
    <i>
      <x/>
    </i>
    <i>
      <x v="2"/>
    </i>
    <i>
      <x v="8"/>
    </i>
    <i>
      <x v="13"/>
    </i>
    <i>
      <x v="14"/>
    </i>
    <i>
      <x v="15"/>
    </i>
    <i>
      <x v="19"/>
    </i>
    <i>
      <x v="22"/>
    </i>
    <i>
      <x v="23"/>
    </i>
    <i>
      <x v="26"/>
    </i>
    <i>
      <x v="29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2"/>
    </i>
    <i>
      <x v="45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Сумма по полю % бухгалтер" fld="10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Таблица2" cacheId="81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9" firstHeaderRow="1" firstDataRow="1" firstDataCol="1"/>
  <pivotFields count="13">
    <pivotField showAll="0"/>
    <pivotField showAll="0"/>
    <pivotField showAll="0"/>
    <pivotField showAll="0"/>
    <pivotField showAll="0"/>
    <pivotField axis="axisRow" showAll="0" defaultSubtotal="0">
      <items count="13">
        <item x="0"/>
        <item m="1" x="8"/>
        <item m="1" x="6"/>
        <item m="1" x="12"/>
        <item m="1" x="9"/>
        <item m="1" x="11"/>
        <item x="2"/>
        <item m="1" x="5"/>
        <item m="1" x="10"/>
        <item x="3"/>
        <item m="1" x="7"/>
        <item x="1"/>
        <item x="4"/>
      </items>
    </pivotField>
    <pivotField showAll="0"/>
    <pivotField showAll="0" defaultSubtotal="0"/>
    <pivotField showAll="0"/>
    <pivotField dataField="1" showAll="0"/>
    <pivotField showAll="0"/>
    <pivotField showAll="0"/>
    <pivotField showAll="0" defaultSubtotal="0"/>
  </pivotFields>
  <rowFields count="1">
    <field x="5"/>
  </rowFields>
  <rowItems count="6">
    <i>
      <x/>
    </i>
    <i>
      <x v="6"/>
    </i>
    <i>
      <x v="9"/>
    </i>
    <i>
      <x v="11"/>
    </i>
    <i>
      <x v="12"/>
    </i>
    <i t="grand">
      <x/>
    </i>
  </rowItems>
  <colItems count="1">
    <i/>
  </colItems>
  <dataFields count="1">
    <dataField name="Сумма по полю % банк клиент" fld="9" baseField="5" baseItem="0"/>
  </dataFields>
  <formats count="1">
    <format dxfId="72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СводнаяТаблица4" cacheId="81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2">
        <item m="1" x="10"/>
        <item x="1"/>
        <item m="1" x="6"/>
        <item m="1" x="5"/>
        <item x="3"/>
        <item m="1" x="7"/>
        <item m="1" x="11"/>
        <item m="1" x="8"/>
        <item x="0"/>
        <item m="1" x="9"/>
        <item x="2"/>
        <item x="4"/>
      </items>
    </pivotField>
    <pivotField showAll="0"/>
    <pivotField showAll="0"/>
    <pivotField showAll="0"/>
    <pivotField showAll="0"/>
    <pivotField dataField="1" showAll="0" defaultSubtotal="0"/>
  </pivotFields>
  <rowFields count="1">
    <field x="7"/>
  </rowFields>
  <rowItems count="6">
    <i>
      <x v="1"/>
    </i>
    <i>
      <x v="4"/>
    </i>
    <i>
      <x v="8"/>
    </i>
    <i>
      <x v="10"/>
    </i>
    <i>
      <x v="11"/>
    </i>
    <i t="grand">
      <x/>
    </i>
  </rowItems>
  <colItems count="1">
    <i/>
  </colItems>
  <dataFields count="1">
    <dataField name="Сумма по полю Назоратчи  %" fld="12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Таблица3" displayName="Таблица3" ref="A2:M279" totalsRowShown="0" headerRowDxfId="71" dataDxfId="69" headerRowBorderDxfId="70" tableBorderDxfId="68">
  <autoFilter ref="A2:M279"/>
  <sortState ref="A33:N178">
    <sortCondition sortBy="cellColor" ref="E2:E190" dxfId="67"/>
  </sortState>
  <tableColumns count="13">
    <tableColumn id="1" name="№" dataDxfId="66"/>
    <tableColumn id="2" name="НАИМЕНОВАНИЯ" dataDxfId="65"/>
    <tableColumn id="3" name="ИНН" dataDxfId="64"/>
    <tableColumn id="4" name="НДС" dataDxfId="63"/>
    <tableColumn id="5" name="Бухгалтер" dataDxfId="62"/>
    <tableColumn id="6" name="bank klient" dataDxfId="61"/>
    <tableColumn id="7" name="Столбец7" dataDxfId="60"/>
    <tableColumn id="9" name="Назоратчи" dataDxfId="59"/>
    <tableColumn id="10" name="Столбец10" dataDxfId="58"/>
    <tableColumn id="11" name="% банк клиент" dataDxfId="57"/>
    <tableColumn id="12" name="% бухгалтер" dataDxfId="56"/>
    <tableColumn id="13" name="Ёркиной" dataDxfId="55"/>
    <tableColumn id="14" name="Назоратчи  %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Таблица32" displayName="Таблица32" ref="A2:AH269" totalsRowShown="0" headerRowDxfId="53" dataDxfId="51" headerRowBorderDxfId="52" tableBorderDxfId="50">
  <autoFilter ref="A2:AH269"/>
  <tableColumns count="34">
    <tableColumn id="1" name="№" dataDxfId="49"/>
    <tableColumn id="2" name="НАИМЕНОВАНИЯ" dataDxfId="48"/>
    <tableColumn id="5" name="Бухгалтер" dataDxfId="47"/>
    <tableColumn id="6" name="bank klient" dataDxfId="46"/>
    <tableColumn id="7" name="Столбец7" dataDxfId="45"/>
    <tableColumn id="9" name="Назоратчи" dataDxfId="44"/>
    <tableColumn id="10" name="Ishga vaqtida kelish ketish" dataDxfId="43"/>
    <tableColumn id="4" name="Ishga kelish bank klient" dataDxfId="42"/>
    <tableColumn id="8" name="Ishga kelish nazoratchi2" dataDxfId="41"/>
    <tableColumn id="3" name="Gruppa buxgalter" dataDxfId="40"/>
    <tableColumn id="11" name="Gruppa bank klient " dataDxfId="39"/>
    <tableColumn id="12" name="Didox" dataDxfId="38"/>
    <tableColumn id="29" name="xatlar" dataDxfId="37" dataCellStyle="Финансовый"/>
    <tableColumn id="28" name=" мехнат" dataDxfId="36" dataCellStyle="Финансовый"/>
    <tableColumn id="33" name="1c" dataDxfId="35" dataCellStyle="Финансовый"/>
    <tableColumn id="13" name="Avtokameral" dataDxfId="34"/>
    <tableColumn id="34" name="Pul oqimlari" dataDxfId="33" dataCellStyle="Финансовый"/>
    <tableColumn id="32" name="Chiqadigan soliqlar" dataDxfId="32" dataCellStyle="Финансовый"/>
    <tableColumn id="31" name="Hisoblangan oylik" dataDxfId="31" dataCellStyle="Финансовый"/>
    <tableColumn id="30" name="Debitor kreditor" dataDxfId="30" dataCellStyle="Финансовый"/>
    <tableColumn id="14" name="Foyda va zarar" dataDxfId="29"/>
    <tableColumn id="25" name="Nazoratchi" dataDxfId="28"/>
    <tableColumn id="27" name="Ishga vaqtida kelish nazoratchi" dataDxfId="27">
      <calculatedColumnFormula>Таблица32[[#This Row],[Столбец7]]*Таблица32[[#This Row],[Ishga kelish nazoratchi2]]%</calculatedColumnFormula>
    </tableColumn>
    <tableColumn id="18" name="Ishga vaqtida kelish ketish2" dataDxfId="26">
      <calculatedColumnFormula>Таблица32[[#This Row],[Столбец7]]*Таблица32[[#This Row],[Ishga vaqtida kelish ketish]]%</calculatedColumnFormula>
    </tableColumn>
    <tableColumn id="17" name="Ishga kelish bank klient3" dataDxfId="25">
      <calculatedColumnFormula>Таблица32[[#This Row],[Столбец7]]*Таблица32[[#This Row],[Ishga kelish bank klient]]%</calculatedColumnFormula>
    </tableColumn>
    <tableColumn id="15" name="Gruppa buxgalter4" dataDxfId="24">
      <calculatedColumnFormula>Таблица32[[#This Row],[Столбец7]]*Таблица32[[#This Row],[Gruppa buxgalter]]%</calculatedColumnFormula>
    </tableColumn>
    <tableColumn id="21" name="Gruppa bank klient 2" dataDxfId="23">
      <calculatedColumnFormula>Таблица32[[#This Row],[Столбец7]]*Таблица32[[#This Row],[Gruppa bank klient ]]%</calculatedColumnFormula>
    </tableColumn>
    <tableColumn id="20" name="1C baza3" dataDxfId="22">
      <calculatedColumnFormula>Таблица32[[#This Row],[1c]]*Таблица32[[#This Row],[Столбец7]]/100</calculatedColumnFormula>
    </tableColumn>
    <tableColumn id="19" name="xatlar4" dataDxfId="21">
      <calculatedColumnFormula>SUM(Таблица32[[#This Row],[Didox]:[ мехнат]],Таблица32[[#This Row],[Avtokameral]])*Таблица32[[#This Row],[Столбец7]]/100</calculatedColumnFormula>
    </tableColumn>
    <tableColumn id="22" name="Belgilangan otchetlar5" dataDxfId="20">
      <calculatedColumnFormula>SUM(Таблица32[[#This Row],[Pul oqimlari]:[Foyda va zarar]])*Таблица32[[#This Row],[Столбец7]]/100</calculatedColumnFormula>
    </tableColumn>
    <tableColumn id="24" name="Nazoratchi2" dataDxfId="19">
      <calculatedColumnFormula>Таблица32[[#This Row],[Столбец7]]*Таблица32[[#This Row],[Nazoratchi]]%</calculatedColumnFormula>
    </tableColumn>
    <tableColumn id="26" name="NazoratchiKPI" dataDxfId="18">
      <calculatedColumnFormula>Таблица32[[#This Row],[Ishga vaqtida kelish nazoratchi]]+Таблица32[[#This Row],[Nazoratchi2]]</calculatedColumnFormula>
    </tableColumn>
    <tableColumn id="23" name="Buxgalter KPI" dataDxfId="17">
      <calculatedColumnFormula>Таблица32[[#This Row],[Ishga vaqtida kelish ketish2]]+Таблица32[[#This Row],[Gruppa buxgalter4]]+Таблица32[[#This Row],[1C baza3]]+Таблица32[[#This Row],[xatlar4]]+Таблица32[[#This Row],[Belgilangan otchetlar5]]</calculatedColumnFormula>
    </tableColumn>
    <tableColumn id="16" name="Bank klient KPI" dataDxfId="16">
      <calculatedColumnFormula>Таблица32[[#This Row],[Ishga kelish bank klient3]]+Таблица32[[#This Row],[Gruppa bank klient 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0"/>
  <sheetViews>
    <sheetView workbookViewId="0">
      <selection activeCell="B3" sqref="B3"/>
    </sheetView>
  </sheetViews>
  <sheetFormatPr defaultRowHeight="15" x14ac:dyDescent="0.25"/>
  <cols>
    <col min="1" max="1" width="45.140625" customWidth="1"/>
    <col min="2" max="2" width="24.5703125" customWidth="1"/>
    <col min="3" max="3" width="19" customWidth="1"/>
    <col min="4" max="4" width="42.42578125" customWidth="1"/>
    <col min="5" max="5" width="22.28515625" customWidth="1"/>
  </cols>
  <sheetData>
    <row r="1" spans="1:5" ht="56.25" customHeight="1" x14ac:dyDescent="0.25">
      <c r="A1" s="270" t="s">
        <v>90</v>
      </c>
      <c r="B1" s="270"/>
      <c r="C1" s="270"/>
      <c r="D1" s="270"/>
      <c r="E1" s="270"/>
    </row>
    <row r="2" spans="1:5" ht="18.75" x14ac:dyDescent="0.25">
      <c r="A2" s="24" t="s">
        <v>84</v>
      </c>
      <c r="B2" s="24" t="s">
        <v>80</v>
      </c>
      <c r="C2" s="24" t="s">
        <v>81</v>
      </c>
      <c r="D2" s="24" t="s">
        <v>82</v>
      </c>
      <c r="E2" s="24" t="s">
        <v>83</v>
      </c>
    </row>
    <row r="3" spans="1:5" ht="37.5" x14ac:dyDescent="0.25">
      <c r="A3" s="25" t="s">
        <v>57</v>
      </c>
      <c r="B3" s="27" t="s">
        <v>56</v>
      </c>
      <c r="C3" s="25"/>
      <c r="D3" s="25"/>
      <c r="E3" s="1"/>
    </row>
    <row r="4" spans="1:5" ht="37.5" x14ac:dyDescent="0.25">
      <c r="A4" s="25" t="s">
        <v>59</v>
      </c>
      <c r="B4" s="27" t="s">
        <v>58</v>
      </c>
      <c r="C4" s="25"/>
      <c r="D4" s="25"/>
      <c r="E4" s="1"/>
    </row>
    <row r="5" spans="1:5" ht="37.5" x14ac:dyDescent="0.25">
      <c r="A5" s="26" t="s">
        <v>61</v>
      </c>
      <c r="B5" s="28" t="s">
        <v>60</v>
      </c>
      <c r="C5" s="26"/>
      <c r="D5" s="26"/>
      <c r="E5" s="1"/>
    </row>
    <row r="6" spans="1:5" ht="37.5" x14ac:dyDescent="0.25">
      <c r="A6" s="25" t="s">
        <v>62</v>
      </c>
      <c r="B6" s="28">
        <v>86830534</v>
      </c>
      <c r="C6" s="25"/>
      <c r="D6" s="25"/>
      <c r="E6" s="1"/>
    </row>
    <row r="7" spans="1:5" ht="18.75" x14ac:dyDescent="0.25">
      <c r="A7" s="25" t="s">
        <v>64</v>
      </c>
      <c r="B7" s="27" t="s">
        <v>63</v>
      </c>
      <c r="C7" s="25"/>
      <c r="D7" s="25"/>
      <c r="E7" s="1"/>
    </row>
    <row r="8" spans="1:5" ht="18.75" x14ac:dyDescent="0.25">
      <c r="A8" s="26" t="s">
        <v>66</v>
      </c>
      <c r="B8" s="28" t="s">
        <v>65</v>
      </c>
      <c r="C8" s="26"/>
      <c r="D8" s="26"/>
      <c r="E8" s="1"/>
    </row>
    <row r="9" spans="1:5" ht="18.75" x14ac:dyDescent="0.25">
      <c r="A9" s="25" t="s">
        <v>67</v>
      </c>
      <c r="B9" s="28">
        <v>51202266</v>
      </c>
      <c r="C9" s="25"/>
      <c r="D9" s="25"/>
      <c r="E9" s="1"/>
    </row>
    <row r="10" spans="1:5" ht="18.75" x14ac:dyDescent="0.25">
      <c r="A10" s="25" t="s">
        <v>69</v>
      </c>
      <c r="B10" s="27" t="s">
        <v>68</v>
      </c>
      <c r="C10" s="25"/>
      <c r="D10" s="25"/>
      <c r="E10" s="1"/>
    </row>
    <row r="11" spans="1:5" ht="18.75" x14ac:dyDescent="0.25">
      <c r="A11" s="26" t="s">
        <v>71</v>
      </c>
      <c r="B11" s="28" t="s">
        <v>70</v>
      </c>
      <c r="C11" s="26"/>
      <c r="D11" s="26"/>
      <c r="E11" s="1"/>
    </row>
    <row r="12" spans="1:5" ht="18.75" x14ac:dyDescent="0.25">
      <c r="A12" s="25" t="s">
        <v>73</v>
      </c>
      <c r="B12" s="27" t="s">
        <v>72</v>
      </c>
      <c r="C12" s="25"/>
      <c r="D12" s="25"/>
      <c r="E12" s="1"/>
    </row>
    <row r="13" spans="1:5" ht="37.5" x14ac:dyDescent="0.25">
      <c r="A13" s="26" t="s">
        <v>75</v>
      </c>
      <c r="B13" s="28" t="s">
        <v>74</v>
      </c>
      <c r="C13" s="26"/>
      <c r="D13" s="26"/>
      <c r="E13" s="1"/>
    </row>
    <row r="14" spans="1:5" ht="37.5" x14ac:dyDescent="0.25">
      <c r="A14" s="25" t="s">
        <v>77</v>
      </c>
      <c r="B14" s="27" t="s">
        <v>76</v>
      </c>
      <c r="C14" s="25"/>
      <c r="D14" s="25"/>
      <c r="E14" s="1"/>
    </row>
    <row r="15" spans="1:5" ht="37.5" x14ac:dyDescent="0.25">
      <c r="A15" s="26" t="s">
        <v>79</v>
      </c>
      <c r="B15" s="28" t="s">
        <v>78</v>
      </c>
      <c r="C15" s="26"/>
      <c r="D15" s="26"/>
      <c r="E15" s="1"/>
    </row>
    <row r="16" spans="1:5" ht="18.75" x14ac:dyDescent="0.25">
      <c r="A16" s="29" t="s">
        <v>85</v>
      </c>
      <c r="B16" s="30">
        <v>436833879</v>
      </c>
      <c r="C16" s="29"/>
      <c r="D16" s="29"/>
      <c r="E16" s="29"/>
    </row>
    <row r="18" spans="1:2" ht="18.75" x14ac:dyDescent="0.25">
      <c r="A18" s="31" t="s">
        <v>86</v>
      </c>
      <c r="B18" s="32" t="s">
        <v>87</v>
      </c>
    </row>
    <row r="19" spans="1:2" x14ac:dyDescent="0.25">
      <c r="A19" s="33"/>
      <c r="B19" s="33"/>
    </row>
    <row r="20" spans="1:2" ht="18.75" x14ac:dyDescent="0.25">
      <c r="A20" s="31" t="s">
        <v>88</v>
      </c>
      <c r="B20" s="32" t="s">
        <v>89</v>
      </c>
    </row>
  </sheetData>
  <mergeCells count="1">
    <mergeCell ref="A1:E1"/>
  </mergeCells>
  <pageMargins left="0.25" right="0.25" top="0.75" bottom="0.75" header="0.3" footer="0.3"/>
  <pageSetup paperSize="9" scale="9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C22" sqref="C22:D22"/>
    </sheetView>
  </sheetViews>
  <sheetFormatPr defaultColWidth="9.140625" defaultRowHeight="15.75" x14ac:dyDescent="0.25"/>
  <cols>
    <col min="1" max="1" width="4.5703125" style="6" customWidth="1"/>
    <col min="2" max="2" width="57.42578125" style="6" customWidth="1"/>
    <col min="3" max="3" width="11.28515625" style="6" customWidth="1"/>
    <col min="4" max="4" width="9.140625" style="6"/>
    <col min="5" max="5" width="13.140625" style="6" customWidth="1"/>
    <col min="6" max="6" width="9.5703125" style="6" customWidth="1"/>
    <col min="7" max="7" width="12.140625" style="6" customWidth="1"/>
    <col min="8" max="8" width="12.42578125" style="6" customWidth="1"/>
    <col min="9" max="9" width="12" style="6" customWidth="1"/>
    <col min="10" max="10" width="10.140625" style="6" customWidth="1"/>
    <col min="11" max="11" width="12.7109375" style="6" customWidth="1"/>
    <col min="12" max="16384" width="9.140625" style="6"/>
  </cols>
  <sheetData>
    <row r="1" spans="1:12" x14ac:dyDescent="0.25">
      <c r="A1" s="11" t="s">
        <v>43</v>
      </c>
      <c r="B1" s="7" t="s">
        <v>36</v>
      </c>
      <c r="C1" s="11" t="s">
        <v>15</v>
      </c>
      <c r="D1" s="11" t="s">
        <v>0</v>
      </c>
      <c r="E1" s="11" t="s">
        <v>20</v>
      </c>
      <c r="F1" s="11" t="s">
        <v>1</v>
      </c>
      <c r="G1" s="11" t="s">
        <v>22</v>
      </c>
      <c r="H1" s="11" t="s">
        <v>14</v>
      </c>
      <c r="I1" s="11" t="s">
        <v>23</v>
      </c>
      <c r="J1" s="11" t="s">
        <v>21</v>
      </c>
      <c r="K1" s="11"/>
    </row>
    <row r="2" spans="1:12" x14ac:dyDescent="0.25">
      <c r="A2" s="11">
        <v>1</v>
      </c>
      <c r="B2" s="9" t="s">
        <v>29</v>
      </c>
      <c r="C2" s="15"/>
      <c r="D2" s="15"/>
      <c r="E2" s="12"/>
      <c r="F2" s="12"/>
      <c r="G2" s="15"/>
      <c r="H2" s="12"/>
      <c r="I2" s="11"/>
      <c r="J2" s="11"/>
      <c r="K2" s="9">
        <v>36275148</v>
      </c>
    </row>
    <row r="3" spans="1:12" x14ac:dyDescent="0.25">
      <c r="A3" s="11">
        <v>2</v>
      </c>
      <c r="B3" s="9" t="s">
        <v>41</v>
      </c>
      <c r="C3" s="15"/>
      <c r="D3" s="15"/>
      <c r="E3" s="12"/>
      <c r="F3" s="12"/>
      <c r="G3" s="15"/>
      <c r="H3" s="12"/>
      <c r="I3" s="11"/>
      <c r="J3" s="11"/>
      <c r="K3" s="9">
        <v>13540974</v>
      </c>
      <c r="L3" s="23" t="s">
        <v>55</v>
      </c>
    </row>
    <row r="4" spans="1:12" x14ac:dyDescent="0.25">
      <c r="A4" s="11">
        <v>3</v>
      </c>
      <c r="B4" s="9" t="s">
        <v>40</v>
      </c>
      <c r="C4" s="12" t="s">
        <v>45</v>
      </c>
      <c r="D4" s="15"/>
      <c r="E4" s="12"/>
      <c r="F4" s="12"/>
      <c r="G4" s="15"/>
      <c r="H4" s="12"/>
      <c r="I4" s="11"/>
      <c r="J4" s="11"/>
      <c r="K4" s="9">
        <v>33979629</v>
      </c>
      <c r="L4" s="23" t="s">
        <v>55</v>
      </c>
    </row>
    <row r="5" spans="1:12" x14ac:dyDescent="0.25">
      <c r="A5" s="11">
        <v>4</v>
      </c>
      <c r="B5" s="9" t="s">
        <v>27</v>
      </c>
      <c r="C5" s="15"/>
      <c r="D5" s="15"/>
      <c r="E5" s="12"/>
      <c r="F5" s="12"/>
      <c r="G5" s="15"/>
      <c r="H5" s="12"/>
      <c r="I5" s="11"/>
      <c r="J5" s="11"/>
      <c r="K5" s="9">
        <v>72641824</v>
      </c>
      <c r="L5" s="23" t="s">
        <v>55</v>
      </c>
    </row>
    <row r="6" spans="1:12" x14ac:dyDescent="0.25">
      <c r="A6" s="11">
        <v>5</v>
      </c>
      <c r="B6" s="9" t="s">
        <v>42</v>
      </c>
      <c r="C6" s="15"/>
      <c r="D6" s="15"/>
      <c r="E6" s="12"/>
      <c r="F6" s="12"/>
      <c r="G6" s="15"/>
      <c r="H6" s="12"/>
      <c r="I6" s="11"/>
      <c r="J6" s="11"/>
      <c r="K6" s="9">
        <v>84564973</v>
      </c>
      <c r="L6" s="23" t="s">
        <v>55</v>
      </c>
    </row>
    <row r="7" spans="1:12" x14ac:dyDescent="0.25">
      <c r="A7" s="11">
        <v>6</v>
      </c>
      <c r="B7" s="9" t="s">
        <v>25</v>
      </c>
      <c r="C7" s="15"/>
      <c r="D7" s="15"/>
      <c r="E7" s="12"/>
      <c r="F7" s="12"/>
      <c r="G7" s="15"/>
      <c r="H7" s="12"/>
      <c r="I7" s="11"/>
      <c r="J7" s="11"/>
      <c r="K7" s="9">
        <v>45313285</v>
      </c>
    </row>
    <row r="8" spans="1:12" x14ac:dyDescent="0.25">
      <c r="A8" s="11">
        <v>7</v>
      </c>
      <c r="B8" s="9" t="s">
        <v>28</v>
      </c>
      <c r="C8" s="15"/>
      <c r="D8" s="15"/>
      <c r="E8" s="12"/>
      <c r="F8" s="12"/>
      <c r="G8" s="15"/>
      <c r="H8" s="12"/>
      <c r="I8" s="11"/>
      <c r="J8" s="11"/>
      <c r="K8" s="9">
        <v>88700206</v>
      </c>
    </row>
    <row r="9" spans="1:12" x14ac:dyDescent="0.25">
      <c r="A9" s="11">
        <v>8</v>
      </c>
      <c r="B9" s="9" t="s">
        <v>26</v>
      </c>
      <c r="C9" s="15"/>
      <c r="D9" s="15"/>
      <c r="E9" s="12"/>
      <c r="F9" s="12"/>
      <c r="G9" s="15"/>
      <c r="H9" s="12"/>
      <c r="I9" s="11"/>
      <c r="J9" s="11"/>
      <c r="K9" s="9">
        <v>86722119</v>
      </c>
    </row>
    <row r="10" spans="1:12" x14ac:dyDescent="0.25">
      <c r="A10" s="11">
        <v>9</v>
      </c>
      <c r="B10" s="9" t="s">
        <v>30</v>
      </c>
      <c r="C10" s="15"/>
      <c r="D10" s="15"/>
      <c r="E10" s="12"/>
      <c r="F10" s="12"/>
      <c r="G10" s="15"/>
      <c r="H10" s="12"/>
      <c r="I10" s="11"/>
      <c r="J10" s="11"/>
      <c r="K10" s="9">
        <v>35324962</v>
      </c>
    </row>
    <row r="11" spans="1:12" ht="17.25" customHeight="1" x14ac:dyDescent="0.25">
      <c r="A11" s="11">
        <v>10</v>
      </c>
      <c r="B11" s="10" t="s">
        <v>31</v>
      </c>
      <c r="C11" s="15"/>
      <c r="D11" s="15"/>
      <c r="E11" s="12"/>
      <c r="F11" s="12"/>
      <c r="G11" s="15"/>
      <c r="H11" s="12"/>
      <c r="I11" s="11"/>
      <c r="J11" s="11"/>
      <c r="K11" s="9">
        <v>100186</v>
      </c>
      <c r="L11" s="23" t="s">
        <v>55</v>
      </c>
    </row>
    <row r="12" spans="1:12" x14ac:dyDescent="0.25">
      <c r="A12" s="11">
        <v>11</v>
      </c>
      <c r="B12" s="9" t="s">
        <v>32</v>
      </c>
      <c r="C12" s="15"/>
      <c r="D12" s="15"/>
      <c r="E12" s="12"/>
      <c r="F12" s="12"/>
      <c r="G12" s="15"/>
      <c r="H12" s="12"/>
      <c r="I12" s="11"/>
      <c r="J12" s="11"/>
      <c r="K12" s="9">
        <v>50995539</v>
      </c>
    </row>
    <row r="13" spans="1:12" x14ac:dyDescent="0.25">
      <c r="A13" s="11">
        <v>12</v>
      </c>
      <c r="B13" s="9" t="s">
        <v>37</v>
      </c>
      <c r="C13" s="12" t="s">
        <v>47</v>
      </c>
      <c r="D13" s="15"/>
      <c r="E13" s="12"/>
      <c r="F13" s="12"/>
      <c r="G13" s="15"/>
      <c r="H13" s="12"/>
      <c r="I13" s="11"/>
      <c r="J13" s="11"/>
      <c r="K13" s="9">
        <v>100186</v>
      </c>
    </row>
    <row r="14" spans="1:12" x14ac:dyDescent="0.25">
      <c r="A14" s="11">
        <v>13</v>
      </c>
      <c r="B14" s="9" t="s">
        <v>38</v>
      </c>
      <c r="C14" s="15"/>
      <c r="D14" s="15"/>
      <c r="E14" s="12"/>
      <c r="F14" s="12"/>
      <c r="G14" s="15"/>
      <c r="H14" s="12"/>
      <c r="I14" s="11"/>
      <c r="J14" s="11"/>
      <c r="K14" s="9">
        <v>100186</v>
      </c>
    </row>
    <row r="15" spans="1:12" x14ac:dyDescent="0.25">
      <c r="A15" s="11">
        <v>14</v>
      </c>
      <c r="B15" s="9" t="s">
        <v>39</v>
      </c>
      <c r="C15" s="15"/>
      <c r="D15" s="15"/>
      <c r="E15" s="12"/>
      <c r="F15" s="12"/>
      <c r="G15" s="15"/>
      <c r="H15" s="12"/>
      <c r="I15" s="11"/>
      <c r="J15" s="11"/>
      <c r="K15" s="9">
        <v>100186</v>
      </c>
    </row>
    <row r="16" spans="1:12" x14ac:dyDescent="0.25">
      <c r="A16" s="11">
        <v>15</v>
      </c>
      <c r="B16" s="9" t="s">
        <v>51</v>
      </c>
      <c r="C16" s="12" t="s">
        <v>45</v>
      </c>
      <c r="D16" s="15"/>
      <c r="E16" s="12"/>
      <c r="F16" s="12"/>
      <c r="G16" s="15"/>
      <c r="H16" s="12"/>
      <c r="I16" s="11"/>
      <c r="J16" s="11"/>
      <c r="K16" s="9">
        <v>34406143</v>
      </c>
    </row>
    <row r="17" spans="1:11" x14ac:dyDescent="0.25">
      <c r="A17" s="11">
        <v>16</v>
      </c>
      <c r="B17" s="9" t="s">
        <v>34</v>
      </c>
      <c r="C17" s="15"/>
      <c r="D17" s="15"/>
      <c r="E17" s="12"/>
      <c r="F17" s="12"/>
      <c r="G17" s="15"/>
      <c r="H17" s="12"/>
      <c r="I17" s="11"/>
      <c r="J17" s="11"/>
      <c r="K17" s="9">
        <v>23956654</v>
      </c>
    </row>
    <row r="18" spans="1:11" x14ac:dyDescent="0.25">
      <c r="A18" s="11">
        <v>17</v>
      </c>
      <c r="B18" s="9" t="s">
        <v>35</v>
      </c>
      <c r="C18" s="12" t="s">
        <v>45</v>
      </c>
      <c r="D18" s="15"/>
      <c r="E18" s="12"/>
      <c r="F18" s="12"/>
      <c r="G18" s="15"/>
      <c r="H18" s="12"/>
      <c r="I18" s="11"/>
      <c r="J18" s="11"/>
      <c r="K18" s="9">
        <v>100186</v>
      </c>
    </row>
    <row r="19" spans="1:11" x14ac:dyDescent="0.25">
      <c r="A19" s="11">
        <v>18</v>
      </c>
      <c r="B19" s="9" t="s">
        <v>24</v>
      </c>
      <c r="C19" s="12" t="s">
        <v>45</v>
      </c>
      <c r="D19" s="15"/>
      <c r="E19" s="12"/>
      <c r="F19" s="12"/>
      <c r="G19" s="15"/>
      <c r="H19" s="12"/>
      <c r="I19" s="11"/>
      <c r="J19" s="11"/>
      <c r="K19" s="9">
        <v>100186</v>
      </c>
    </row>
    <row r="20" spans="1:11" x14ac:dyDescent="0.25">
      <c r="A20" s="11">
        <v>19</v>
      </c>
      <c r="B20" s="9" t="s">
        <v>33</v>
      </c>
      <c r="C20" s="12" t="s">
        <v>45</v>
      </c>
      <c r="D20" s="15"/>
      <c r="E20" s="12"/>
      <c r="F20" s="12"/>
      <c r="G20" s="15"/>
      <c r="H20" s="12"/>
      <c r="I20" s="11"/>
      <c r="J20" s="11"/>
      <c r="K20" s="9">
        <v>100186</v>
      </c>
    </row>
    <row r="21" spans="1:11" x14ac:dyDescent="0.25">
      <c r="A21" s="11">
        <v>20</v>
      </c>
      <c r="B21" s="9" t="s">
        <v>91</v>
      </c>
      <c r="C21" s="12" t="s">
        <v>45</v>
      </c>
      <c r="D21" s="22"/>
      <c r="E21" s="13"/>
      <c r="F21" s="13"/>
      <c r="G21" s="22"/>
      <c r="H21" s="13"/>
      <c r="I21" s="8"/>
      <c r="J21" s="8"/>
      <c r="K21" s="9">
        <v>100186</v>
      </c>
    </row>
    <row r="22" spans="1:11" x14ac:dyDescent="0.25">
      <c r="A22" s="11">
        <v>21</v>
      </c>
      <c r="B22" s="9" t="s">
        <v>52</v>
      </c>
      <c r="C22" s="271" t="s">
        <v>54</v>
      </c>
      <c r="D22" s="272"/>
      <c r="E22" s="13"/>
      <c r="F22" s="13"/>
      <c r="G22" s="22"/>
      <c r="H22" s="13"/>
      <c r="I22" s="13"/>
      <c r="J22" s="13"/>
      <c r="K22" s="9">
        <v>100186</v>
      </c>
    </row>
    <row r="23" spans="1:11" x14ac:dyDescent="0.25">
      <c r="A23" s="11">
        <v>22</v>
      </c>
      <c r="B23" s="9" t="s">
        <v>53</v>
      </c>
      <c r="C23" s="13"/>
      <c r="D23" s="22"/>
      <c r="E23" s="13"/>
      <c r="F23" s="13"/>
      <c r="G23" s="22"/>
      <c r="H23" s="13"/>
      <c r="I23" s="13"/>
      <c r="J23" s="13"/>
      <c r="K23" s="9">
        <v>100186</v>
      </c>
    </row>
  </sheetData>
  <mergeCells count="1">
    <mergeCell ref="C22:D22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95" zoomScaleNormal="95" workbookViewId="0">
      <selection activeCell="D10" sqref="D10"/>
    </sheetView>
  </sheetViews>
  <sheetFormatPr defaultColWidth="9.140625" defaultRowHeight="15.75" x14ac:dyDescent="0.25"/>
  <cols>
    <col min="1" max="1" width="4.5703125" style="40" customWidth="1"/>
    <col min="2" max="2" width="56.85546875" style="40" customWidth="1"/>
    <col min="3" max="3" width="9.140625" style="40"/>
    <col min="4" max="4" width="24" style="40" customWidth="1"/>
    <col min="5" max="5" width="12.42578125" style="40" customWidth="1"/>
    <col min="6" max="6" width="13.5703125" style="40" customWidth="1"/>
    <col min="7" max="7" width="12.85546875" style="40" customWidth="1"/>
    <col min="8" max="8" width="13.85546875" style="40" customWidth="1"/>
    <col min="9" max="9" width="12.140625" style="40" customWidth="1"/>
    <col min="10" max="10" width="11.140625" style="40" customWidth="1"/>
    <col min="11" max="11" width="10.85546875" style="40" customWidth="1"/>
    <col min="12" max="12" width="10.42578125" style="40" customWidth="1"/>
    <col min="13" max="16384" width="9.140625" style="40"/>
  </cols>
  <sheetData>
    <row r="1" spans="1:13" ht="63" x14ac:dyDescent="0.25">
      <c r="A1" s="38" t="s">
        <v>43</v>
      </c>
      <c r="B1" s="44" t="s">
        <v>36</v>
      </c>
      <c r="C1" s="38" t="s">
        <v>99</v>
      </c>
      <c r="D1" s="38" t="s">
        <v>92</v>
      </c>
      <c r="E1" s="38" t="s">
        <v>93</v>
      </c>
      <c r="F1" s="38" t="s">
        <v>94</v>
      </c>
      <c r="G1" s="38" t="s">
        <v>95</v>
      </c>
      <c r="H1" s="38" t="s">
        <v>100</v>
      </c>
      <c r="I1" s="38" t="s">
        <v>22</v>
      </c>
      <c r="J1" s="38" t="s">
        <v>14</v>
      </c>
      <c r="K1" s="38" t="s">
        <v>23</v>
      </c>
      <c r="L1" s="38"/>
    </row>
    <row r="2" spans="1:13" x14ac:dyDescent="0.25">
      <c r="A2" s="38">
        <v>1</v>
      </c>
      <c r="B2" s="42" t="s">
        <v>29</v>
      </c>
      <c r="C2" s="37"/>
      <c r="D2" s="38"/>
      <c r="E2" s="38"/>
      <c r="F2" s="38"/>
      <c r="G2" s="38"/>
      <c r="H2" s="38"/>
      <c r="I2" s="37"/>
      <c r="J2" s="38"/>
      <c r="K2" s="38"/>
      <c r="L2" s="42">
        <v>36275148</v>
      </c>
    </row>
    <row r="3" spans="1:13" x14ac:dyDescent="0.25">
      <c r="A3" s="38">
        <v>2</v>
      </c>
      <c r="B3" s="42" t="s">
        <v>41</v>
      </c>
      <c r="C3" s="37"/>
      <c r="D3" s="38"/>
      <c r="E3" s="38"/>
      <c r="F3" s="38"/>
      <c r="G3" s="38"/>
      <c r="H3" s="37"/>
      <c r="I3" s="37"/>
      <c r="J3" s="38"/>
      <c r="K3" s="38"/>
      <c r="L3" s="42">
        <v>13540974</v>
      </c>
      <c r="M3" s="40" t="s">
        <v>55</v>
      </c>
    </row>
    <row r="4" spans="1:13" x14ac:dyDescent="0.25">
      <c r="A4" s="38">
        <v>3</v>
      </c>
      <c r="B4" s="42" t="s">
        <v>40</v>
      </c>
      <c r="C4" s="37"/>
      <c r="D4" s="38"/>
      <c r="E4" s="38"/>
      <c r="F4" s="38"/>
      <c r="G4" s="38"/>
      <c r="H4" s="37"/>
      <c r="I4" s="38"/>
      <c r="J4" s="38"/>
      <c r="K4" s="38"/>
      <c r="L4" s="42">
        <v>33979629</v>
      </c>
      <c r="M4" s="40" t="s">
        <v>55</v>
      </c>
    </row>
    <row r="5" spans="1:13" x14ac:dyDescent="0.25">
      <c r="A5" s="38">
        <v>4</v>
      </c>
      <c r="B5" s="42" t="s">
        <v>27</v>
      </c>
      <c r="C5" s="37"/>
      <c r="D5" s="38"/>
      <c r="E5" s="38"/>
      <c r="F5" s="38"/>
      <c r="G5" s="38"/>
      <c r="H5" s="37"/>
      <c r="I5" s="37"/>
      <c r="J5" s="38"/>
      <c r="K5" s="38"/>
      <c r="L5" s="42">
        <v>72641824</v>
      </c>
      <c r="M5" s="40" t="s">
        <v>55</v>
      </c>
    </row>
    <row r="6" spans="1:13" x14ac:dyDescent="0.25">
      <c r="A6" s="38">
        <v>5</v>
      </c>
      <c r="B6" s="42" t="s">
        <v>42</v>
      </c>
      <c r="C6" s="37"/>
      <c r="D6" s="38"/>
      <c r="E6" s="38"/>
      <c r="F6" s="38"/>
      <c r="G6" s="38"/>
      <c r="H6" s="51"/>
      <c r="I6" s="37"/>
      <c r="J6" s="38"/>
      <c r="K6" s="38"/>
      <c r="L6" s="42">
        <v>84564973</v>
      </c>
      <c r="M6" s="40" t="s">
        <v>55</v>
      </c>
    </row>
    <row r="7" spans="1:13" x14ac:dyDescent="0.25">
      <c r="A7" s="38">
        <v>6</v>
      </c>
      <c r="B7" s="42" t="s">
        <v>25</v>
      </c>
      <c r="C7" s="37"/>
      <c r="D7" s="38"/>
      <c r="E7" s="38"/>
      <c r="F7" s="38"/>
      <c r="G7" s="38"/>
      <c r="H7" s="38"/>
      <c r="I7" s="37"/>
      <c r="J7" s="38"/>
      <c r="K7" s="38"/>
      <c r="L7" s="42">
        <v>45313285</v>
      </c>
    </row>
    <row r="8" spans="1:13" x14ac:dyDescent="0.25">
      <c r="A8" s="38">
        <v>7</v>
      </c>
      <c r="B8" s="42" t="s">
        <v>28</v>
      </c>
      <c r="C8" s="37"/>
      <c r="D8" s="38"/>
      <c r="E8" s="38"/>
      <c r="F8" s="38"/>
      <c r="G8" s="38"/>
      <c r="H8" s="38"/>
      <c r="I8" s="37"/>
      <c r="J8" s="38"/>
      <c r="K8" s="38"/>
      <c r="L8" s="42">
        <v>88700206</v>
      </c>
    </row>
    <row r="9" spans="1:13" ht="15" customHeight="1" x14ac:dyDescent="0.25">
      <c r="A9" s="38">
        <v>8</v>
      </c>
      <c r="B9" s="42" t="s">
        <v>26</v>
      </c>
      <c r="C9" s="37"/>
      <c r="D9" s="38"/>
      <c r="E9" s="38"/>
      <c r="F9" s="38"/>
      <c r="G9" s="38"/>
      <c r="H9" s="38"/>
      <c r="I9" s="37"/>
      <c r="J9" s="38"/>
      <c r="K9" s="38"/>
      <c r="L9" s="42">
        <v>86722119</v>
      </c>
    </row>
    <row r="10" spans="1:13" x14ac:dyDescent="0.25">
      <c r="A10" s="38">
        <v>9</v>
      </c>
      <c r="B10" s="42" t="s">
        <v>30</v>
      </c>
      <c r="C10" s="37"/>
      <c r="D10" s="38"/>
      <c r="E10" s="38"/>
      <c r="F10" s="38"/>
      <c r="G10" s="38"/>
      <c r="H10" s="38"/>
      <c r="I10" s="37"/>
      <c r="J10" s="38"/>
      <c r="K10" s="38"/>
      <c r="L10" s="42">
        <v>35324962</v>
      </c>
    </row>
    <row r="11" spans="1:13" x14ac:dyDescent="0.25">
      <c r="A11" s="38">
        <v>10</v>
      </c>
      <c r="B11" s="42" t="s">
        <v>31</v>
      </c>
      <c r="C11" s="37"/>
      <c r="D11" s="38"/>
      <c r="E11" s="38"/>
      <c r="F11" s="38"/>
      <c r="G11" s="38"/>
      <c r="H11" s="37"/>
      <c r="I11" s="37"/>
      <c r="J11" s="38"/>
      <c r="K11" s="38"/>
      <c r="L11" s="42">
        <v>100186</v>
      </c>
      <c r="M11" s="40" t="s">
        <v>55</v>
      </c>
    </row>
    <row r="12" spans="1:13" x14ac:dyDescent="0.25">
      <c r="A12" s="38">
        <v>11</v>
      </c>
      <c r="B12" s="42" t="s">
        <v>102</v>
      </c>
      <c r="C12" s="37"/>
      <c r="D12" s="38"/>
      <c r="E12" s="38"/>
      <c r="F12" s="38"/>
      <c r="G12" s="38"/>
      <c r="H12" s="38"/>
      <c r="I12" s="37"/>
      <c r="J12" s="38"/>
      <c r="K12" s="38"/>
      <c r="L12" s="42">
        <v>100186</v>
      </c>
    </row>
    <row r="13" spans="1:13" x14ac:dyDescent="0.25">
      <c r="A13" s="38">
        <v>12</v>
      </c>
      <c r="B13" s="42" t="s">
        <v>32</v>
      </c>
      <c r="C13" s="37"/>
      <c r="D13" s="38"/>
      <c r="E13" s="38"/>
      <c r="F13" s="38"/>
      <c r="G13" s="38"/>
      <c r="H13" s="38"/>
      <c r="I13" s="37"/>
      <c r="J13" s="38"/>
      <c r="K13" s="38"/>
      <c r="L13" s="42">
        <v>50995539</v>
      </c>
    </row>
    <row r="14" spans="1:13" ht="15" customHeight="1" x14ac:dyDescent="0.25">
      <c r="A14" s="38">
        <v>13</v>
      </c>
      <c r="B14" s="42" t="s">
        <v>37</v>
      </c>
      <c r="C14" s="37"/>
      <c r="D14" s="38"/>
      <c r="E14" s="38"/>
      <c r="F14" s="38"/>
      <c r="G14" s="38"/>
      <c r="H14" s="38"/>
      <c r="I14" s="37"/>
      <c r="J14" s="38"/>
      <c r="K14" s="38"/>
      <c r="L14" s="42">
        <v>100186</v>
      </c>
    </row>
    <row r="15" spans="1:13" x14ac:dyDescent="0.25">
      <c r="A15" s="38">
        <v>14</v>
      </c>
      <c r="B15" s="42" t="s">
        <v>38</v>
      </c>
      <c r="C15" s="37"/>
      <c r="D15" s="38"/>
      <c r="E15" s="38"/>
      <c r="F15" s="38"/>
      <c r="G15" s="38"/>
      <c r="H15" s="38"/>
      <c r="I15" s="37"/>
      <c r="J15" s="38"/>
      <c r="K15" s="38"/>
      <c r="L15" s="42">
        <v>100186</v>
      </c>
    </row>
    <row r="16" spans="1:13" x14ac:dyDescent="0.25">
      <c r="A16" s="38">
        <v>15</v>
      </c>
      <c r="B16" s="42" t="s">
        <v>39</v>
      </c>
      <c r="C16" s="37"/>
      <c r="D16" s="38"/>
      <c r="E16" s="38"/>
      <c r="F16" s="38"/>
      <c r="G16" s="38"/>
      <c r="H16" s="38"/>
      <c r="I16" s="37"/>
      <c r="J16" s="38"/>
      <c r="K16" s="38"/>
      <c r="L16" s="42">
        <v>100186</v>
      </c>
    </row>
    <row r="17" spans="1:12" x14ac:dyDescent="0.25">
      <c r="A17" s="38">
        <v>16</v>
      </c>
      <c r="B17" s="42" t="s">
        <v>51</v>
      </c>
      <c r="C17" s="37"/>
      <c r="D17" s="38"/>
      <c r="E17" s="38"/>
      <c r="F17" s="38"/>
      <c r="G17" s="38"/>
      <c r="H17" s="38"/>
      <c r="I17" s="37"/>
      <c r="J17" s="38"/>
      <c r="K17" s="38"/>
      <c r="L17" s="42">
        <v>34406143</v>
      </c>
    </row>
    <row r="18" spans="1:12" x14ac:dyDescent="0.25">
      <c r="A18" s="38">
        <v>17</v>
      </c>
      <c r="B18" s="42" t="s">
        <v>34</v>
      </c>
      <c r="C18" s="37"/>
      <c r="D18" s="38" t="s">
        <v>96</v>
      </c>
      <c r="E18" s="38"/>
      <c r="F18" s="38" t="s">
        <v>96</v>
      </c>
      <c r="G18" s="38" t="s">
        <v>96</v>
      </c>
      <c r="H18" s="38"/>
      <c r="I18" s="37"/>
      <c r="J18" s="38"/>
      <c r="K18" s="38"/>
      <c r="L18" s="42">
        <v>23956654</v>
      </c>
    </row>
    <row r="19" spans="1:12" x14ac:dyDescent="0.25">
      <c r="A19" s="38">
        <v>18</v>
      </c>
      <c r="B19" s="42" t="s">
        <v>52</v>
      </c>
      <c r="C19" s="49"/>
      <c r="D19" s="43"/>
      <c r="E19" s="43"/>
      <c r="F19" s="43"/>
      <c r="G19" s="43"/>
      <c r="H19" s="39"/>
      <c r="I19" s="39"/>
      <c r="J19" s="39"/>
      <c r="K19" s="39"/>
      <c r="L19" s="42">
        <v>100186</v>
      </c>
    </row>
    <row r="20" spans="1:12" x14ac:dyDescent="0.25">
      <c r="A20" s="38">
        <v>19</v>
      </c>
      <c r="B20" s="39" t="s">
        <v>97</v>
      </c>
      <c r="C20" s="50"/>
      <c r="D20" s="39"/>
      <c r="E20" s="39"/>
      <c r="F20" s="39"/>
      <c r="G20" s="39"/>
      <c r="H20" s="39"/>
      <c r="I20" s="39"/>
      <c r="J20" s="39"/>
      <c r="K20" s="39"/>
      <c r="L20" s="42">
        <v>100186</v>
      </c>
    </row>
    <row r="21" spans="1:12" x14ac:dyDescent="0.25">
      <c r="A21" s="38">
        <v>20</v>
      </c>
      <c r="B21" s="42" t="s">
        <v>101</v>
      </c>
      <c r="C21" s="37"/>
      <c r="D21" s="38"/>
      <c r="E21" s="38"/>
      <c r="F21" s="38"/>
      <c r="G21" s="38"/>
      <c r="H21" s="38"/>
      <c r="I21" s="37"/>
      <c r="J21" s="38"/>
      <c r="K21" s="38"/>
      <c r="L21" s="38">
        <v>100186</v>
      </c>
    </row>
    <row r="22" spans="1:12" x14ac:dyDescent="0.25">
      <c r="A22" s="38">
        <v>21</v>
      </c>
      <c r="B22" s="42" t="s">
        <v>103</v>
      </c>
      <c r="C22" s="38"/>
      <c r="D22" s="38"/>
      <c r="E22" s="38"/>
      <c r="F22" s="38"/>
      <c r="G22" s="38"/>
      <c r="H22" s="38"/>
      <c r="I22" s="38"/>
      <c r="J22" s="38"/>
      <c r="K22" s="38"/>
      <c r="L22" s="38">
        <v>100186</v>
      </c>
    </row>
    <row r="23" spans="1:12" x14ac:dyDescent="0.25">
      <c r="A23" s="40">
        <v>22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zoomScaleSheetLayoutView="87" workbookViewId="0">
      <selection activeCell="C9" sqref="C9"/>
    </sheetView>
  </sheetViews>
  <sheetFormatPr defaultColWidth="9.140625" defaultRowHeight="15.75" x14ac:dyDescent="0.25"/>
  <cols>
    <col min="1" max="1" width="4.5703125" style="36" customWidth="1"/>
    <col min="2" max="2" width="57.7109375" style="36" customWidth="1"/>
    <col min="3" max="3" width="11.28515625" style="36" customWidth="1"/>
    <col min="4" max="4" width="9.140625" style="36"/>
    <col min="5" max="5" width="11.5703125" style="36" customWidth="1"/>
    <col min="6" max="6" width="12.42578125" style="36" customWidth="1"/>
    <col min="7" max="7" width="13.5703125" style="36" customWidth="1"/>
    <col min="8" max="8" width="12.85546875" style="36" customWidth="1"/>
    <col min="9" max="9" width="13.140625" style="36" customWidth="1"/>
    <col min="10" max="10" width="9.5703125" style="36" customWidth="1"/>
    <col min="11" max="11" width="12.140625" style="36" customWidth="1"/>
    <col min="12" max="12" width="11.140625" style="36" customWidth="1"/>
    <col min="13" max="13" width="10.85546875" style="36" customWidth="1"/>
    <col min="14" max="14" width="10.42578125" style="36" customWidth="1"/>
    <col min="15" max="16384" width="9.140625" style="36"/>
  </cols>
  <sheetData>
    <row r="1" spans="1:15" ht="31.5" x14ac:dyDescent="0.25">
      <c r="A1" s="34" t="s">
        <v>43</v>
      </c>
      <c r="B1" s="35" t="s">
        <v>36</v>
      </c>
      <c r="C1" s="34" t="s">
        <v>15</v>
      </c>
      <c r="D1" s="34" t="s">
        <v>0</v>
      </c>
      <c r="E1" s="34" t="s">
        <v>92</v>
      </c>
      <c r="F1" s="34" t="s">
        <v>93</v>
      </c>
      <c r="G1" s="34" t="s">
        <v>94</v>
      </c>
      <c r="H1" s="34" t="s">
        <v>95</v>
      </c>
      <c r="I1" s="34" t="s">
        <v>20</v>
      </c>
      <c r="J1" s="34" t="s">
        <v>1</v>
      </c>
      <c r="K1" s="34" t="s">
        <v>22</v>
      </c>
      <c r="L1" s="34" t="s">
        <v>14</v>
      </c>
      <c r="M1" s="34" t="s">
        <v>23</v>
      </c>
      <c r="N1" s="34"/>
    </row>
    <row r="2" spans="1:15" s="41" customFormat="1" x14ac:dyDescent="0.25">
      <c r="A2" s="45">
        <v>1</v>
      </c>
      <c r="B2" s="46" t="s">
        <v>29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>
        <v>36275148</v>
      </c>
    </row>
    <row r="3" spans="1:15" s="41" customFormat="1" x14ac:dyDescent="0.25">
      <c r="A3" s="45">
        <v>2</v>
      </c>
      <c r="B3" s="46" t="s">
        <v>41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>
        <v>13540974</v>
      </c>
      <c r="O3" s="41" t="s">
        <v>55</v>
      </c>
    </row>
    <row r="4" spans="1:15" s="41" customFormat="1" x14ac:dyDescent="0.25">
      <c r="A4" s="45">
        <v>3</v>
      </c>
      <c r="B4" s="46" t="s">
        <v>40</v>
      </c>
      <c r="C4" s="45" t="s">
        <v>45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6">
        <v>33979629</v>
      </c>
      <c r="O4" s="41" t="s">
        <v>55</v>
      </c>
    </row>
    <row r="5" spans="1:15" s="41" customFormat="1" x14ac:dyDescent="0.25">
      <c r="A5" s="45">
        <v>4</v>
      </c>
      <c r="B5" s="46" t="s">
        <v>27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>
        <v>72641824</v>
      </c>
      <c r="O5" s="41" t="s">
        <v>55</v>
      </c>
    </row>
    <row r="6" spans="1:15" s="41" customFormat="1" x14ac:dyDescent="0.25">
      <c r="A6" s="45">
        <v>5</v>
      </c>
      <c r="B6" s="46" t="s">
        <v>42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>
        <v>84564973</v>
      </c>
      <c r="O6" s="41" t="s">
        <v>55</v>
      </c>
    </row>
    <row r="7" spans="1:15" s="41" customFormat="1" x14ac:dyDescent="0.25">
      <c r="A7" s="45">
        <v>6</v>
      </c>
      <c r="B7" s="46" t="s">
        <v>25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6">
        <v>45313285</v>
      </c>
    </row>
    <row r="8" spans="1:15" s="41" customFormat="1" x14ac:dyDescent="0.25">
      <c r="A8" s="45">
        <v>7</v>
      </c>
      <c r="B8" s="46" t="s">
        <v>28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6">
        <v>88700206</v>
      </c>
    </row>
    <row r="9" spans="1:15" s="41" customFormat="1" ht="31.5" x14ac:dyDescent="0.25">
      <c r="A9" s="45">
        <v>8</v>
      </c>
      <c r="B9" s="46" t="s">
        <v>26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6">
        <v>86722119</v>
      </c>
    </row>
    <row r="10" spans="1:15" s="41" customFormat="1" x14ac:dyDescent="0.25">
      <c r="A10" s="45">
        <v>9</v>
      </c>
      <c r="B10" s="46" t="s">
        <v>30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>
        <v>35324962</v>
      </c>
    </row>
    <row r="11" spans="1:15" s="41" customFormat="1" x14ac:dyDescent="0.25">
      <c r="A11" s="45">
        <v>10</v>
      </c>
      <c r="B11" s="46" t="s">
        <v>31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6">
        <v>100186</v>
      </c>
      <c r="O11" s="41" t="s">
        <v>55</v>
      </c>
    </row>
    <row r="12" spans="1:15" s="41" customFormat="1" x14ac:dyDescent="0.25">
      <c r="A12" s="45">
        <v>11</v>
      </c>
      <c r="B12" s="46" t="s">
        <v>32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>
        <v>50995539</v>
      </c>
    </row>
    <row r="13" spans="1:15" s="41" customFormat="1" x14ac:dyDescent="0.25">
      <c r="A13" s="45">
        <v>12</v>
      </c>
      <c r="B13" s="46" t="s">
        <v>37</v>
      </c>
      <c r="C13" s="45" t="s">
        <v>47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6">
        <v>100186</v>
      </c>
    </row>
    <row r="14" spans="1:15" s="41" customFormat="1" x14ac:dyDescent="0.25">
      <c r="A14" s="45">
        <v>13</v>
      </c>
      <c r="B14" s="46" t="s">
        <v>38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6">
        <v>100186</v>
      </c>
    </row>
    <row r="15" spans="1:15" s="41" customFormat="1" x14ac:dyDescent="0.25">
      <c r="A15" s="45">
        <v>14</v>
      </c>
      <c r="B15" s="46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>
        <v>100186</v>
      </c>
    </row>
    <row r="16" spans="1:15" s="41" customFormat="1" x14ac:dyDescent="0.25">
      <c r="A16" s="45">
        <v>15</v>
      </c>
      <c r="B16" s="46" t="s">
        <v>51</v>
      </c>
      <c r="C16" s="45" t="s">
        <v>45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6">
        <v>34406143</v>
      </c>
    </row>
    <row r="17" spans="1:14" s="41" customFormat="1" x14ac:dyDescent="0.25">
      <c r="A17" s="45">
        <v>16</v>
      </c>
      <c r="B17" s="46" t="s">
        <v>34</v>
      </c>
      <c r="C17" s="45"/>
      <c r="D17" s="45"/>
      <c r="E17" s="45" t="s">
        <v>96</v>
      </c>
      <c r="F17" s="45"/>
      <c r="G17" s="45" t="s">
        <v>96</v>
      </c>
      <c r="H17" s="45" t="s">
        <v>96</v>
      </c>
      <c r="I17" s="45"/>
      <c r="J17" s="45"/>
      <c r="K17" s="45"/>
      <c r="L17" s="45"/>
      <c r="M17" s="45"/>
      <c r="N17" s="46">
        <v>23956654</v>
      </c>
    </row>
    <row r="18" spans="1:14" s="41" customFormat="1" x14ac:dyDescent="0.25">
      <c r="A18" s="45">
        <v>18</v>
      </c>
      <c r="B18" s="48" t="s">
        <v>97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6">
        <v>100186</v>
      </c>
    </row>
    <row r="19" spans="1:14" s="41" customFormat="1" x14ac:dyDescent="0.25">
      <c r="A19" s="45">
        <v>19</v>
      </c>
      <c r="B19" s="41" t="s">
        <v>98</v>
      </c>
    </row>
    <row r="20" spans="1:14" x14ac:dyDescent="0.25">
      <c r="A20" s="34">
        <v>17</v>
      </c>
      <c r="B20" s="10" t="s">
        <v>52</v>
      </c>
      <c r="C20" s="273" t="s">
        <v>54</v>
      </c>
      <c r="D20" s="274"/>
      <c r="E20" s="47"/>
      <c r="F20" s="47"/>
      <c r="G20" s="47"/>
      <c r="H20" s="47"/>
      <c r="I20" s="39"/>
      <c r="J20" s="39"/>
      <c r="K20" s="39"/>
      <c r="L20" s="39"/>
      <c r="M20" s="39"/>
      <c r="N20" s="42">
        <v>100186</v>
      </c>
    </row>
  </sheetData>
  <mergeCells count="1">
    <mergeCell ref="C20:D20"/>
  </mergeCells>
  <pageMargins left="0.7" right="0.7" top="0.75" bottom="0.75" header="0.3" footer="0.3"/>
  <pageSetup paperSize="9" scale="45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1"/>
  <sheetViews>
    <sheetView workbookViewId="0">
      <selection activeCell="F3" sqref="F3"/>
    </sheetView>
  </sheetViews>
  <sheetFormatPr defaultRowHeight="15" x14ac:dyDescent="0.25"/>
  <cols>
    <col min="1" max="1" width="18.28515625" customWidth="1"/>
    <col min="10" max="10" width="11.28515625" customWidth="1"/>
  </cols>
  <sheetData>
    <row r="1" spans="1:14" ht="38.25" customHeight="1" x14ac:dyDescent="0.25">
      <c r="A1" s="3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4" x14ac:dyDescent="0.25">
      <c r="A2" s="4" t="s">
        <v>16</v>
      </c>
      <c r="B2" s="53"/>
      <c r="C2" s="53"/>
      <c r="D2" s="53"/>
      <c r="E2" s="53"/>
      <c r="F2" s="2"/>
      <c r="G2" s="2"/>
      <c r="H2" s="2"/>
      <c r="I2" s="2"/>
      <c r="J2" s="2"/>
      <c r="K2" s="2"/>
      <c r="L2" s="2"/>
      <c r="M2" s="2"/>
      <c r="N2" s="52"/>
    </row>
    <row r="3" spans="1:14" x14ac:dyDescent="0.25">
      <c r="A3" s="4" t="s">
        <v>17</v>
      </c>
      <c r="B3" s="53"/>
      <c r="C3" s="53"/>
      <c r="D3" s="53"/>
      <c r="E3" s="53"/>
      <c r="F3" s="2"/>
      <c r="G3" s="2"/>
      <c r="H3" s="2"/>
      <c r="I3" s="2"/>
      <c r="J3" s="2"/>
      <c r="K3" s="2"/>
      <c r="L3" s="2"/>
      <c r="M3" s="2"/>
      <c r="N3" s="52"/>
    </row>
    <row r="4" spans="1:14" x14ac:dyDescent="0.25">
      <c r="A4" s="4" t="s">
        <v>18</v>
      </c>
      <c r="B4" s="53"/>
      <c r="C4" s="53"/>
      <c r="D4" s="53"/>
      <c r="E4" s="53"/>
      <c r="F4" s="2"/>
      <c r="G4" s="2"/>
      <c r="H4" s="2"/>
      <c r="I4" s="2"/>
      <c r="J4" s="2"/>
      <c r="K4" s="2"/>
      <c r="L4" s="2"/>
      <c r="M4" s="2"/>
      <c r="N4" s="52"/>
    </row>
    <row r="5" spans="1:14" x14ac:dyDescent="0.25">
      <c r="A5" s="4" t="s">
        <v>19</v>
      </c>
      <c r="B5" s="53"/>
      <c r="C5" s="53"/>
      <c r="D5" s="53"/>
      <c r="E5" s="53"/>
      <c r="F5" s="2"/>
      <c r="G5" s="2"/>
      <c r="H5" s="2"/>
      <c r="I5" s="2"/>
      <c r="J5" s="2"/>
      <c r="K5" s="2"/>
      <c r="L5" s="2"/>
      <c r="M5" s="2"/>
      <c r="N5" s="52"/>
    </row>
    <row r="8" spans="1:14" x14ac:dyDescent="0.25">
      <c r="A8" s="275">
        <v>100186</v>
      </c>
      <c r="B8" s="275"/>
      <c r="C8" s="275"/>
      <c r="D8" s="275"/>
      <c r="E8" s="275"/>
      <c r="F8" s="275"/>
    </row>
    <row r="9" spans="1:14" x14ac:dyDescent="0.25">
      <c r="A9" s="275"/>
      <c r="B9" s="275"/>
      <c r="C9" s="275"/>
      <c r="D9" s="275"/>
      <c r="E9" s="275"/>
      <c r="F9" s="275"/>
    </row>
    <row r="10" spans="1:14" x14ac:dyDescent="0.25">
      <c r="A10" s="275"/>
      <c r="B10" s="275"/>
      <c r="C10" s="275"/>
      <c r="D10" s="275"/>
      <c r="E10" s="275"/>
      <c r="F10" s="275"/>
    </row>
    <row r="11" spans="1:14" x14ac:dyDescent="0.25">
      <c r="A11" s="275"/>
      <c r="B11" s="275"/>
      <c r="C11" s="275"/>
      <c r="D11" s="275"/>
      <c r="E11" s="275"/>
      <c r="F11" s="275"/>
    </row>
  </sheetData>
  <mergeCells count="1">
    <mergeCell ref="A8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97"/>
  <sheetViews>
    <sheetView view="pageBreakPreview" topLeftCell="A68" zoomScaleNormal="85" zoomScaleSheetLayoutView="100" workbookViewId="0">
      <selection activeCell="B1" sqref="B1:C96"/>
    </sheetView>
  </sheetViews>
  <sheetFormatPr defaultColWidth="9.140625" defaultRowHeight="18.75" x14ac:dyDescent="0.25"/>
  <cols>
    <col min="1" max="1" width="6" style="40" customWidth="1"/>
    <col min="2" max="2" width="46.7109375" style="40" customWidth="1"/>
    <col min="3" max="3" width="17.5703125" style="40" customWidth="1"/>
    <col min="4" max="4" width="19.5703125" style="100" customWidth="1"/>
    <col min="5" max="5" width="23.28515625" style="40" customWidth="1"/>
    <col min="6" max="6" width="94.140625" style="40" customWidth="1"/>
    <col min="7" max="7" width="75.28515625" style="40" customWidth="1"/>
    <col min="8" max="16384" width="9.140625" style="40"/>
  </cols>
  <sheetData>
    <row r="1" spans="1:11" s="54" customFormat="1" x14ac:dyDescent="0.25">
      <c r="A1" s="55" t="s">
        <v>43</v>
      </c>
      <c r="B1" s="55" t="s">
        <v>36</v>
      </c>
      <c r="C1" s="55" t="s">
        <v>105</v>
      </c>
      <c r="D1" s="94" t="s">
        <v>210</v>
      </c>
      <c r="E1" s="55"/>
      <c r="F1" s="55" t="s">
        <v>202</v>
      </c>
      <c r="G1" s="55"/>
    </row>
    <row r="2" spans="1:11" hidden="1" x14ac:dyDescent="0.3">
      <c r="A2" s="56">
        <v>1</v>
      </c>
      <c r="B2" s="57" t="s">
        <v>133</v>
      </c>
      <c r="C2" s="57">
        <v>206155668</v>
      </c>
      <c r="D2" s="95" t="s">
        <v>208</v>
      </c>
      <c r="E2" s="71"/>
      <c r="F2" s="82" t="s">
        <v>201</v>
      </c>
      <c r="G2" s="56"/>
    </row>
    <row r="3" spans="1:11" x14ac:dyDescent="0.3">
      <c r="A3" s="56">
        <v>2</v>
      </c>
      <c r="B3" s="57" t="s">
        <v>108</v>
      </c>
      <c r="C3" s="57">
        <v>206450634</v>
      </c>
      <c r="D3" s="95" t="s">
        <v>209</v>
      </c>
      <c r="E3" s="79"/>
      <c r="F3" s="56"/>
      <c r="G3" s="56"/>
    </row>
    <row r="4" spans="1:11" x14ac:dyDescent="0.3">
      <c r="A4" s="56">
        <v>3</v>
      </c>
      <c r="B4" s="63" t="s">
        <v>173</v>
      </c>
      <c r="C4" s="63">
        <v>302813323</v>
      </c>
      <c r="D4" s="96" t="s">
        <v>209</v>
      </c>
      <c r="E4" s="56"/>
      <c r="F4" s="56"/>
      <c r="G4" s="56"/>
    </row>
    <row r="5" spans="1:11" hidden="1" x14ac:dyDescent="0.3">
      <c r="A5" s="56">
        <v>4</v>
      </c>
      <c r="B5" s="57" t="s">
        <v>109</v>
      </c>
      <c r="C5" s="57">
        <v>303408381</v>
      </c>
      <c r="D5" s="95" t="s">
        <v>208</v>
      </c>
      <c r="E5" s="56"/>
      <c r="F5" s="56"/>
      <c r="G5" s="56"/>
    </row>
    <row r="6" spans="1:11" hidden="1" x14ac:dyDescent="0.3">
      <c r="A6" s="56">
        <v>5</v>
      </c>
      <c r="B6" s="57" t="s">
        <v>110</v>
      </c>
      <c r="C6" s="57">
        <v>304107369</v>
      </c>
      <c r="D6" s="95" t="s">
        <v>208</v>
      </c>
      <c r="E6" s="71"/>
      <c r="F6" s="56"/>
      <c r="G6" s="56"/>
    </row>
    <row r="7" spans="1:11" x14ac:dyDescent="0.3">
      <c r="A7" s="56">
        <v>6</v>
      </c>
      <c r="B7" s="57" t="s">
        <v>169</v>
      </c>
      <c r="C7" s="57">
        <v>304384359</v>
      </c>
      <c r="D7" s="95" t="s">
        <v>209</v>
      </c>
      <c r="E7" s="71"/>
      <c r="F7" s="76" t="s">
        <v>201</v>
      </c>
      <c r="G7" s="56"/>
    </row>
    <row r="8" spans="1:11" x14ac:dyDescent="0.3">
      <c r="A8" s="56">
        <v>7</v>
      </c>
      <c r="B8" s="63" t="s">
        <v>193</v>
      </c>
      <c r="C8" s="63">
        <v>304459144</v>
      </c>
      <c r="D8" s="96" t="s">
        <v>209</v>
      </c>
      <c r="E8" s="71"/>
      <c r="F8" s="75" t="s">
        <v>201</v>
      </c>
      <c r="G8" s="56"/>
      <c r="J8" s="80"/>
    </row>
    <row r="9" spans="1:11" ht="37.5" hidden="1" x14ac:dyDescent="0.3">
      <c r="A9" s="56">
        <v>8</v>
      </c>
      <c r="B9" s="57" t="s">
        <v>111</v>
      </c>
      <c r="C9" s="57">
        <v>304632864</v>
      </c>
      <c r="D9" s="96" t="s">
        <v>208</v>
      </c>
      <c r="E9" s="71"/>
      <c r="F9" s="78" t="s">
        <v>201</v>
      </c>
      <c r="G9" s="56"/>
    </row>
    <row r="10" spans="1:11" hidden="1" x14ac:dyDescent="0.3">
      <c r="A10" s="56">
        <v>9</v>
      </c>
      <c r="B10" s="57" t="s">
        <v>106</v>
      </c>
      <c r="C10" s="57">
        <v>304801376</v>
      </c>
      <c r="D10" s="95" t="s">
        <v>208</v>
      </c>
      <c r="E10" s="79"/>
      <c r="F10" s="56"/>
      <c r="G10" s="56"/>
    </row>
    <row r="11" spans="1:11" hidden="1" x14ac:dyDescent="0.3">
      <c r="A11" s="56">
        <v>10</v>
      </c>
      <c r="B11" s="57" t="s">
        <v>112</v>
      </c>
      <c r="C11" s="57">
        <v>304825630</v>
      </c>
      <c r="D11" s="95" t="s">
        <v>208</v>
      </c>
      <c r="E11" s="71"/>
      <c r="F11" s="82" t="s">
        <v>201</v>
      </c>
      <c r="G11" s="56"/>
    </row>
    <row r="12" spans="1:11" hidden="1" x14ac:dyDescent="0.3">
      <c r="A12" s="56">
        <v>11</v>
      </c>
      <c r="B12" s="57" t="s">
        <v>184</v>
      </c>
      <c r="C12" s="57">
        <v>305099119</v>
      </c>
      <c r="D12" s="96" t="s">
        <v>208</v>
      </c>
      <c r="E12" s="71"/>
      <c r="F12" s="78" t="s">
        <v>201</v>
      </c>
      <c r="G12" s="56"/>
    </row>
    <row r="13" spans="1:11" hidden="1" x14ac:dyDescent="0.3">
      <c r="A13" s="56">
        <v>12</v>
      </c>
      <c r="B13" s="57" t="s">
        <v>113</v>
      </c>
      <c r="C13" s="57">
        <v>305133922</v>
      </c>
      <c r="D13" s="95" t="s">
        <v>208</v>
      </c>
      <c r="E13" s="71"/>
      <c r="F13" s="82" t="s">
        <v>201</v>
      </c>
      <c r="G13" s="56"/>
    </row>
    <row r="14" spans="1:11" hidden="1" x14ac:dyDescent="0.3">
      <c r="A14" s="56">
        <v>13</v>
      </c>
      <c r="B14" s="57" t="s">
        <v>116</v>
      </c>
      <c r="C14" s="57">
        <v>305150198</v>
      </c>
      <c r="D14" s="95" t="s">
        <v>208</v>
      </c>
      <c r="E14" s="71"/>
      <c r="F14" s="82" t="s">
        <v>201</v>
      </c>
      <c r="G14" s="56"/>
      <c r="K14" s="80"/>
    </row>
    <row r="15" spans="1:11" hidden="1" x14ac:dyDescent="0.3">
      <c r="A15" s="56">
        <v>14</v>
      </c>
      <c r="B15" s="57" t="s">
        <v>156</v>
      </c>
      <c r="C15" s="57">
        <v>305502390</v>
      </c>
      <c r="D15" s="95" t="s">
        <v>208</v>
      </c>
      <c r="E15" s="79"/>
      <c r="F15" s="56"/>
      <c r="G15" s="56"/>
    </row>
    <row r="16" spans="1:11" hidden="1" x14ac:dyDescent="0.3">
      <c r="A16" s="56">
        <v>15</v>
      </c>
      <c r="B16" s="57" t="s">
        <v>117</v>
      </c>
      <c r="C16" s="57">
        <v>305610162</v>
      </c>
      <c r="D16" s="95" t="s">
        <v>208</v>
      </c>
      <c r="E16" s="79"/>
      <c r="F16" s="56"/>
      <c r="G16" s="56"/>
    </row>
    <row r="17" spans="1:7" x14ac:dyDescent="0.3">
      <c r="A17" s="56">
        <v>16</v>
      </c>
      <c r="B17" s="57" t="s">
        <v>177</v>
      </c>
      <c r="C17" s="57">
        <v>305630035</v>
      </c>
      <c r="D17" s="95" t="s">
        <v>209</v>
      </c>
      <c r="E17" s="71"/>
      <c r="F17" s="82" t="s">
        <v>201</v>
      </c>
      <c r="G17" s="56"/>
    </row>
    <row r="18" spans="1:7" hidden="1" x14ac:dyDescent="0.3">
      <c r="A18" s="56">
        <v>17</v>
      </c>
      <c r="B18" s="57" t="s">
        <v>114</v>
      </c>
      <c r="C18" s="57">
        <v>305713761</v>
      </c>
      <c r="D18" s="95" t="s">
        <v>208</v>
      </c>
      <c r="E18" s="71"/>
      <c r="F18" s="82" t="s">
        <v>201</v>
      </c>
      <c r="G18" s="56"/>
    </row>
    <row r="19" spans="1:7" hidden="1" x14ac:dyDescent="0.3">
      <c r="A19" s="56">
        <v>18</v>
      </c>
      <c r="B19" s="57" t="s">
        <v>157</v>
      </c>
      <c r="C19" s="57">
        <v>305804094</v>
      </c>
      <c r="D19" s="95" t="s">
        <v>208</v>
      </c>
      <c r="E19" s="79"/>
      <c r="F19" s="56"/>
      <c r="G19" s="56"/>
    </row>
    <row r="20" spans="1:7" x14ac:dyDescent="0.3">
      <c r="A20" s="56">
        <v>19</v>
      </c>
      <c r="B20" s="67" t="s">
        <v>191</v>
      </c>
      <c r="C20" s="67">
        <v>305883924</v>
      </c>
      <c r="D20" s="97" t="s">
        <v>209</v>
      </c>
      <c r="E20" s="74"/>
      <c r="F20" s="82" t="s">
        <v>204</v>
      </c>
      <c r="G20" s="56"/>
    </row>
    <row r="21" spans="1:7" x14ac:dyDescent="0.3">
      <c r="A21" s="56">
        <v>20</v>
      </c>
      <c r="B21" s="57" t="s">
        <v>192</v>
      </c>
      <c r="C21" s="57">
        <v>305979201</v>
      </c>
      <c r="D21" s="95" t="s">
        <v>209</v>
      </c>
      <c r="E21" s="71"/>
      <c r="F21" s="82" t="s">
        <v>205</v>
      </c>
      <c r="G21" s="56"/>
    </row>
    <row r="22" spans="1:7" hidden="1" x14ac:dyDescent="0.3">
      <c r="A22" s="56">
        <v>21</v>
      </c>
      <c r="B22" s="57" t="s">
        <v>120</v>
      </c>
      <c r="C22" s="57">
        <v>306116238</v>
      </c>
      <c r="D22" s="95" t="s">
        <v>208</v>
      </c>
      <c r="E22" s="79"/>
      <c r="F22" s="84"/>
      <c r="G22" s="56"/>
    </row>
    <row r="23" spans="1:7" hidden="1" x14ac:dyDescent="0.3">
      <c r="A23" s="56">
        <v>22</v>
      </c>
      <c r="B23" s="57" t="s">
        <v>118</v>
      </c>
      <c r="C23" s="57">
        <v>306166287</v>
      </c>
      <c r="D23" s="95" t="s">
        <v>208</v>
      </c>
      <c r="E23" s="79"/>
      <c r="F23" s="85"/>
      <c r="G23" s="56"/>
    </row>
    <row r="24" spans="1:7" hidden="1" x14ac:dyDescent="0.3">
      <c r="A24" s="56">
        <v>23</v>
      </c>
      <c r="B24" s="57" t="s">
        <v>160</v>
      </c>
      <c r="C24" s="57">
        <v>306214227</v>
      </c>
      <c r="D24" s="95" t="s">
        <v>208</v>
      </c>
      <c r="E24" s="93"/>
      <c r="F24" s="83"/>
      <c r="G24" s="56"/>
    </row>
    <row r="25" spans="1:7" x14ac:dyDescent="0.3">
      <c r="A25" s="56">
        <v>24</v>
      </c>
      <c r="B25" s="57" t="s">
        <v>121</v>
      </c>
      <c r="C25" s="57">
        <v>306349905</v>
      </c>
      <c r="D25" s="95" t="s">
        <v>209</v>
      </c>
      <c r="E25" s="71"/>
      <c r="F25" s="82" t="s">
        <v>205</v>
      </c>
      <c r="G25" s="56"/>
    </row>
    <row r="26" spans="1:7" hidden="1" x14ac:dyDescent="0.3">
      <c r="A26" s="56">
        <v>25</v>
      </c>
      <c r="B26" s="57" t="s">
        <v>159</v>
      </c>
      <c r="C26" s="57">
        <v>306372744</v>
      </c>
      <c r="D26" s="95" t="s">
        <v>208</v>
      </c>
      <c r="E26" s="79"/>
      <c r="F26" s="56"/>
      <c r="G26" s="56"/>
    </row>
    <row r="27" spans="1:7" hidden="1" x14ac:dyDescent="0.3">
      <c r="A27" s="56">
        <v>26</v>
      </c>
      <c r="B27" s="57" t="s">
        <v>158</v>
      </c>
      <c r="C27" s="57">
        <v>306382810</v>
      </c>
      <c r="D27" s="95" t="s">
        <v>208</v>
      </c>
      <c r="E27" s="86"/>
      <c r="F27" s="59"/>
      <c r="G27" s="59"/>
    </row>
    <row r="28" spans="1:7" x14ac:dyDescent="0.3">
      <c r="A28" s="56">
        <v>27</v>
      </c>
      <c r="B28" s="57" t="s">
        <v>180</v>
      </c>
      <c r="C28" s="57">
        <v>306700191</v>
      </c>
      <c r="D28" s="95" t="s">
        <v>209</v>
      </c>
      <c r="E28" s="88"/>
      <c r="F28" s="87" t="s">
        <v>205</v>
      </c>
      <c r="G28" s="59"/>
    </row>
    <row r="29" spans="1:7" hidden="1" x14ac:dyDescent="0.3">
      <c r="A29" s="56">
        <v>28</v>
      </c>
      <c r="B29" s="57" t="s">
        <v>123</v>
      </c>
      <c r="C29" s="57">
        <v>306774385</v>
      </c>
      <c r="D29" s="95" t="s">
        <v>208</v>
      </c>
      <c r="E29" s="79"/>
      <c r="F29" s="56"/>
      <c r="G29" s="56"/>
    </row>
    <row r="30" spans="1:7" hidden="1" x14ac:dyDescent="0.3">
      <c r="A30" s="56">
        <v>29</v>
      </c>
      <c r="B30" s="63" t="s">
        <v>186</v>
      </c>
      <c r="C30" s="57">
        <v>306784151</v>
      </c>
      <c r="D30" s="95" t="s">
        <v>208</v>
      </c>
      <c r="E30" s="79"/>
      <c r="F30" s="56"/>
      <c r="G30" s="56"/>
    </row>
    <row r="31" spans="1:7" ht="25.5" x14ac:dyDescent="0.3">
      <c r="A31" s="56">
        <v>30</v>
      </c>
      <c r="B31" s="77" t="s">
        <v>148</v>
      </c>
      <c r="C31" s="57">
        <v>306865683</v>
      </c>
      <c r="D31" s="95" t="s">
        <v>209</v>
      </c>
      <c r="E31" s="74"/>
      <c r="F31" s="82" t="s">
        <v>203</v>
      </c>
      <c r="G31" s="56"/>
    </row>
    <row r="32" spans="1:7" x14ac:dyDescent="0.3">
      <c r="A32" s="56">
        <v>31</v>
      </c>
      <c r="B32" s="57" t="s">
        <v>130</v>
      </c>
      <c r="C32" s="57">
        <v>306911088</v>
      </c>
      <c r="D32" s="95" t="s">
        <v>209</v>
      </c>
      <c r="E32" s="71"/>
      <c r="F32" s="81" t="s">
        <v>205</v>
      </c>
      <c r="G32" s="56"/>
    </row>
    <row r="33" spans="1:7" x14ac:dyDescent="0.3">
      <c r="A33" s="56">
        <v>32</v>
      </c>
      <c r="B33" s="58" t="s">
        <v>115</v>
      </c>
      <c r="C33" s="57">
        <v>306924332</v>
      </c>
      <c r="D33" s="95" t="s">
        <v>209</v>
      </c>
      <c r="E33" s="79"/>
      <c r="F33" s="56"/>
      <c r="G33" s="56"/>
    </row>
    <row r="34" spans="1:7" ht="30" x14ac:dyDescent="0.3">
      <c r="A34" s="56">
        <v>33</v>
      </c>
      <c r="B34" s="66" t="s">
        <v>194</v>
      </c>
      <c r="C34" s="57">
        <v>307051200</v>
      </c>
      <c r="D34" s="95" t="s">
        <v>209</v>
      </c>
      <c r="E34" s="71"/>
      <c r="F34" s="81" t="s">
        <v>201</v>
      </c>
      <c r="G34" s="56"/>
    </row>
    <row r="35" spans="1:7" hidden="1" x14ac:dyDescent="0.3">
      <c r="A35" s="56">
        <v>34</v>
      </c>
      <c r="B35" s="57" t="s">
        <v>128</v>
      </c>
      <c r="C35" s="57">
        <v>307058508</v>
      </c>
      <c r="D35" s="95" t="s">
        <v>208</v>
      </c>
      <c r="E35" s="71"/>
      <c r="F35" s="82" t="s">
        <v>201</v>
      </c>
      <c r="G35" s="56"/>
    </row>
    <row r="36" spans="1:7" hidden="1" x14ac:dyDescent="0.3">
      <c r="A36" s="56">
        <v>35</v>
      </c>
      <c r="B36" s="57" t="s">
        <v>161</v>
      </c>
      <c r="C36" s="57">
        <v>307101819</v>
      </c>
      <c r="D36" s="95" t="s">
        <v>208</v>
      </c>
      <c r="E36" s="79"/>
      <c r="F36" s="56"/>
      <c r="G36" s="56"/>
    </row>
    <row r="37" spans="1:7" hidden="1" x14ac:dyDescent="0.3">
      <c r="A37" s="56">
        <v>36</v>
      </c>
      <c r="B37" s="57" t="s">
        <v>147</v>
      </c>
      <c r="C37" s="57">
        <v>307205799</v>
      </c>
      <c r="D37" s="95" t="s">
        <v>208</v>
      </c>
      <c r="E37" s="71"/>
      <c r="F37" s="82" t="s">
        <v>205</v>
      </c>
      <c r="G37" s="56"/>
    </row>
    <row r="38" spans="1:7" x14ac:dyDescent="0.3">
      <c r="A38" s="56">
        <v>37</v>
      </c>
      <c r="B38" s="57" t="s">
        <v>131</v>
      </c>
      <c r="C38" s="57">
        <v>307209437</v>
      </c>
      <c r="D38" s="95" t="s">
        <v>209</v>
      </c>
      <c r="E38" s="71"/>
      <c r="F38" s="82" t="s">
        <v>205</v>
      </c>
      <c r="G38" s="56"/>
    </row>
    <row r="39" spans="1:7" x14ac:dyDescent="0.3">
      <c r="A39" s="56">
        <v>38</v>
      </c>
      <c r="B39" s="57" t="s">
        <v>132</v>
      </c>
      <c r="C39" s="57">
        <v>307446998</v>
      </c>
      <c r="D39" s="95" t="s">
        <v>209</v>
      </c>
      <c r="E39" s="71"/>
      <c r="F39" s="78" t="s">
        <v>205</v>
      </c>
      <c r="G39" s="56"/>
    </row>
    <row r="40" spans="1:7" x14ac:dyDescent="0.3">
      <c r="A40" s="56">
        <v>39</v>
      </c>
      <c r="B40" s="58" t="s">
        <v>138</v>
      </c>
      <c r="C40" s="57">
        <v>307688389</v>
      </c>
      <c r="D40" s="95" t="s">
        <v>209</v>
      </c>
      <c r="E40" s="56"/>
      <c r="F40" s="56"/>
      <c r="G40" s="56"/>
    </row>
    <row r="41" spans="1:7" x14ac:dyDescent="0.3">
      <c r="A41" s="56">
        <v>40</v>
      </c>
      <c r="B41" s="58" t="s">
        <v>200</v>
      </c>
      <c r="C41" s="57">
        <v>307821555</v>
      </c>
      <c r="D41" s="95" t="s">
        <v>209</v>
      </c>
      <c r="E41" s="74"/>
      <c r="F41" s="82" t="s">
        <v>204</v>
      </c>
      <c r="G41" s="56"/>
    </row>
    <row r="42" spans="1:7" hidden="1" x14ac:dyDescent="0.3">
      <c r="A42" s="56">
        <v>41</v>
      </c>
      <c r="B42" s="57" t="s">
        <v>136</v>
      </c>
      <c r="C42" s="57">
        <v>307829726</v>
      </c>
      <c r="D42" s="95" t="s">
        <v>208</v>
      </c>
      <c r="E42" s="72"/>
      <c r="F42" s="82" t="s">
        <v>201</v>
      </c>
      <c r="G42" s="58"/>
    </row>
    <row r="43" spans="1:7" x14ac:dyDescent="0.3">
      <c r="A43" s="56">
        <v>42</v>
      </c>
      <c r="B43" s="63" t="s">
        <v>154</v>
      </c>
      <c r="C43" s="57">
        <v>307947611</v>
      </c>
      <c r="D43" s="95" t="s">
        <v>209</v>
      </c>
      <c r="E43" s="72"/>
      <c r="F43" s="81" t="s">
        <v>205</v>
      </c>
      <c r="G43" s="58"/>
    </row>
    <row r="44" spans="1:7" ht="37.5" hidden="1" x14ac:dyDescent="0.3">
      <c r="A44" s="56">
        <v>43</v>
      </c>
      <c r="B44" s="57" t="s">
        <v>162</v>
      </c>
      <c r="C44" s="57">
        <v>308041046</v>
      </c>
      <c r="D44" s="95" t="s">
        <v>208</v>
      </c>
      <c r="E44" s="89"/>
      <c r="F44" s="58"/>
      <c r="G44" s="58"/>
    </row>
    <row r="45" spans="1:7" hidden="1" x14ac:dyDescent="0.3">
      <c r="A45" s="56">
        <v>44</v>
      </c>
      <c r="B45" s="63" t="s">
        <v>155</v>
      </c>
      <c r="C45" s="57">
        <v>308113192</v>
      </c>
      <c r="D45" s="95" t="s">
        <v>208</v>
      </c>
      <c r="E45" s="72"/>
      <c r="F45" s="90" t="s">
        <v>205</v>
      </c>
      <c r="G45" s="58"/>
    </row>
    <row r="46" spans="1:7" hidden="1" x14ac:dyDescent="0.3">
      <c r="A46" s="56">
        <v>45</v>
      </c>
      <c r="B46" s="57" t="s">
        <v>150</v>
      </c>
      <c r="C46" s="57">
        <v>308234589</v>
      </c>
      <c r="D46" s="95" t="s">
        <v>208</v>
      </c>
      <c r="E46" s="72"/>
      <c r="F46" s="82" t="s">
        <v>201</v>
      </c>
      <c r="G46" s="58"/>
    </row>
    <row r="47" spans="1:7" x14ac:dyDescent="0.3">
      <c r="A47" s="56">
        <v>46</v>
      </c>
      <c r="B47" s="57" t="s">
        <v>181</v>
      </c>
      <c r="C47" s="57">
        <v>308334321</v>
      </c>
      <c r="D47" s="95" t="s">
        <v>209</v>
      </c>
      <c r="E47" s="72"/>
      <c r="F47" s="82" t="s">
        <v>205</v>
      </c>
      <c r="G47" s="58"/>
    </row>
    <row r="48" spans="1:7" hidden="1" x14ac:dyDescent="0.3">
      <c r="A48" s="56">
        <v>47</v>
      </c>
      <c r="B48" s="57" t="s">
        <v>163</v>
      </c>
      <c r="C48" s="57">
        <v>308360630</v>
      </c>
      <c r="D48" s="95" t="s">
        <v>208</v>
      </c>
      <c r="E48" s="89"/>
      <c r="F48" s="58"/>
      <c r="G48" s="58"/>
    </row>
    <row r="49" spans="1:7" hidden="1" x14ac:dyDescent="0.3">
      <c r="A49" s="56">
        <v>48</v>
      </c>
      <c r="B49" s="57" t="s">
        <v>164</v>
      </c>
      <c r="C49" s="57">
        <v>308383848</v>
      </c>
      <c r="D49" s="95" t="s">
        <v>208</v>
      </c>
      <c r="E49" s="72"/>
      <c r="F49" s="82" t="s">
        <v>201</v>
      </c>
      <c r="G49" s="58"/>
    </row>
    <row r="50" spans="1:7" hidden="1" x14ac:dyDescent="0.3">
      <c r="A50" s="56">
        <v>49</v>
      </c>
      <c r="B50" s="57" t="s">
        <v>165</v>
      </c>
      <c r="C50" s="57">
        <v>308485585</v>
      </c>
      <c r="D50" s="97" t="s">
        <v>208</v>
      </c>
      <c r="E50" s="72"/>
      <c r="F50" s="82" t="s">
        <v>205</v>
      </c>
      <c r="G50" s="58"/>
    </row>
    <row r="51" spans="1:7" x14ac:dyDescent="0.3">
      <c r="A51" s="56">
        <v>50</v>
      </c>
      <c r="B51" s="57" t="s">
        <v>185</v>
      </c>
      <c r="C51" s="57">
        <v>308543061</v>
      </c>
      <c r="D51" s="97" t="s">
        <v>209</v>
      </c>
      <c r="E51" s="58"/>
      <c r="F51" s="58"/>
      <c r="G51" s="58"/>
    </row>
    <row r="52" spans="1:7" hidden="1" x14ac:dyDescent="0.3">
      <c r="A52" s="56">
        <v>51</v>
      </c>
      <c r="B52" s="68" t="s">
        <v>166</v>
      </c>
      <c r="C52" s="68">
        <v>308551052</v>
      </c>
      <c r="D52" s="98" t="s">
        <v>208</v>
      </c>
      <c r="E52" s="71"/>
      <c r="F52" s="82" t="s">
        <v>201</v>
      </c>
      <c r="G52" s="56"/>
    </row>
    <row r="53" spans="1:7" hidden="1" x14ac:dyDescent="0.3">
      <c r="A53" s="56">
        <v>52</v>
      </c>
      <c r="B53" s="68" t="s">
        <v>168</v>
      </c>
      <c r="C53" s="69">
        <v>308678384</v>
      </c>
      <c r="D53" s="98" t="s">
        <v>208</v>
      </c>
      <c r="E53" s="50"/>
      <c r="F53" s="82" t="s">
        <v>205</v>
      </c>
      <c r="G53" s="39"/>
    </row>
    <row r="54" spans="1:7" hidden="1" x14ac:dyDescent="0.3">
      <c r="A54" s="56">
        <v>53</v>
      </c>
      <c r="B54" s="68" t="s">
        <v>170</v>
      </c>
      <c r="C54" s="69">
        <v>308746347</v>
      </c>
      <c r="D54" s="98" t="s">
        <v>208</v>
      </c>
      <c r="E54" s="91"/>
      <c r="F54" s="39"/>
      <c r="G54" s="39"/>
    </row>
    <row r="55" spans="1:7" x14ac:dyDescent="0.3">
      <c r="A55" s="56">
        <v>54</v>
      </c>
      <c r="B55" s="63" t="s">
        <v>182</v>
      </c>
      <c r="C55" s="63">
        <v>308760584</v>
      </c>
      <c r="D55" s="96" t="s">
        <v>209</v>
      </c>
      <c r="E55" s="65"/>
      <c r="F55" s="81"/>
      <c r="G55" s="82"/>
    </row>
    <row r="56" spans="1:7" x14ac:dyDescent="0.3">
      <c r="A56" s="56">
        <v>55</v>
      </c>
      <c r="B56" s="63" t="s">
        <v>172</v>
      </c>
      <c r="C56" s="64">
        <v>308820248</v>
      </c>
      <c r="D56" s="96" t="s">
        <v>209</v>
      </c>
      <c r="E56" s="39"/>
      <c r="F56" s="39"/>
      <c r="G56" s="39"/>
    </row>
    <row r="57" spans="1:7" ht="30" hidden="1" x14ac:dyDescent="0.3">
      <c r="A57" s="56">
        <v>56</v>
      </c>
      <c r="B57" s="63" t="s">
        <v>179</v>
      </c>
      <c r="C57" s="64">
        <v>308836242</v>
      </c>
      <c r="D57" s="96" t="s">
        <v>208</v>
      </c>
      <c r="E57" s="92"/>
      <c r="F57" s="81" t="s">
        <v>206</v>
      </c>
      <c r="G57" s="82" t="s">
        <v>207</v>
      </c>
    </row>
    <row r="58" spans="1:7" ht="37.5" x14ac:dyDescent="0.3">
      <c r="A58" s="56">
        <v>57</v>
      </c>
      <c r="B58" s="63" t="s">
        <v>178</v>
      </c>
      <c r="C58" s="63">
        <v>308898593</v>
      </c>
      <c r="D58" s="96" t="s">
        <v>209</v>
      </c>
      <c r="E58" s="74"/>
      <c r="F58" s="82" t="s">
        <v>206</v>
      </c>
      <c r="G58" s="82" t="s">
        <v>207</v>
      </c>
    </row>
    <row r="59" spans="1:7" ht="37.5" hidden="1" x14ac:dyDescent="0.3">
      <c r="A59" s="56">
        <v>58</v>
      </c>
      <c r="B59" s="57" t="s">
        <v>134</v>
      </c>
      <c r="C59" s="57">
        <v>201250775</v>
      </c>
      <c r="D59" s="96" t="s">
        <v>208</v>
      </c>
      <c r="E59" s="56"/>
      <c r="F59" s="56"/>
      <c r="G59" s="56"/>
    </row>
    <row r="60" spans="1:7" hidden="1" x14ac:dyDescent="0.3">
      <c r="A60" s="56">
        <v>59</v>
      </c>
      <c r="B60" s="57" t="s">
        <v>135</v>
      </c>
      <c r="C60" s="57">
        <v>207134036</v>
      </c>
      <c r="D60" s="96" t="s">
        <v>208</v>
      </c>
      <c r="E60" s="56"/>
      <c r="F60" s="56"/>
      <c r="G60" s="56"/>
    </row>
    <row r="61" spans="1:7" x14ac:dyDescent="0.3">
      <c r="A61" s="56">
        <v>60</v>
      </c>
      <c r="B61" s="57" t="s">
        <v>104</v>
      </c>
      <c r="C61" s="57">
        <v>207189989</v>
      </c>
      <c r="D61" s="96" t="s">
        <v>209</v>
      </c>
      <c r="E61" s="56"/>
      <c r="F61" s="56"/>
      <c r="G61" s="56"/>
    </row>
    <row r="62" spans="1:7" ht="37.5" x14ac:dyDescent="0.3">
      <c r="A62" s="56">
        <v>61</v>
      </c>
      <c r="B62" s="57" t="s">
        <v>129</v>
      </c>
      <c r="C62" s="57">
        <v>207314302</v>
      </c>
      <c r="D62" s="96" t="s">
        <v>209</v>
      </c>
      <c r="E62" s="56"/>
      <c r="F62" s="56"/>
      <c r="G62" s="56"/>
    </row>
    <row r="63" spans="1:7" x14ac:dyDescent="0.3">
      <c r="A63" s="56">
        <v>62</v>
      </c>
      <c r="B63" s="62" t="s">
        <v>137</v>
      </c>
      <c r="C63" s="60">
        <v>207324203</v>
      </c>
      <c r="D63" s="96" t="s">
        <v>209</v>
      </c>
      <c r="E63" s="56"/>
      <c r="F63" s="56"/>
      <c r="G63" s="56"/>
    </row>
    <row r="64" spans="1:7" x14ac:dyDescent="0.3">
      <c r="A64" s="56">
        <v>63</v>
      </c>
      <c r="B64" s="57" t="s">
        <v>107</v>
      </c>
      <c r="C64" s="57">
        <v>303451710</v>
      </c>
      <c r="D64" s="96" t="s">
        <v>209</v>
      </c>
      <c r="E64" s="56"/>
      <c r="F64" s="56"/>
      <c r="G64" s="56"/>
    </row>
    <row r="65" spans="1:7" x14ac:dyDescent="0.3">
      <c r="A65" s="56">
        <v>64</v>
      </c>
      <c r="B65" s="57" t="s">
        <v>122</v>
      </c>
      <c r="C65" s="57">
        <v>306223936</v>
      </c>
      <c r="D65" s="96" t="s">
        <v>209</v>
      </c>
      <c r="E65" s="56"/>
      <c r="F65" s="56"/>
      <c r="G65" s="56"/>
    </row>
    <row r="66" spans="1:7" hidden="1" x14ac:dyDescent="0.3">
      <c r="A66" s="56">
        <v>65</v>
      </c>
      <c r="B66" s="57" t="s">
        <v>124</v>
      </c>
      <c r="C66" s="57">
        <v>306807944</v>
      </c>
      <c r="D66" s="99" t="s">
        <v>208</v>
      </c>
      <c r="E66" s="61"/>
      <c r="F66" s="61"/>
      <c r="G66" s="61"/>
    </row>
    <row r="67" spans="1:7" x14ac:dyDescent="0.3">
      <c r="A67" s="56">
        <v>66</v>
      </c>
      <c r="B67" s="57" t="s">
        <v>127</v>
      </c>
      <c r="C67" s="57">
        <v>306918663</v>
      </c>
      <c r="D67" s="99" t="s">
        <v>209</v>
      </c>
      <c r="E67" s="61"/>
      <c r="F67" s="61"/>
      <c r="G67" s="61"/>
    </row>
    <row r="68" spans="1:7" x14ac:dyDescent="0.3">
      <c r="A68" s="56">
        <v>67</v>
      </c>
      <c r="B68" s="64" t="s">
        <v>174</v>
      </c>
      <c r="C68" s="64">
        <v>307039973</v>
      </c>
      <c r="D68" s="99" t="s">
        <v>209</v>
      </c>
      <c r="E68" s="39"/>
      <c r="F68" s="39"/>
      <c r="G68" s="39"/>
    </row>
    <row r="69" spans="1:7" x14ac:dyDescent="0.3">
      <c r="A69" s="56">
        <v>68</v>
      </c>
      <c r="B69" s="60" t="s">
        <v>125</v>
      </c>
      <c r="C69" s="60">
        <v>307043621</v>
      </c>
      <c r="D69" s="96" t="s">
        <v>209</v>
      </c>
      <c r="E69" s="39"/>
      <c r="F69" s="39"/>
      <c r="G69" s="39"/>
    </row>
    <row r="70" spans="1:7" hidden="1" x14ac:dyDescent="0.3">
      <c r="A70" s="56">
        <v>69</v>
      </c>
      <c r="B70" s="57" t="s">
        <v>145</v>
      </c>
      <c r="C70" s="57">
        <v>307053253</v>
      </c>
      <c r="D70" s="99" t="s">
        <v>208</v>
      </c>
      <c r="E70" s="39"/>
      <c r="F70" s="39"/>
      <c r="G70" s="39"/>
    </row>
    <row r="71" spans="1:7" x14ac:dyDescent="0.3">
      <c r="A71" s="56">
        <v>70</v>
      </c>
      <c r="B71" s="58" t="s">
        <v>142</v>
      </c>
      <c r="C71" s="57">
        <v>307077420</v>
      </c>
      <c r="D71" s="99" t="s">
        <v>209</v>
      </c>
      <c r="E71" s="39"/>
      <c r="F71" s="39"/>
      <c r="G71" s="39"/>
    </row>
    <row r="72" spans="1:7" x14ac:dyDescent="0.3">
      <c r="A72" s="56">
        <v>71</v>
      </c>
      <c r="B72" s="70" t="s">
        <v>146</v>
      </c>
      <c r="C72" s="73">
        <v>307097071</v>
      </c>
      <c r="D72" s="99" t="s">
        <v>209</v>
      </c>
      <c r="E72" s="39"/>
      <c r="F72" s="39"/>
      <c r="G72" s="39"/>
    </row>
    <row r="73" spans="1:7" hidden="1" x14ac:dyDescent="0.3">
      <c r="A73" s="56">
        <v>72</v>
      </c>
      <c r="B73" s="57" t="s">
        <v>126</v>
      </c>
      <c r="C73" s="60">
        <v>307159792</v>
      </c>
      <c r="D73" s="99" t="s">
        <v>208</v>
      </c>
      <c r="E73" s="39"/>
      <c r="F73" s="39"/>
      <c r="G73" s="39"/>
    </row>
    <row r="74" spans="1:7" x14ac:dyDescent="0.3">
      <c r="A74" s="56">
        <v>73</v>
      </c>
      <c r="B74" s="57" t="s">
        <v>152</v>
      </c>
      <c r="C74" s="60">
        <v>307526709</v>
      </c>
      <c r="D74" s="99" t="s">
        <v>209</v>
      </c>
      <c r="E74" s="39"/>
      <c r="F74" s="39"/>
      <c r="G74" s="39"/>
    </row>
    <row r="75" spans="1:7" x14ac:dyDescent="0.3">
      <c r="A75" s="56">
        <v>74</v>
      </c>
      <c r="B75" s="57" t="s">
        <v>119</v>
      </c>
      <c r="C75" s="60">
        <v>307609477</v>
      </c>
      <c r="D75" s="99" t="s">
        <v>209</v>
      </c>
      <c r="E75" s="39"/>
      <c r="F75" s="39"/>
      <c r="G75" s="39"/>
    </row>
    <row r="76" spans="1:7" x14ac:dyDescent="0.3">
      <c r="A76" s="56">
        <v>75</v>
      </c>
      <c r="B76" s="72" t="s">
        <v>141</v>
      </c>
      <c r="C76" s="73">
        <v>307972154</v>
      </c>
      <c r="D76" s="99" t="s">
        <v>209</v>
      </c>
      <c r="E76" s="39"/>
      <c r="F76" s="39"/>
      <c r="G76" s="39"/>
    </row>
    <row r="77" spans="1:7" hidden="1" x14ac:dyDescent="0.3">
      <c r="A77" s="56">
        <v>76</v>
      </c>
      <c r="B77" s="58" t="s">
        <v>139</v>
      </c>
      <c r="C77" s="60">
        <v>308023653</v>
      </c>
      <c r="D77" s="99" t="s">
        <v>208</v>
      </c>
      <c r="E77" s="39"/>
      <c r="F77" s="39"/>
      <c r="G77" s="39"/>
    </row>
    <row r="78" spans="1:7" hidden="1" x14ac:dyDescent="0.3">
      <c r="A78" s="56">
        <v>77</v>
      </c>
      <c r="B78" s="58" t="s">
        <v>140</v>
      </c>
      <c r="C78" s="60">
        <v>308034845</v>
      </c>
      <c r="D78" s="99" t="s">
        <v>208</v>
      </c>
      <c r="E78" s="39"/>
      <c r="F78" s="39"/>
      <c r="G78" s="39"/>
    </row>
    <row r="79" spans="1:7" hidden="1" x14ac:dyDescent="0.3">
      <c r="A79" s="56">
        <v>78</v>
      </c>
      <c r="B79" s="57" t="s">
        <v>149</v>
      </c>
      <c r="C79" s="60">
        <v>308038910</v>
      </c>
      <c r="D79" s="99" t="s">
        <v>208</v>
      </c>
      <c r="E79" s="39"/>
      <c r="F79" s="39"/>
      <c r="G79" s="39"/>
    </row>
    <row r="80" spans="1:7" hidden="1" x14ac:dyDescent="0.3">
      <c r="A80" s="56">
        <v>79</v>
      </c>
      <c r="B80" s="72" t="s">
        <v>143</v>
      </c>
      <c r="C80" s="73">
        <v>308104393</v>
      </c>
      <c r="D80" s="99" t="s">
        <v>208</v>
      </c>
      <c r="E80" s="39"/>
      <c r="F80" s="39"/>
      <c r="G80" s="39"/>
    </row>
    <row r="81" spans="1:7" hidden="1" x14ac:dyDescent="0.3">
      <c r="A81" s="56">
        <v>80</v>
      </c>
      <c r="B81" s="57" t="s">
        <v>151</v>
      </c>
      <c r="C81" s="60">
        <v>308224649</v>
      </c>
      <c r="D81" s="99" t="s">
        <v>208</v>
      </c>
      <c r="E81" s="39"/>
      <c r="F81" s="39"/>
      <c r="G81" s="39"/>
    </row>
    <row r="82" spans="1:7" x14ac:dyDescent="0.3">
      <c r="A82" s="56">
        <v>81</v>
      </c>
      <c r="B82" s="57" t="s">
        <v>153</v>
      </c>
      <c r="C82" s="60">
        <v>308435425</v>
      </c>
      <c r="D82" s="96" t="s">
        <v>209</v>
      </c>
      <c r="E82" s="56"/>
      <c r="F82" s="56"/>
      <c r="G82" s="56"/>
    </row>
    <row r="83" spans="1:7" hidden="1" x14ac:dyDescent="0.3">
      <c r="A83" s="56">
        <v>82</v>
      </c>
      <c r="B83" s="70" t="s">
        <v>167</v>
      </c>
      <c r="C83" s="73">
        <v>308570489</v>
      </c>
      <c r="D83" s="99" t="s">
        <v>208</v>
      </c>
      <c r="E83" s="39"/>
      <c r="F83" s="39"/>
      <c r="G83" s="39"/>
    </row>
    <row r="84" spans="1:7" hidden="1" x14ac:dyDescent="0.3">
      <c r="A84" s="56">
        <v>83</v>
      </c>
      <c r="B84" s="57" t="s">
        <v>171</v>
      </c>
      <c r="C84" s="60">
        <v>308662365</v>
      </c>
      <c r="D84" s="99" t="s">
        <v>208</v>
      </c>
      <c r="E84" s="39"/>
      <c r="F84" s="39"/>
      <c r="G84" s="39"/>
    </row>
    <row r="85" spans="1:7" x14ac:dyDescent="0.3">
      <c r="A85" s="56">
        <v>84</v>
      </c>
      <c r="B85" s="57" t="s">
        <v>183</v>
      </c>
      <c r="C85" s="60">
        <v>308763019</v>
      </c>
      <c r="D85" s="99" t="s">
        <v>209</v>
      </c>
      <c r="E85" s="39"/>
      <c r="F85" s="39"/>
      <c r="G85" s="39"/>
    </row>
    <row r="86" spans="1:7" x14ac:dyDescent="0.3">
      <c r="A86" s="56">
        <v>85</v>
      </c>
      <c r="B86" s="63" t="s">
        <v>176</v>
      </c>
      <c r="C86" s="64">
        <v>308801967</v>
      </c>
      <c r="D86" s="99" t="s">
        <v>209</v>
      </c>
      <c r="E86" s="39"/>
      <c r="F86" s="39"/>
      <c r="G86" s="39"/>
    </row>
    <row r="87" spans="1:7" hidden="1" x14ac:dyDescent="0.3">
      <c r="A87" s="56">
        <v>86</v>
      </c>
      <c r="B87" s="63" t="s">
        <v>175</v>
      </c>
      <c r="C87" s="64">
        <v>308840208</v>
      </c>
      <c r="D87" s="96" t="s">
        <v>208</v>
      </c>
      <c r="E87" s="39"/>
      <c r="F87" s="39"/>
      <c r="G87" s="39"/>
    </row>
    <row r="88" spans="1:7" x14ac:dyDescent="0.3">
      <c r="A88" s="56">
        <v>87</v>
      </c>
      <c r="B88" s="63" t="s">
        <v>188</v>
      </c>
      <c r="C88" s="64">
        <v>308982893</v>
      </c>
      <c r="D88" s="96" t="s">
        <v>209</v>
      </c>
      <c r="E88" s="39"/>
      <c r="F88" s="39"/>
      <c r="G88" s="39"/>
    </row>
    <row r="89" spans="1:7" x14ac:dyDescent="0.3">
      <c r="A89" s="56">
        <v>88</v>
      </c>
      <c r="B89" s="63" t="s">
        <v>187</v>
      </c>
      <c r="C89" s="64">
        <v>308982901</v>
      </c>
      <c r="D89" s="96" t="s">
        <v>209</v>
      </c>
      <c r="E89" s="39"/>
      <c r="F89" s="39"/>
      <c r="G89" s="39"/>
    </row>
    <row r="90" spans="1:7" x14ac:dyDescent="0.3">
      <c r="A90" s="56">
        <v>89</v>
      </c>
      <c r="B90" s="63" t="s">
        <v>189</v>
      </c>
      <c r="C90" s="64">
        <v>308985288</v>
      </c>
      <c r="D90" s="100" t="s">
        <v>209</v>
      </c>
    </row>
    <row r="91" spans="1:7" x14ac:dyDescent="0.3">
      <c r="A91" s="56">
        <v>90</v>
      </c>
      <c r="B91" s="63" t="s">
        <v>190</v>
      </c>
      <c r="C91" s="64">
        <v>308985295</v>
      </c>
      <c r="D91" s="100" t="s">
        <v>209</v>
      </c>
    </row>
    <row r="92" spans="1:7" x14ac:dyDescent="0.3">
      <c r="A92" s="56">
        <v>91</v>
      </c>
      <c r="B92" s="63" t="s">
        <v>195</v>
      </c>
      <c r="C92" s="64">
        <v>309058141</v>
      </c>
      <c r="D92" s="100" t="s">
        <v>209</v>
      </c>
    </row>
    <row r="93" spans="1:7" hidden="1" x14ac:dyDescent="0.3">
      <c r="A93" s="56">
        <v>92</v>
      </c>
      <c r="B93" s="63" t="s">
        <v>196</v>
      </c>
      <c r="C93" s="64">
        <v>309058750</v>
      </c>
      <c r="D93" s="100" t="s">
        <v>208</v>
      </c>
    </row>
    <row r="94" spans="1:7" x14ac:dyDescent="0.3">
      <c r="A94" s="56">
        <v>93</v>
      </c>
      <c r="B94" s="63" t="s">
        <v>199</v>
      </c>
      <c r="C94" s="64">
        <v>309073250</v>
      </c>
      <c r="D94" s="100" t="s">
        <v>209</v>
      </c>
    </row>
    <row r="95" spans="1:7" hidden="1" x14ac:dyDescent="0.3">
      <c r="A95" s="56">
        <v>94</v>
      </c>
      <c r="B95" s="63" t="s">
        <v>197</v>
      </c>
      <c r="C95" s="64">
        <v>309092362</v>
      </c>
      <c r="D95" s="100" t="s">
        <v>208</v>
      </c>
    </row>
    <row r="96" spans="1:7" x14ac:dyDescent="0.3">
      <c r="A96" s="56">
        <v>95</v>
      </c>
      <c r="B96" s="63" t="s">
        <v>198</v>
      </c>
      <c r="C96" s="64">
        <v>309112486</v>
      </c>
      <c r="D96" s="100" t="s">
        <v>209</v>
      </c>
    </row>
    <row r="97" spans="1:4" hidden="1" x14ac:dyDescent="0.3">
      <c r="A97" s="56">
        <v>96</v>
      </c>
      <c r="B97" s="57" t="s">
        <v>144</v>
      </c>
      <c r="C97" s="57">
        <v>601611170</v>
      </c>
      <c r="D97" s="100" t="s">
        <v>208</v>
      </c>
    </row>
  </sheetData>
  <autoFilter ref="A1:N97">
    <filterColumn colId="3">
      <filters>
        <filter val="Ёркиной"/>
      </filters>
    </filterColumn>
  </autoFilter>
  <pageMargins left="0.31496062992125984" right="0.31496062992125984" top="0.15748031496062992" bottom="0.15748031496062992" header="0.31496062992125984" footer="0.31496062992125984"/>
  <pageSetup paperSize="9" scale="5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1"/>
  <sheetViews>
    <sheetView workbookViewId="0">
      <selection activeCell="B22" sqref="B22"/>
    </sheetView>
  </sheetViews>
  <sheetFormatPr defaultRowHeight="15" x14ac:dyDescent="0.25"/>
  <cols>
    <col min="1" max="1" width="17.28515625" bestFit="1" customWidth="1"/>
    <col min="2" max="2" width="27.5703125" bestFit="1" customWidth="1"/>
  </cols>
  <sheetData>
    <row r="3" spans="1:2" x14ac:dyDescent="0.25">
      <c r="A3" s="140" t="s">
        <v>290</v>
      </c>
      <c r="B3" t="s">
        <v>293</v>
      </c>
    </row>
    <row r="4" spans="1:2" x14ac:dyDescent="0.25">
      <c r="A4" s="141" t="s">
        <v>219</v>
      </c>
      <c r="B4" s="142">
        <v>7040000</v>
      </c>
    </row>
    <row r="5" spans="1:2" x14ac:dyDescent="0.25">
      <c r="A5" s="141" t="s">
        <v>243</v>
      </c>
      <c r="B5" s="142">
        <v>0</v>
      </c>
    </row>
    <row r="6" spans="1:2" x14ac:dyDescent="0.25">
      <c r="A6" s="141" t="s">
        <v>218</v>
      </c>
      <c r="B6" s="142">
        <v>8134000</v>
      </c>
    </row>
    <row r="7" spans="1:2" x14ac:dyDescent="0.25">
      <c r="A7" s="141" t="s">
        <v>224</v>
      </c>
      <c r="B7" s="142">
        <v>7320000</v>
      </c>
    </row>
    <row r="8" spans="1:2" x14ac:dyDescent="0.25">
      <c r="A8" s="141" t="s">
        <v>217</v>
      </c>
      <c r="B8" s="142">
        <v>5080000</v>
      </c>
    </row>
    <row r="9" spans="1:2" x14ac:dyDescent="0.25">
      <c r="A9" s="141" t="s">
        <v>238</v>
      </c>
      <c r="B9" s="142">
        <v>9740000</v>
      </c>
    </row>
    <row r="10" spans="1:2" x14ac:dyDescent="0.25">
      <c r="A10" s="141" t="s">
        <v>235</v>
      </c>
      <c r="B10" s="142">
        <v>100000</v>
      </c>
    </row>
    <row r="11" spans="1:2" x14ac:dyDescent="0.25">
      <c r="A11" s="141" t="s">
        <v>291</v>
      </c>
      <c r="B11" s="142">
        <v>0</v>
      </c>
    </row>
    <row r="12" spans="1:2" x14ac:dyDescent="0.25">
      <c r="A12" s="141" t="s">
        <v>303</v>
      </c>
      <c r="B12" s="142">
        <v>8280000</v>
      </c>
    </row>
    <row r="13" spans="1:2" x14ac:dyDescent="0.25">
      <c r="A13" s="141" t="s">
        <v>308</v>
      </c>
      <c r="B13" s="142">
        <v>13210000</v>
      </c>
    </row>
    <row r="14" spans="1:2" x14ac:dyDescent="0.25">
      <c r="A14" s="141" t="s">
        <v>335</v>
      </c>
      <c r="B14" s="142">
        <v>7840000</v>
      </c>
    </row>
    <row r="15" spans="1:2" x14ac:dyDescent="0.25">
      <c r="A15" s="141" t="s">
        <v>378</v>
      </c>
      <c r="B15" s="142">
        <v>3000000</v>
      </c>
    </row>
    <row r="16" spans="1:2" x14ac:dyDescent="0.25">
      <c r="A16" s="141" t="s">
        <v>471</v>
      </c>
      <c r="B16" s="142">
        <v>6900000</v>
      </c>
    </row>
    <row r="17" spans="1:2" x14ac:dyDescent="0.25">
      <c r="A17" s="141" t="s">
        <v>394</v>
      </c>
      <c r="B17" s="142">
        <v>1420000</v>
      </c>
    </row>
    <row r="18" spans="1:2" x14ac:dyDescent="0.25">
      <c r="A18" s="141" t="s">
        <v>434</v>
      </c>
      <c r="B18" s="142">
        <v>1850000</v>
      </c>
    </row>
    <row r="19" spans="1:2" x14ac:dyDescent="0.25">
      <c r="A19" s="141" t="s">
        <v>309</v>
      </c>
      <c r="B19" s="142">
        <v>7140000</v>
      </c>
    </row>
    <row r="20" spans="1:2" x14ac:dyDescent="0.25">
      <c r="A20" s="141" t="s">
        <v>428</v>
      </c>
      <c r="B20" s="142">
        <v>1200000</v>
      </c>
    </row>
    <row r="21" spans="1:2" x14ac:dyDescent="0.25">
      <c r="A21" s="141" t="s">
        <v>467</v>
      </c>
      <c r="B21" s="142">
        <v>7600000</v>
      </c>
    </row>
    <row r="22" spans="1:2" x14ac:dyDescent="0.25">
      <c r="A22" s="141" t="s">
        <v>468</v>
      </c>
      <c r="B22" s="142">
        <v>2645000</v>
      </c>
    </row>
    <row r="23" spans="1:2" x14ac:dyDescent="0.25">
      <c r="A23" s="141" t="s">
        <v>310</v>
      </c>
      <c r="B23" s="142">
        <v>2400000</v>
      </c>
    </row>
    <row r="24" spans="1:2" x14ac:dyDescent="0.25">
      <c r="A24" s="141" t="s">
        <v>549</v>
      </c>
      <c r="B24" s="142">
        <v>3040000</v>
      </c>
    </row>
    <row r="25" spans="1:2" x14ac:dyDescent="0.25">
      <c r="A25" s="141" t="s">
        <v>550</v>
      </c>
      <c r="B25" s="142">
        <v>4400000</v>
      </c>
    </row>
    <row r="26" spans="1:2" x14ac:dyDescent="0.25">
      <c r="A26" s="141" t="s">
        <v>560</v>
      </c>
      <c r="B26" s="142">
        <v>1460000</v>
      </c>
    </row>
    <row r="27" spans="1:2" x14ac:dyDescent="0.25">
      <c r="A27" s="141" t="s">
        <v>583</v>
      </c>
      <c r="B27" s="142">
        <v>750000</v>
      </c>
    </row>
    <row r="28" spans="1:2" x14ac:dyDescent="0.25">
      <c r="A28" s="141" t="s">
        <v>589</v>
      </c>
      <c r="B28" s="142">
        <v>1620000</v>
      </c>
    </row>
    <row r="29" spans="1:2" x14ac:dyDescent="0.25">
      <c r="A29" s="141" t="s">
        <v>590</v>
      </c>
      <c r="B29" s="142">
        <v>940000</v>
      </c>
    </row>
    <row r="30" spans="1:2" x14ac:dyDescent="0.25">
      <c r="A30" s="141" t="s">
        <v>599</v>
      </c>
      <c r="B30" s="142">
        <v>565000</v>
      </c>
    </row>
    <row r="31" spans="1:2" x14ac:dyDescent="0.25">
      <c r="A31" s="141" t="s">
        <v>292</v>
      </c>
      <c r="B31" s="142">
        <v>113674000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6" sqref="B6"/>
    </sheetView>
  </sheetViews>
  <sheetFormatPr defaultRowHeight="15" x14ac:dyDescent="0.25"/>
  <cols>
    <col min="1" max="1" width="17.28515625" bestFit="1" customWidth="1"/>
    <col min="2" max="2" width="29.7109375" bestFit="1" customWidth="1"/>
  </cols>
  <sheetData>
    <row r="3" spans="1:2" x14ac:dyDescent="0.25">
      <c r="A3" s="140" t="s">
        <v>290</v>
      </c>
      <c r="B3" t="s">
        <v>295</v>
      </c>
    </row>
    <row r="4" spans="1:2" x14ac:dyDescent="0.25">
      <c r="A4" s="141" t="s">
        <v>240</v>
      </c>
      <c r="B4" s="143">
        <v>8917500</v>
      </c>
    </row>
    <row r="5" spans="1:2" x14ac:dyDescent="0.25">
      <c r="A5" s="141" t="s">
        <v>291</v>
      </c>
      <c r="B5" s="143">
        <v>0</v>
      </c>
    </row>
    <row r="6" spans="1:2" x14ac:dyDescent="0.25">
      <c r="A6" s="141" t="s">
        <v>326</v>
      </c>
      <c r="B6" s="143">
        <v>2750000</v>
      </c>
    </row>
    <row r="7" spans="1:2" x14ac:dyDescent="0.25">
      <c r="A7" s="141" t="s">
        <v>428</v>
      </c>
      <c r="B7" s="143">
        <v>6257500</v>
      </c>
    </row>
    <row r="8" spans="1:2" x14ac:dyDescent="0.25">
      <c r="A8" s="141" t="s">
        <v>551</v>
      </c>
      <c r="B8" s="143">
        <v>2030000</v>
      </c>
    </row>
    <row r="9" spans="1:2" x14ac:dyDescent="0.25">
      <c r="A9" s="141" t="s">
        <v>292</v>
      </c>
      <c r="B9" s="142">
        <v>19955000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4" sqref="B4"/>
    </sheetView>
  </sheetViews>
  <sheetFormatPr defaultRowHeight="15" x14ac:dyDescent="0.25"/>
  <cols>
    <col min="1" max="1" width="17.28515625" bestFit="1" customWidth="1"/>
    <col min="2" max="2" width="28.28515625" bestFit="1" customWidth="1"/>
  </cols>
  <sheetData>
    <row r="3" spans="1:2" x14ac:dyDescent="0.25">
      <c r="A3" s="140" t="s">
        <v>290</v>
      </c>
      <c r="B3" t="s">
        <v>298</v>
      </c>
    </row>
    <row r="4" spans="1:2" x14ac:dyDescent="0.25">
      <c r="A4" s="141" t="s">
        <v>218</v>
      </c>
      <c r="B4" s="142">
        <v>19322500</v>
      </c>
    </row>
    <row r="5" spans="1:2" x14ac:dyDescent="0.25">
      <c r="A5" s="141" t="s">
        <v>291</v>
      </c>
      <c r="B5" s="142">
        <v>0</v>
      </c>
    </row>
    <row r="6" spans="1:2" x14ac:dyDescent="0.25">
      <c r="A6" s="141" t="s">
        <v>238</v>
      </c>
      <c r="B6" s="142">
        <v>8068500</v>
      </c>
    </row>
    <row r="7" spans="1:2" x14ac:dyDescent="0.25">
      <c r="A7" s="141" t="s">
        <v>308</v>
      </c>
      <c r="B7" s="142">
        <v>2400000</v>
      </c>
    </row>
    <row r="8" spans="1:2" x14ac:dyDescent="0.25">
      <c r="A8" s="141" t="s">
        <v>303</v>
      </c>
      <c r="B8" s="142">
        <v>0</v>
      </c>
    </row>
    <row r="9" spans="1:2" x14ac:dyDescent="0.25">
      <c r="A9" s="141" t="s">
        <v>292</v>
      </c>
      <c r="B9" s="142">
        <v>29791000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26"/>
  <sheetViews>
    <sheetView tabSelected="1" zoomScale="85" zoomScaleNormal="85" workbookViewId="0">
      <selection activeCell="H151" sqref="H151"/>
    </sheetView>
  </sheetViews>
  <sheetFormatPr defaultRowHeight="15" x14ac:dyDescent="0.25"/>
  <cols>
    <col min="1" max="1" width="13.28515625" customWidth="1"/>
    <col min="2" max="2" width="38" customWidth="1"/>
    <col min="3" max="3" width="23.28515625" customWidth="1"/>
    <col min="4" max="4" width="19.5703125" customWidth="1"/>
    <col min="5" max="6" width="21.42578125" customWidth="1"/>
    <col min="7" max="7" width="21.140625" customWidth="1"/>
    <col min="8" max="8" width="21" customWidth="1"/>
    <col min="9" max="9" width="21.85546875" customWidth="1"/>
    <col min="10" max="10" width="20.85546875" customWidth="1"/>
    <col min="11" max="11" width="20.28515625" customWidth="1"/>
    <col min="12" max="13" width="20.42578125" customWidth="1"/>
  </cols>
  <sheetData>
    <row r="2" spans="1:13" ht="18.75" x14ac:dyDescent="0.25">
      <c r="A2" s="135" t="s">
        <v>43</v>
      </c>
      <c r="B2" s="136" t="s">
        <v>36</v>
      </c>
      <c r="C2" s="136" t="s">
        <v>105</v>
      </c>
      <c r="D2" s="94" t="s">
        <v>55</v>
      </c>
      <c r="E2" s="94" t="s">
        <v>233</v>
      </c>
      <c r="F2" s="136" t="s">
        <v>294</v>
      </c>
      <c r="G2" s="137" t="s">
        <v>288</v>
      </c>
      <c r="H2" s="137" t="s">
        <v>296</v>
      </c>
      <c r="I2" s="137" t="s">
        <v>289</v>
      </c>
      <c r="J2" s="110" t="s">
        <v>234</v>
      </c>
      <c r="K2" s="94" t="s">
        <v>230</v>
      </c>
      <c r="L2" s="102" t="s">
        <v>209</v>
      </c>
      <c r="M2" s="138" t="s">
        <v>297</v>
      </c>
    </row>
    <row r="3" spans="1:13" ht="37.5" x14ac:dyDescent="0.3">
      <c r="A3" s="130">
        <v>1</v>
      </c>
      <c r="B3" s="104" t="s">
        <v>226</v>
      </c>
      <c r="C3" s="104">
        <v>306033555</v>
      </c>
      <c r="D3" s="95" t="s">
        <v>55</v>
      </c>
      <c r="E3" s="106" t="s">
        <v>583</v>
      </c>
      <c r="F3" s="104" t="s">
        <v>240</v>
      </c>
      <c r="G3" s="122">
        <v>500000</v>
      </c>
      <c r="H3" s="239" t="s">
        <v>303</v>
      </c>
      <c r="I3" s="105">
        <v>20</v>
      </c>
      <c r="J3" s="105">
        <f>G3*5%</f>
        <v>25000</v>
      </c>
      <c r="K3" s="103">
        <f t="shared" ref="K3:K24" si="0">G3*I3%</f>
        <v>100000</v>
      </c>
      <c r="L3" s="106">
        <f t="shared" ref="L3:L11" si="1">G3*7%</f>
        <v>35000</v>
      </c>
      <c r="M3" s="106">
        <f t="shared" ref="M3:M11" si="2">G3*5%</f>
        <v>25000</v>
      </c>
    </row>
    <row r="4" spans="1:13" ht="18.75" x14ac:dyDescent="0.3">
      <c r="A4" s="130">
        <v>2</v>
      </c>
      <c r="B4" s="104" t="s">
        <v>225</v>
      </c>
      <c r="C4" s="104">
        <v>302672452</v>
      </c>
      <c r="D4" s="106"/>
      <c r="E4" s="104" t="s">
        <v>428</v>
      </c>
      <c r="F4" s="104" t="s">
        <v>428</v>
      </c>
      <c r="G4" s="122">
        <v>700000</v>
      </c>
      <c r="H4" s="104" t="s">
        <v>218</v>
      </c>
      <c r="I4" s="105">
        <v>20</v>
      </c>
      <c r="J4" s="105">
        <f>G4*5%</f>
        <v>35000</v>
      </c>
      <c r="K4" s="103">
        <f t="shared" si="0"/>
        <v>140000</v>
      </c>
      <c r="L4" s="106">
        <f t="shared" si="1"/>
        <v>49000.000000000007</v>
      </c>
      <c r="M4" s="106">
        <f t="shared" si="2"/>
        <v>35000</v>
      </c>
    </row>
    <row r="5" spans="1:13" ht="18.75" x14ac:dyDescent="0.3">
      <c r="A5" s="130">
        <v>3</v>
      </c>
      <c r="B5" s="104" t="s">
        <v>124</v>
      </c>
      <c r="C5" s="104">
        <v>306807944</v>
      </c>
      <c r="D5" s="106"/>
      <c r="E5" s="104" t="s">
        <v>219</v>
      </c>
      <c r="F5" s="104" t="s">
        <v>428</v>
      </c>
      <c r="G5" s="129">
        <v>700000</v>
      </c>
      <c r="H5" s="104" t="s">
        <v>218</v>
      </c>
      <c r="I5" s="105">
        <v>20</v>
      </c>
      <c r="J5" s="105">
        <f>G5*5%</f>
        <v>35000</v>
      </c>
      <c r="K5" s="103">
        <f t="shared" si="0"/>
        <v>140000</v>
      </c>
      <c r="L5" s="106">
        <f t="shared" si="1"/>
        <v>49000.000000000007</v>
      </c>
      <c r="M5" s="106">
        <f t="shared" si="2"/>
        <v>35000</v>
      </c>
    </row>
    <row r="6" spans="1:13" ht="18.75" x14ac:dyDescent="0.3">
      <c r="A6" s="130">
        <v>4</v>
      </c>
      <c r="B6" s="104" t="s">
        <v>127</v>
      </c>
      <c r="C6" s="104">
        <v>306918663</v>
      </c>
      <c r="D6" s="106"/>
      <c r="E6" s="104" t="s">
        <v>428</v>
      </c>
      <c r="F6" s="104" t="s">
        <v>428</v>
      </c>
      <c r="G6" s="122">
        <v>700000</v>
      </c>
      <c r="H6" s="104" t="s">
        <v>218</v>
      </c>
      <c r="I6" s="105">
        <v>20</v>
      </c>
      <c r="J6" s="105">
        <f>G6*5%</f>
        <v>35000</v>
      </c>
      <c r="K6" s="103">
        <f t="shared" si="0"/>
        <v>140000</v>
      </c>
      <c r="L6" s="106">
        <f t="shared" si="1"/>
        <v>49000.000000000007</v>
      </c>
      <c r="M6" s="106">
        <f t="shared" si="2"/>
        <v>35000</v>
      </c>
    </row>
    <row r="7" spans="1:13" ht="18.75" x14ac:dyDescent="0.3">
      <c r="A7" s="130">
        <v>5</v>
      </c>
      <c r="B7" s="104" t="s">
        <v>145</v>
      </c>
      <c r="C7" s="104">
        <v>307053253</v>
      </c>
      <c r="D7" s="106"/>
      <c r="E7" s="104" t="s">
        <v>218</v>
      </c>
      <c r="F7" s="104"/>
      <c r="G7" s="122">
        <v>0</v>
      </c>
      <c r="H7" s="104" t="s">
        <v>238</v>
      </c>
      <c r="I7" s="105">
        <v>20</v>
      </c>
      <c r="J7" s="105">
        <v>0</v>
      </c>
      <c r="K7" s="103">
        <f t="shared" si="0"/>
        <v>0</v>
      </c>
      <c r="L7" s="106">
        <f t="shared" si="1"/>
        <v>0</v>
      </c>
      <c r="M7" s="106">
        <f t="shared" si="2"/>
        <v>0</v>
      </c>
    </row>
    <row r="8" spans="1:13" ht="18.75" x14ac:dyDescent="0.3">
      <c r="A8" s="130">
        <v>6</v>
      </c>
      <c r="B8" s="107" t="s">
        <v>141</v>
      </c>
      <c r="C8" s="104">
        <v>307972154</v>
      </c>
      <c r="D8" s="106"/>
      <c r="E8" s="104" t="s">
        <v>590</v>
      </c>
      <c r="F8" s="104" t="s">
        <v>428</v>
      </c>
      <c r="G8" s="129">
        <v>700000</v>
      </c>
      <c r="H8" s="104" t="s">
        <v>308</v>
      </c>
      <c r="I8" s="105">
        <v>20</v>
      </c>
      <c r="J8" s="105">
        <f>G8*5%</f>
        <v>35000</v>
      </c>
      <c r="K8" s="103">
        <f t="shared" si="0"/>
        <v>140000</v>
      </c>
      <c r="L8" s="106">
        <f t="shared" si="1"/>
        <v>49000.000000000007</v>
      </c>
      <c r="M8" s="106">
        <f t="shared" si="2"/>
        <v>35000</v>
      </c>
    </row>
    <row r="9" spans="1:13" ht="18.75" x14ac:dyDescent="0.3">
      <c r="A9" s="130">
        <v>7</v>
      </c>
      <c r="B9" s="104" t="s">
        <v>153</v>
      </c>
      <c r="C9" s="104">
        <v>308435425</v>
      </c>
      <c r="D9" s="106"/>
      <c r="E9" s="104" t="s">
        <v>428</v>
      </c>
      <c r="F9" s="104" t="s">
        <v>428</v>
      </c>
      <c r="G9" s="122">
        <v>700000</v>
      </c>
      <c r="H9" s="104" t="s">
        <v>218</v>
      </c>
      <c r="I9" s="105">
        <v>20</v>
      </c>
      <c r="J9" s="105">
        <f t="shared" ref="J9:J11" si="3">G9*5%</f>
        <v>35000</v>
      </c>
      <c r="K9" s="103">
        <f t="shared" si="0"/>
        <v>140000</v>
      </c>
      <c r="L9" s="106">
        <f t="shared" si="1"/>
        <v>49000.000000000007</v>
      </c>
      <c r="M9" s="106">
        <f t="shared" si="2"/>
        <v>35000</v>
      </c>
    </row>
    <row r="10" spans="1:13" ht="18.75" x14ac:dyDescent="0.3">
      <c r="A10" s="130">
        <v>8</v>
      </c>
      <c r="B10" s="104" t="s">
        <v>112</v>
      </c>
      <c r="C10" s="104">
        <v>304825630</v>
      </c>
      <c r="D10" s="103" t="s">
        <v>55</v>
      </c>
      <c r="E10" s="104" t="s">
        <v>219</v>
      </c>
      <c r="F10" s="104" t="s">
        <v>428</v>
      </c>
      <c r="G10" s="122">
        <v>2000000</v>
      </c>
      <c r="H10" s="104" t="s">
        <v>218</v>
      </c>
      <c r="I10" s="105">
        <v>20</v>
      </c>
      <c r="J10" s="105">
        <f>G10*5%</f>
        <v>100000</v>
      </c>
      <c r="K10" s="103">
        <f t="shared" si="0"/>
        <v>400000</v>
      </c>
      <c r="L10" s="106">
        <f t="shared" si="1"/>
        <v>140000</v>
      </c>
      <c r="M10" s="106">
        <f t="shared" si="2"/>
        <v>100000</v>
      </c>
    </row>
    <row r="11" spans="1:13" ht="18.75" x14ac:dyDescent="0.3">
      <c r="A11" s="130">
        <v>9</v>
      </c>
      <c r="B11" s="118" t="s">
        <v>237</v>
      </c>
      <c r="C11" s="118">
        <v>309899654</v>
      </c>
      <c r="D11" s="95"/>
      <c r="E11" s="104" t="s">
        <v>224</v>
      </c>
      <c r="F11" s="104" t="s">
        <v>240</v>
      </c>
      <c r="G11" s="122">
        <v>6000000</v>
      </c>
      <c r="H11" s="104" t="s">
        <v>218</v>
      </c>
      <c r="I11" s="105">
        <v>20</v>
      </c>
      <c r="J11" s="105">
        <f t="shared" si="3"/>
        <v>300000</v>
      </c>
      <c r="K11" s="103">
        <f t="shared" si="0"/>
        <v>1200000</v>
      </c>
      <c r="L11" s="106">
        <f t="shared" si="1"/>
        <v>420000.00000000006</v>
      </c>
      <c r="M11" s="106">
        <f t="shared" si="2"/>
        <v>300000</v>
      </c>
    </row>
    <row r="12" spans="1:13" ht="18.75" x14ac:dyDescent="0.3">
      <c r="A12" s="130">
        <v>10</v>
      </c>
      <c r="B12" s="104" t="s">
        <v>139</v>
      </c>
      <c r="C12" s="104">
        <v>308023653</v>
      </c>
      <c r="D12" s="95" t="s">
        <v>55</v>
      </c>
      <c r="E12" s="104" t="s">
        <v>238</v>
      </c>
      <c r="F12" s="104" t="s">
        <v>240</v>
      </c>
      <c r="G12" s="122">
        <v>2500000</v>
      </c>
      <c r="H12" s="104" t="s">
        <v>218</v>
      </c>
      <c r="I12" s="105">
        <v>20</v>
      </c>
      <c r="J12" s="105">
        <f>G12*5%</f>
        <v>125000</v>
      </c>
      <c r="K12" s="103">
        <f t="shared" si="0"/>
        <v>500000</v>
      </c>
      <c r="L12" s="106">
        <f t="shared" ref="L12:L23" si="4">G12*7%</f>
        <v>175000.00000000003</v>
      </c>
      <c r="M12" s="106">
        <f t="shared" ref="M12:M23" si="5">G12*5%</f>
        <v>125000</v>
      </c>
    </row>
    <row r="13" spans="1:13" ht="18.75" x14ac:dyDescent="0.3">
      <c r="A13" s="130">
        <v>11</v>
      </c>
      <c r="B13" s="104" t="s">
        <v>213</v>
      </c>
      <c r="C13" s="104">
        <v>308820248</v>
      </c>
      <c r="D13" s="95" t="s">
        <v>55</v>
      </c>
      <c r="E13" s="104" t="s">
        <v>238</v>
      </c>
      <c r="F13" s="104" t="s">
        <v>240</v>
      </c>
      <c r="G13" s="122">
        <v>7000000</v>
      </c>
      <c r="H13" s="104" t="s">
        <v>218</v>
      </c>
      <c r="I13" s="105">
        <v>20</v>
      </c>
      <c r="J13" s="105">
        <f>G13*5%</f>
        <v>350000</v>
      </c>
      <c r="K13" s="103">
        <f t="shared" si="0"/>
        <v>1400000</v>
      </c>
      <c r="L13" s="106">
        <f t="shared" si="4"/>
        <v>490000.00000000006</v>
      </c>
      <c r="M13" s="106">
        <f t="shared" si="5"/>
        <v>350000</v>
      </c>
    </row>
    <row r="14" spans="1:13" ht="18.75" x14ac:dyDescent="0.3">
      <c r="A14" s="130">
        <v>12</v>
      </c>
      <c r="B14" s="104" t="s">
        <v>242</v>
      </c>
      <c r="C14" s="104">
        <v>310055812</v>
      </c>
      <c r="D14" s="95" t="s">
        <v>55</v>
      </c>
      <c r="E14" s="106" t="s">
        <v>217</v>
      </c>
      <c r="F14" s="104" t="s">
        <v>428</v>
      </c>
      <c r="G14" s="122">
        <v>4000000</v>
      </c>
      <c r="H14" s="104" t="s">
        <v>238</v>
      </c>
      <c r="I14" s="105">
        <v>20</v>
      </c>
      <c r="J14" s="105">
        <f>G14*5%</f>
        <v>200000</v>
      </c>
      <c r="K14" s="103">
        <f t="shared" si="0"/>
        <v>800000</v>
      </c>
      <c r="L14" s="106">
        <f t="shared" si="4"/>
        <v>280000</v>
      </c>
      <c r="M14" s="106">
        <f t="shared" si="5"/>
        <v>200000</v>
      </c>
    </row>
    <row r="15" spans="1:13" ht="18.75" x14ac:dyDescent="0.3">
      <c r="A15" s="130">
        <v>13</v>
      </c>
      <c r="B15" s="104" t="s">
        <v>214</v>
      </c>
      <c r="C15" s="104">
        <v>202536307</v>
      </c>
      <c r="D15" s="95" t="s">
        <v>55</v>
      </c>
      <c r="E15" s="104" t="s">
        <v>218</v>
      </c>
      <c r="F15" s="104"/>
      <c r="G15" s="122">
        <v>2000000</v>
      </c>
      <c r="H15" s="104" t="s">
        <v>238</v>
      </c>
      <c r="I15" s="105">
        <v>25</v>
      </c>
      <c r="J15" s="105">
        <v>0</v>
      </c>
      <c r="K15" s="103">
        <f t="shared" si="0"/>
        <v>500000</v>
      </c>
      <c r="L15" s="106">
        <f t="shared" si="4"/>
        <v>140000</v>
      </c>
      <c r="M15" s="106">
        <f t="shared" si="5"/>
        <v>100000</v>
      </c>
    </row>
    <row r="16" spans="1:13" ht="18.75" x14ac:dyDescent="0.3">
      <c r="A16" s="130">
        <v>14</v>
      </c>
      <c r="B16" s="104" t="s">
        <v>215</v>
      </c>
      <c r="C16" s="104">
        <v>304940229</v>
      </c>
      <c r="D16" s="95" t="s">
        <v>55</v>
      </c>
      <c r="E16" s="104" t="s">
        <v>218</v>
      </c>
      <c r="F16" s="104"/>
      <c r="G16" s="122">
        <v>0</v>
      </c>
      <c r="H16" s="104" t="s">
        <v>238</v>
      </c>
      <c r="I16" s="105">
        <v>20</v>
      </c>
      <c r="J16" s="105">
        <v>0</v>
      </c>
      <c r="K16" s="103">
        <f t="shared" si="0"/>
        <v>0</v>
      </c>
      <c r="L16" s="106">
        <f t="shared" si="4"/>
        <v>0</v>
      </c>
      <c r="M16" s="106">
        <f t="shared" si="5"/>
        <v>0</v>
      </c>
    </row>
    <row r="17" spans="1:13" ht="18.75" x14ac:dyDescent="0.3">
      <c r="A17" s="130">
        <v>15</v>
      </c>
      <c r="B17" s="104" t="s">
        <v>114</v>
      </c>
      <c r="C17" s="104">
        <v>305713761</v>
      </c>
      <c r="D17" s="103" t="s">
        <v>55</v>
      </c>
      <c r="E17" s="104" t="s">
        <v>309</v>
      </c>
      <c r="F17" s="104" t="s">
        <v>240</v>
      </c>
      <c r="G17" s="122">
        <v>3000000</v>
      </c>
      <c r="H17" s="104" t="s">
        <v>238</v>
      </c>
      <c r="I17" s="105">
        <v>20</v>
      </c>
      <c r="J17" s="105">
        <f>G17*5%</f>
        <v>150000</v>
      </c>
      <c r="K17" s="103">
        <f t="shared" si="0"/>
        <v>600000</v>
      </c>
      <c r="L17" s="106">
        <f t="shared" si="4"/>
        <v>210000.00000000003</v>
      </c>
      <c r="M17" s="106">
        <f t="shared" si="5"/>
        <v>150000</v>
      </c>
    </row>
    <row r="18" spans="1:13" ht="18.75" x14ac:dyDescent="0.3">
      <c r="A18" s="130">
        <v>16</v>
      </c>
      <c r="B18" s="104" t="s">
        <v>186</v>
      </c>
      <c r="C18" s="104">
        <v>306784151</v>
      </c>
      <c r="D18" s="111" t="s">
        <v>55</v>
      </c>
      <c r="E18" s="104" t="s">
        <v>308</v>
      </c>
      <c r="F18" s="104" t="s">
        <v>240</v>
      </c>
      <c r="G18" s="122">
        <v>3500000</v>
      </c>
      <c r="H18" s="104" t="s">
        <v>218</v>
      </c>
      <c r="I18" s="105">
        <v>20</v>
      </c>
      <c r="J18" s="105">
        <f>G18*5%</f>
        <v>175000</v>
      </c>
      <c r="K18" s="103">
        <f t="shared" si="0"/>
        <v>700000</v>
      </c>
      <c r="L18" s="106">
        <f t="shared" si="4"/>
        <v>245000.00000000003</v>
      </c>
      <c r="M18" s="106">
        <f t="shared" si="5"/>
        <v>175000</v>
      </c>
    </row>
    <row r="19" spans="1:13" ht="18.75" x14ac:dyDescent="0.3">
      <c r="A19" s="130">
        <v>17</v>
      </c>
      <c r="B19" s="104" t="s">
        <v>128</v>
      </c>
      <c r="C19" s="104">
        <v>307058508</v>
      </c>
      <c r="D19" s="111" t="s">
        <v>55</v>
      </c>
      <c r="E19" s="104" t="s">
        <v>218</v>
      </c>
      <c r="F19" s="104" t="s">
        <v>240</v>
      </c>
      <c r="G19" s="122">
        <v>25000000</v>
      </c>
      <c r="H19" s="104" t="s">
        <v>238</v>
      </c>
      <c r="I19" s="105">
        <v>20</v>
      </c>
      <c r="J19" s="105">
        <f>G19*5%</f>
        <v>1250000</v>
      </c>
      <c r="K19" s="103">
        <f t="shared" si="0"/>
        <v>5000000</v>
      </c>
      <c r="L19" s="106">
        <f t="shared" si="4"/>
        <v>1750000.0000000002</v>
      </c>
      <c r="M19" s="106">
        <f t="shared" si="5"/>
        <v>1250000</v>
      </c>
    </row>
    <row r="20" spans="1:13" ht="18.75" x14ac:dyDescent="0.3">
      <c r="A20" s="130">
        <v>18</v>
      </c>
      <c r="B20" s="104" t="s">
        <v>138</v>
      </c>
      <c r="C20" s="104">
        <v>307688389</v>
      </c>
      <c r="D20" s="95" t="s">
        <v>55</v>
      </c>
      <c r="E20" s="104" t="s">
        <v>590</v>
      </c>
      <c r="F20" s="104" t="s">
        <v>428</v>
      </c>
      <c r="G20" s="122">
        <v>1000000</v>
      </c>
      <c r="H20" s="104" t="s">
        <v>308</v>
      </c>
      <c r="I20" s="105">
        <v>20</v>
      </c>
      <c r="J20" s="105">
        <f>G20*5%</f>
        <v>50000</v>
      </c>
      <c r="K20" s="103">
        <f t="shared" si="0"/>
        <v>200000</v>
      </c>
      <c r="L20" s="106">
        <f t="shared" si="4"/>
        <v>70000</v>
      </c>
      <c r="M20" s="106">
        <f t="shared" si="5"/>
        <v>50000</v>
      </c>
    </row>
    <row r="21" spans="1:13" ht="37.5" x14ac:dyDescent="0.3">
      <c r="A21" s="130">
        <v>19</v>
      </c>
      <c r="B21" s="104" t="s">
        <v>134</v>
      </c>
      <c r="C21" s="104">
        <v>201250775</v>
      </c>
      <c r="D21" s="106"/>
      <c r="E21" s="106" t="s">
        <v>583</v>
      </c>
      <c r="F21" s="104"/>
      <c r="G21" s="122">
        <v>500000</v>
      </c>
      <c r="H21" s="239" t="s">
        <v>303</v>
      </c>
      <c r="I21" s="105">
        <v>20</v>
      </c>
      <c r="J21" s="105">
        <v>0</v>
      </c>
      <c r="K21" s="103">
        <f t="shared" si="0"/>
        <v>100000</v>
      </c>
      <c r="L21" s="106">
        <f t="shared" si="4"/>
        <v>35000</v>
      </c>
      <c r="M21" s="106">
        <f t="shared" si="5"/>
        <v>25000</v>
      </c>
    </row>
    <row r="22" spans="1:13" ht="18.75" x14ac:dyDescent="0.3">
      <c r="A22" s="130">
        <v>20</v>
      </c>
      <c r="B22" s="104" t="s">
        <v>299</v>
      </c>
      <c r="C22" s="104"/>
      <c r="D22" s="106"/>
      <c r="E22" s="104" t="s">
        <v>335</v>
      </c>
      <c r="F22" s="104" t="s">
        <v>240</v>
      </c>
      <c r="G22" s="122">
        <v>1000000</v>
      </c>
      <c r="H22" s="104" t="s">
        <v>218</v>
      </c>
      <c r="I22" s="105">
        <v>20</v>
      </c>
      <c r="J22" s="105">
        <f>G22*5%</f>
        <v>50000</v>
      </c>
      <c r="K22" s="103">
        <f t="shared" si="0"/>
        <v>200000</v>
      </c>
      <c r="L22" s="106">
        <f t="shared" si="4"/>
        <v>70000</v>
      </c>
      <c r="M22" s="106">
        <f t="shared" si="5"/>
        <v>50000</v>
      </c>
    </row>
    <row r="23" spans="1:13" ht="37.5" x14ac:dyDescent="0.3">
      <c r="A23" s="130">
        <v>21</v>
      </c>
      <c r="B23" s="104" t="s">
        <v>125</v>
      </c>
      <c r="C23" s="104">
        <v>307043621</v>
      </c>
      <c r="D23" s="106"/>
      <c r="E23" s="104" t="s">
        <v>589</v>
      </c>
      <c r="F23" s="104" t="s">
        <v>428</v>
      </c>
      <c r="G23" s="122">
        <v>1000000</v>
      </c>
      <c r="H23" s="104" t="s">
        <v>238</v>
      </c>
      <c r="I23" s="105">
        <v>20</v>
      </c>
      <c r="J23" s="105">
        <f>G23*5%</f>
        <v>50000</v>
      </c>
      <c r="K23" s="103">
        <f t="shared" si="0"/>
        <v>200000</v>
      </c>
      <c r="L23" s="106">
        <f t="shared" si="4"/>
        <v>70000</v>
      </c>
      <c r="M23" s="106">
        <f t="shared" si="5"/>
        <v>50000</v>
      </c>
    </row>
    <row r="24" spans="1:13" ht="18.75" x14ac:dyDescent="0.3">
      <c r="A24" s="130">
        <v>22</v>
      </c>
      <c r="B24" s="104" t="s">
        <v>254</v>
      </c>
      <c r="C24" s="104"/>
      <c r="D24" s="106"/>
      <c r="E24" s="104"/>
      <c r="F24" s="104"/>
      <c r="G24" s="122">
        <v>50000000</v>
      </c>
      <c r="H24" s="104"/>
      <c r="I24" s="105"/>
      <c r="J24" s="105"/>
      <c r="K24" s="103">
        <f t="shared" si="0"/>
        <v>0</v>
      </c>
      <c r="L24" s="170">
        <f>G24*5%</f>
        <v>2500000</v>
      </c>
      <c r="M24" s="106">
        <v>0</v>
      </c>
    </row>
    <row r="25" spans="1:13" ht="18.75" x14ac:dyDescent="0.3">
      <c r="A25" s="130">
        <v>23</v>
      </c>
      <c r="B25" s="104" t="s">
        <v>116</v>
      </c>
      <c r="C25" s="104">
        <v>305150198</v>
      </c>
      <c r="D25" s="103" t="s">
        <v>55</v>
      </c>
      <c r="E25" s="106" t="s">
        <v>583</v>
      </c>
      <c r="F25" s="104" t="s">
        <v>428</v>
      </c>
      <c r="G25" s="122">
        <v>500000</v>
      </c>
      <c r="H25" s="239" t="s">
        <v>303</v>
      </c>
      <c r="I25" s="105">
        <v>20</v>
      </c>
      <c r="J25" s="105">
        <f t="shared" ref="J25:J27" si="6">G25*5%</f>
        <v>25000</v>
      </c>
      <c r="K25" s="103">
        <f t="shared" ref="K25:K30" si="7">G25*I25%</f>
        <v>100000</v>
      </c>
      <c r="L25" s="106">
        <f t="shared" ref="L25:L30" si="8">G25*7%</f>
        <v>35000</v>
      </c>
      <c r="M25" s="106">
        <f t="shared" ref="M25:M30" si="9">G25*5%</f>
        <v>25000</v>
      </c>
    </row>
    <row r="26" spans="1:13" ht="18.75" x14ac:dyDescent="0.3">
      <c r="A26" s="130">
        <v>24</v>
      </c>
      <c r="B26" s="104" t="s">
        <v>136</v>
      </c>
      <c r="C26" s="104">
        <v>307829726</v>
      </c>
      <c r="D26" s="103" t="s">
        <v>55</v>
      </c>
      <c r="E26" s="106" t="s">
        <v>583</v>
      </c>
      <c r="F26" s="104" t="s">
        <v>428</v>
      </c>
      <c r="G26" s="122">
        <v>500000</v>
      </c>
      <c r="H26" s="239" t="s">
        <v>303</v>
      </c>
      <c r="I26" s="105">
        <v>20</v>
      </c>
      <c r="J26" s="105">
        <f t="shared" si="6"/>
        <v>25000</v>
      </c>
      <c r="K26" s="103">
        <f t="shared" si="7"/>
        <v>100000</v>
      </c>
      <c r="L26" s="106">
        <f t="shared" si="8"/>
        <v>35000</v>
      </c>
      <c r="M26" s="106">
        <f t="shared" si="9"/>
        <v>25000</v>
      </c>
    </row>
    <row r="27" spans="1:13" ht="18.75" x14ac:dyDescent="0.3">
      <c r="A27" s="130">
        <v>25</v>
      </c>
      <c r="B27" s="104" t="s">
        <v>120</v>
      </c>
      <c r="C27" s="104">
        <v>306116238</v>
      </c>
      <c r="D27" s="103" t="s">
        <v>55</v>
      </c>
      <c r="E27" s="104" t="s">
        <v>224</v>
      </c>
      <c r="F27" s="104" t="s">
        <v>428</v>
      </c>
      <c r="G27" s="122">
        <v>2300000</v>
      </c>
      <c r="H27" s="104" t="s">
        <v>218</v>
      </c>
      <c r="I27" s="105">
        <v>20</v>
      </c>
      <c r="J27" s="105">
        <f t="shared" si="6"/>
        <v>115000</v>
      </c>
      <c r="K27" s="103">
        <f t="shared" si="7"/>
        <v>460000</v>
      </c>
      <c r="L27" s="106">
        <f t="shared" si="8"/>
        <v>161000.00000000003</v>
      </c>
      <c r="M27" s="106">
        <f t="shared" si="9"/>
        <v>115000</v>
      </c>
    </row>
    <row r="28" spans="1:13" ht="18.75" x14ac:dyDescent="0.3">
      <c r="A28" s="130">
        <v>27</v>
      </c>
      <c r="B28" s="104" t="s">
        <v>314</v>
      </c>
      <c r="C28" s="104"/>
      <c r="D28" s="95"/>
      <c r="E28" s="104" t="s">
        <v>303</v>
      </c>
      <c r="F28" s="104" t="s">
        <v>240</v>
      </c>
      <c r="G28" s="122">
        <v>2500000</v>
      </c>
      <c r="H28" s="104" t="s">
        <v>218</v>
      </c>
      <c r="I28" s="105">
        <v>20</v>
      </c>
      <c r="J28" s="105">
        <f t="shared" ref="J28" si="10">G28*5%</f>
        <v>125000</v>
      </c>
      <c r="K28" s="103">
        <f t="shared" si="7"/>
        <v>500000</v>
      </c>
      <c r="L28" s="106">
        <f t="shared" si="8"/>
        <v>175000.00000000003</v>
      </c>
      <c r="M28" s="106">
        <f t="shared" si="9"/>
        <v>125000</v>
      </c>
    </row>
    <row r="29" spans="1:13" ht="25.5" customHeight="1" x14ac:dyDescent="0.3">
      <c r="A29" s="130">
        <v>28</v>
      </c>
      <c r="B29" s="107" t="s">
        <v>246</v>
      </c>
      <c r="C29" s="107">
        <v>309706846</v>
      </c>
      <c r="D29" s="108" t="s">
        <v>55</v>
      </c>
      <c r="E29" s="104" t="s">
        <v>217</v>
      </c>
      <c r="F29" s="107"/>
      <c r="G29" s="122"/>
      <c r="H29" s="104" t="s">
        <v>238</v>
      </c>
      <c r="I29" s="105">
        <v>20</v>
      </c>
      <c r="J29" s="105">
        <v>0</v>
      </c>
      <c r="K29" s="103">
        <f t="shared" si="7"/>
        <v>0</v>
      </c>
      <c r="L29" s="106">
        <f t="shared" si="8"/>
        <v>0</v>
      </c>
      <c r="M29" s="106">
        <f t="shared" si="9"/>
        <v>0</v>
      </c>
    </row>
    <row r="30" spans="1:13" ht="18.75" x14ac:dyDescent="0.3">
      <c r="A30" s="130">
        <v>29</v>
      </c>
      <c r="B30" s="104" t="s">
        <v>450</v>
      </c>
      <c r="C30" s="104"/>
      <c r="D30" s="103"/>
      <c r="E30" s="104" t="s">
        <v>217</v>
      </c>
      <c r="F30" s="104"/>
      <c r="G30" s="122"/>
      <c r="H30" s="104" t="s">
        <v>238</v>
      </c>
      <c r="I30" s="105">
        <v>20</v>
      </c>
      <c r="J30" s="105">
        <v>0</v>
      </c>
      <c r="K30" s="103">
        <f t="shared" si="7"/>
        <v>0</v>
      </c>
      <c r="L30" s="106">
        <f t="shared" si="8"/>
        <v>0</v>
      </c>
      <c r="M30" s="106">
        <f t="shared" si="9"/>
        <v>0</v>
      </c>
    </row>
    <row r="31" spans="1:13" ht="18.75" x14ac:dyDescent="0.3">
      <c r="A31" s="130">
        <v>30</v>
      </c>
      <c r="B31" s="104" t="s">
        <v>149</v>
      </c>
      <c r="C31" s="104">
        <v>308038910</v>
      </c>
      <c r="D31" s="106"/>
      <c r="E31" s="107" t="s">
        <v>217</v>
      </c>
      <c r="F31" s="104" t="s">
        <v>240</v>
      </c>
      <c r="G31" s="122">
        <v>1000000</v>
      </c>
      <c r="H31" s="104" t="s">
        <v>238</v>
      </c>
      <c r="I31" s="105">
        <v>20</v>
      </c>
      <c r="J31" s="105">
        <f>G31*5%</f>
        <v>50000</v>
      </c>
      <c r="K31" s="103">
        <f t="shared" ref="K31:K69" si="11">G31*I31%</f>
        <v>200000</v>
      </c>
      <c r="L31" s="106">
        <f t="shared" ref="L31:L65" si="12">G31*7%</f>
        <v>70000</v>
      </c>
      <c r="M31" s="106">
        <f>G31*5%</f>
        <v>50000</v>
      </c>
    </row>
    <row r="32" spans="1:13" ht="18.75" x14ac:dyDescent="0.3">
      <c r="A32" s="130">
        <v>31</v>
      </c>
      <c r="B32" s="107" t="s">
        <v>336</v>
      </c>
      <c r="C32" s="104"/>
      <c r="D32" s="95"/>
      <c r="E32" s="104" t="s">
        <v>217</v>
      </c>
      <c r="F32" s="104" t="s">
        <v>428</v>
      </c>
      <c r="G32" s="122">
        <v>2000000</v>
      </c>
      <c r="H32" s="104" t="s">
        <v>238</v>
      </c>
      <c r="I32" s="105">
        <v>20</v>
      </c>
      <c r="J32" s="105">
        <f>G32*5%</f>
        <v>100000</v>
      </c>
      <c r="K32" s="103">
        <f t="shared" si="11"/>
        <v>400000</v>
      </c>
      <c r="L32" s="106">
        <f t="shared" si="12"/>
        <v>140000</v>
      </c>
      <c r="M32" s="106">
        <v>0</v>
      </c>
    </row>
    <row r="33" spans="1:13" ht="18.75" x14ac:dyDescent="0.3">
      <c r="A33" s="130">
        <v>32</v>
      </c>
      <c r="B33" s="104" t="s">
        <v>133</v>
      </c>
      <c r="C33" s="104">
        <v>206155668</v>
      </c>
      <c r="D33" s="103" t="s">
        <v>55</v>
      </c>
      <c r="E33" s="104" t="s">
        <v>335</v>
      </c>
      <c r="F33" s="104" t="s">
        <v>240</v>
      </c>
      <c r="G33" s="122">
        <v>0</v>
      </c>
      <c r="H33" s="104" t="s">
        <v>218</v>
      </c>
      <c r="I33" s="105">
        <v>20</v>
      </c>
      <c r="J33" s="105">
        <f>G33*3%</f>
        <v>0</v>
      </c>
      <c r="K33" s="103">
        <f t="shared" si="11"/>
        <v>0</v>
      </c>
      <c r="L33" s="106">
        <f t="shared" si="12"/>
        <v>0</v>
      </c>
      <c r="M33" s="106">
        <f t="shared" ref="M33:M68" si="13">G33*5%</f>
        <v>0</v>
      </c>
    </row>
    <row r="34" spans="1:13" ht="37.5" x14ac:dyDescent="0.3">
      <c r="A34" s="130">
        <v>33</v>
      </c>
      <c r="B34" s="104" t="s">
        <v>104</v>
      </c>
      <c r="C34" s="104">
        <v>207189989</v>
      </c>
      <c r="D34" s="95" t="s">
        <v>55</v>
      </c>
      <c r="E34" s="104" t="s">
        <v>335</v>
      </c>
      <c r="F34" s="104" t="s">
        <v>428</v>
      </c>
      <c r="G34" s="122">
        <v>3500000</v>
      </c>
      <c r="H34" s="104" t="s">
        <v>218</v>
      </c>
      <c r="I34" s="105">
        <v>20</v>
      </c>
      <c r="J34" s="105">
        <f>G34*5%</f>
        <v>175000</v>
      </c>
      <c r="K34" s="103">
        <f t="shared" si="11"/>
        <v>700000</v>
      </c>
      <c r="L34" s="106">
        <f t="shared" si="12"/>
        <v>245000.00000000003</v>
      </c>
      <c r="M34" s="106">
        <f t="shared" si="13"/>
        <v>175000</v>
      </c>
    </row>
    <row r="35" spans="1:13" ht="37.5" x14ac:dyDescent="0.3">
      <c r="A35" s="130">
        <v>34</v>
      </c>
      <c r="B35" s="104" t="s">
        <v>173</v>
      </c>
      <c r="C35" s="104">
        <v>302813323</v>
      </c>
      <c r="D35" s="95" t="s">
        <v>55</v>
      </c>
      <c r="E35" s="104" t="s">
        <v>308</v>
      </c>
      <c r="F35" s="104"/>
      <c r="G35" s="122">
        <v>0</v>
      </c>
      <c r="H35" s="104" t="s">
        <v>218</v>
      </c>
      <c r="I35" s="105">
        <v>20</v>
      </c>
      <c r="J35" s="105">
        <f>G35*3%</f>
        <v>0</v>
      </c>
      <c r="K35" s="103">
        <f t="shared" si="11"/>
        <v>0</v>
      </c>
      <c r="L35" s="106">
        <f t="shared" si="12"/>
        <v>0</v>
      </c>
      <c r="M35" s="106">
        <f t="shared" si="13"/>
        <v>0</v>
      </c>
    </row>
    <row r="36" spans="1:13" ht="18.75" x14ac:dyDescent="0.3">
      <c r="A36" s="130">
        <v>35</v>
      </c>
      <c r="B36" s="104" t="s">
        <v>300</v>
      </c>
      <c r="C36" s="104"/>
      <c r="D36" s="95"/>
      <c r="E36" s="104" t="s">
        <v>219</v>
      </c>
      <c r="F36" s="104" t="s">
        <v>240</v>
      </c>
      <c r="G36" s="122">
        <v>1500000</v>
      </c>
      <c r="H36" s="104" t="s">
        <v>218</v>
      </c>
      <c r="I36" s="105">
        <v>20</v>
      </c>
      <c r="J36" s="105">
        <f t="shared" ref="J36:J45" si="14">G36*5%</f>
        <v>75000</v>
      </c>
      <c r="K36" s="103">
        <f t="shared" si="11"/>
        <v>300000</v>
      </c>
      <c r="L36" s="106">
        <f t="shared" si="12"/>
        <v>105000.00000000001</v>
      </c>
      <c r="M36" s="106">
        <f t="shared" si="13"/>
        <v>75000</v>
      </c>
    </row>
    <row r="37" spans="1:13" ht="18.75" x14ac:dyDescent="0.3">
      <c r="A37" s="130">
        <v>36</v>
      </c>
      <c r="B37" s="104" t="s">
        <v>318</v>
      </c>
      <c r="C37" s="104"/>
      <c r="D37" s="111"/>
      <c r="E37" s="104" t="s">
        <v>217</v>
      </c>
      <c r="F37" s="104" t="s">
        <v>240</v>
      </c>
      <c r="G37" s="122">
        <v>2000000</v>
      </c>
      <c r="H37" s="104" t="s">
        <v>238</v>
      </c>
      <c r="I37" s="105">
        <v>20</v>
      </c>
      <c r="J37" s="105">
        <f t="shared" si="14"/>
        <v>100000</v>
      </c>
      <c r="K37" s="103">
        <f t="shared" si="11"/>
        <v>400000</v>
      </c>
      <c r="L37" s="106">
        <f t="shared" si="12"/>
        <v>140000</v>
      </c>
      <c r="M37" s="106">
        <f t="shared" si="13"/>
        <v>100000</v>
      </c>
    </row>
    <row r="38" spans="1:13" ht="37.5" x14ac:dyDescent="0.3">
      <c r="A38" s="130">
        <v>37</v>
      </c>
      <c r="B38" s="104" t="s">
        <v>147</v>
      </c>
      <c r="C38" s="104">
        <v>307205799</v>
      </c>
      <c r="D38" s="103" t="s">
        <v>55</v>
      </c>
      <c r="E38" s="106" t="s">
        <v>468</v>
      </c>
      <c r="F38" s="104" t="s">
        <v>428</v>
      </c>
      <c r="G38" s="122">
        <v>700000</v>
      </c>
      <c r="H38" s="104" t="s">
        <v>238</v>
      </c>
      <c r="I38" s="105">
        <v>20</v>
      </c>
      <c r="J38" s="105">
        <f t="shared" si="14"/>
        <v>35000</v>
      </c>
      <c r="K38" s="103">
        <f t="shared" si="11"/>
        <v>140000</v>
      </c>
      <c r="L38" s="106">
        <f t="shared" si="12"/>
        <v>49000.000000000007</v>
      </c>
      <c r="M38" s="106">
        <f t="shared" si="13"/>
        <v>35000</v>
      </c>
    </row>
    <row r="39" spans="1:13" ht="18.75" x14ac:dyDescent="0.3">
      <c r="A39" s="130">
        <v>38</v>
      </c>
      <c r="B39" s="104" t="s">
        <v>154</v>
      </c>
      <c r="C39" s="104">
        <v>307947611</v>
      </c>
      <c r="D39" s="95" t="s">
        <v>55</v>
      </c>
      <c r="E39" s="104" t="s">
        <v>599</v>
      </c>
      <c r="F39" s="104" t="s">
        <v>428</v>
      </c>
      <c r="G39" s="122">
        <v>500000</v>
      </c>
      <c r="H39" s="104" t="s">
        <v>308</v>
      </c>
      <c r="I39" s="105">
        <v>20</v>
      </c>
      <c r="J39" s="105">
        <f t="shared" si="14"/>
        <v>25000</v>
      </c>
      <c r="K39" s="103">
        <f t="shared" si="11"/>
        <v>100000</v>
      </c>
      <c r="L39" s="106">
        <f t="shared" si="12"/>
        <v>35000</v>
      </c>
      <c r="M39" s="106">
        <f t="shared" si="13"/>
        <v>25000</v>
      </c>
    </row>
    <row r="40" spans="1:13" ht="37.5" x14ac:dyDescent="0.3">
      <c r="A40" s="130">
        <v>39</v>
      </c>
      <c r="B40" s="104" t="s">
        <v>212</v>
      </c>
      <c r="C40" s="104">
        <v>309238352</v>
      </c>
      <c r="D40" s="106"/>
      <c r="E40" s="107" t="s">
        <v>394</v>
      </c>
      <c r="F40" s="104" t="s">
        <v>240</v>
      </c>
      <c r="G40" s="122">
        <v>1000000</v>
      </c>
      <c r="H40" s="104" t="s">
        <v>218</v>
      </c>
      <c r="I40" s="105">
        <v>20</v>
      </c>
      <c r="J40" s="105">
        <f t="shared" si="14"/>
        <v>50000</v>
      </c>
      <c r="K40" s="103">
        <f t="shared" si="11"/>
        <v>200000</v>
      </c>
      <c r="L40" s="106">
        <f t="shared" si="12"/>
        <v>70000</v>
      </c>
      <c r="M40" s="106">
        <f t="shared" si="13"/>
        <v>50000</v>
      </c>
    </row>
    <row r="41" spans="1:13" ht="41.25" customHeight="1" x14ac:dyDescent="0.3">
      <c r="A41" s="130">
        <v>40</v>
      </c>
      <c r="B41" s="104" t="s">
        <v>129</v>
      </c>
      <c r="C41" s="104">
        <v>207314302</v>
      </c>
      <c r="D41" s="106"/>
      <c r="E41" s="104" t="s">
        <v>224</v>
      </c>
      <c r="F41" s="104" t="s">
        <v>240</v>
      </c>
      <c r="G41" s="122">
        <v>800000</v>
      </c>
      <c r="H41" s="104" t="s">
        <v>218</v>
      </c>
      <c r="I41" s="105">
        <v>20</v>
      </c>
      <c r="J41" s="105">
        <f t="shared" si="14"/>
        <v>40000</v>
      </c>
      <c r="K41" s="103">
        <f t="shared" si="11"/>
        <v>160000</v>
      </c>
      <c r="L41" s="106">
        <f t="shared" si="12"/>
        <v>56000.000000000007</v>
      </c>
      <c r="M41" s="106">
        <f t="shared" si="13"/>
        <v>40000</v>
      </c>
    </row>
    <row r="42" spans="1:13" ht="37.5" x14ac:dyDescent="0.3">
      <c r="A42" s="130">
        <v>41</v>
      </c>
      <c r="B42" s="104" t="s">
        <v>137</v>
      </c>
      <c r="C42" s="104">
        <v>207324203</v>
      </c>
      <c r="D42" s="106"/>
      <c r="E42" s="104" t="s">
        <v>224</v>
      </c>
      <c r="F42" s="104" t="s">
        <v>240</v>
      </c>
      <c r="G42" s="122">
        <v>500000</v>
      </c>
      <c r="H42" s="104" t="s">
        <v>218</v>
      </c>
      <c r="I42" s="105">
        <v>20</v>
      </c>
      <c r="J42" s="105">
        <f t="shared" si="14"/>
        <v>25000</v>
      </c>
      <c r="K42" s="103">
        <f t="shared" si="11"/>
        <v>100000</v>
      </c>
      <c r="L42" s="106">
        <f t="shared" si="12"/>
        <v>35000</v>
      </c>
      <c r="M42" s="106">
        <f t="shared" si="13"/>
        <v>25000</v>
      </c>
    </row>
    <row r="43" spans="1:13" ht="18.75" x14ac:dyDescent="0.3">
      <c r="A43" s="130">
        <v>42</v>
      </c>
      <c r="B43" s="104" t="s">
        <v>107</v>
      </c>
      <c r="C43" s="104">
        <v>303451710</v>
      </c>
      <c r="D43" s="106"/>
      <c r="E43" s="104" t="s">
        <v>468</v>
      </c>
      <c r="F43" s="104" t="s">
        <v>428</v>
      </c>
      <c r="G43" s="122">
        <v>1500000</v>
      </c>
      <c r="H43" s="104" t="s">
        <v>238</v>
      </c>
      <c r="I43" s="105">
        <v>20</v>
      </c>
      <c r="J43" s="105">
        <f t="shared" si="14"/>
        <v>75000</v>
      </c>
      <c r="K43" s="103">
        <f t="shared" si="11"/>
        <v>300000</v>
      </c>
      <c r="L43" s="106">
        <f t="shared" si="12"/>
        <v>105000.00000000001</v>
      </c>
      <c r="M43" s="106">
        <f t="shared" si="13"/>
        <v>75000</v>
      </c>
    </row>
    <row r="44" spans="1:13" ht="18.75" x14ac:dyDescent="0.3">
      <c r="A44" s="130">
        <v>43</v>
      </c>
      <c r="B44" s="107" t="s">
        <v>142</v>
      </c>
      <c r="C44" s="104">
        <v>307077420</v>
      </c>
      <c r="D44" s="106"/>
      <c r="E44" s="104" t="s">
        <v>428</v>
      </c>
      <c r="F44" s="104" t="s">
        <v>428</v>
      </c>
      <c r="G44" s="122">
        <v>400000</v>
      </c>
      <c r="H44" s="104" t="s">
        <v>218</v>
      </c>
      <c r="I44" s="105">
        <v>20</v>
      </c>
      <c r="J44" s="105">
        <f t="shared" si="14"/>
        <v>20000</v>
      </c>
      <c r="K44" s="103">
        <f t="shared" si="11"/>
        <v>80000</v>
      </c>
      <c r="L44" s="106">
        <f t="shared" si="12"/>
        <v>28000.000000000004</v>
      </c>
      <c r="M44" s="106">
        <f t="shared" si="13"/>
        <v>20000</v>
      </c>
    </row>
    <row r="45" spans="1:13" ht="18.75" x14ac:dyDescent="0.3">
      <c r="A45" s="130">
        <v>44</v>
      </c>
      <c r="B45" s="104" t="s">
        <v>126</v>
      </c>
      <c r="C45" s="104">
        <v>307159792</v>
      </c>
      <c r="D45" s="106"/>
      <c r="E45" s="104" t="s">
        <v>224</v>
      </c>
      <c r="F45" s="104" t="s">
        <v>240</v>
      </c>
      <c r="G45" s="122">
        <v>2000000</v>
      </c>
      <c r="H45" s="104" t="s">
        <v>218</v>
      </c>
      <c r="I45" s="105">
        <v>20</v>
      </c>
      <c r="J45" s="105">
        <f t="shared" si="14"/>
        <v>100000</v>
      </c>
      <c r="K45" s="103">
        <f t="shared" si="11"/>
        <v>400000</v>
      </c>
      <c r="L45" s="106">
        <f t="shared" si="12"/>
        <v>140000</v>
      </c>
      <c r="M45" s="106">
        <f t="shared" si="13"/>
        <v>100000</v>
      </c>
    </row>
    <row r="46" spans="1:13" ht="37.5" x14ac:dyDescent="0.3">
      <c r="A46" s="130">
        <v>45</v>
      </c>
      <c r="B46" s="101" t="s">
        <v>229</v>
      </c>
      <c r="C46" s="101">
        <v>303328933</v>
      </c>
      <c r="D46" s="98" t="s">
        <v>55</v>
      </c>
      <c r="E46" s="67" t="s">
        <v>303</v>
      </c>
      <c r="F46" s="101"/>
      <c r="G46" s="129">
        <v>4000000</v>
      </c>
      <c r="H46" s="104" t="s">
        <v>218</v>
      </c>
      <c r="I46" s="112">
        <v>20</v>
      </c>
      <c r="J46" s="105">
        <v>0</v>
      </c>
      <c r="K46" s="103">
        <f t="shared" si="11"/>
        <v>800000</v>
      </c>
      <c r="L46" s="106">
        <f t="shared" si="12"/>
        <v>280000</v>
      </c>
      <c r="M46" s="106">
        <f t="shared" si="13"/>
        <v>200000</v>
      </c>
    </row>
    <row r="47" spans="1:13" ht="37.5" x14ac:dyDescent="0.3">
      <c r="A47" s="130">
        <v>46</v>
      </c>
      <c r="B47" s="104" t="s">
        <v>211</v>
      </c>
      <c r="C47" s="104">
        <v>309188899</v>
      </c>
      <c r="D47" s="106"/>
      <c r="E47" s="104" t="s">
        <v>394</v>
      </c>
      <c r="F47" s="104" t="s">
        <v>240</v>
      </c>
      <c r="G47" s="122">
        <v>700000</v>
      </c>
      <c r="H47" s="104" t="s">
        <v>218</v>
      </c>
      <c r="I47" s="105">
        <v>20</v>
      </c>
      <c r="J47" s="105">
        <f>G47*5%</f>
        <v>35000</v>
      </c>
      <c r="K47" s="103">
        <f t="shared" si="11"/>
        <v>140000</v>
      </c>
      <c r="L47" s="106">
        <f t="shared" si="12"/>
        <v>49000.000000000007</v>
      </c>
      <c r="M47" s="106">
        <f t="shared" si="13"/>
        <v>35000</v>
      </c>
    </row>
    <row r="48" spans="1:13" ht="18.75" x14ac:dyDescent="0.3">
      <c r="A48" s="130">
        <v>47</v>
      </c>
      <c r="B48" s="101" t="s">
        <v>223</v>
      </c>
      <c r="C48" s="101">
        <v>309610674</v>
      </c>
      <c r="D48" s="121"/>
      <c r="E48" s="67" t="s">
        <v>394</v>
      </c>
      <c r="F48" s="101" t="s">
        <v>240</v>
      </c>
      <c r="G48" s="129">
        <v>1000000</v>
      </c>
      <c r="H48" s="104" t="s">
        <v>218</v>
      </c>
      <c r="I48" s="105">
        <v>20</v>
      </c>
      <c r="J48" s="105">
        <f>G48*5%</f>
        <v>50000</v>
      </c>
      <c r="K48" s="103">
        <f t="shared" si="11"/>
        <v>200000</v>
      </c>
      <c r="L48" s="106">
        <f t="shared" si="12"/>
        <v>70000</v>
      </c>
      <c r="M48" s="106">
        <f t="shared" si="13"/>
        <v>50000</v>
      </c>
    </row>
    <row r="49" spans="1:13" ht="18.75" x14ac:dyDescent="0.3">
      <c r="A49" s="130">
        <v>48</v>
      </c>
      <c r="B49" s="104" t="s">
        <v>132</v>
      </c>
      <c r="C49" s="104">
        <v>307446998</v>
      </c>
      <c r="D49" s="95" t="s">
        <v>55</v>
      </c>
      <c r="E49" s="104" t="s">
        <v>224</v>
      </c>
      <c r="F49" s="104"/>
      <c r="G49" s="122">
        <v>3000000</v>
      </c>
      <c r="H49" s="104" t="s">
        <v>218</v>
      </c>
      <c r="I49" s="105">
        <v>20</v>
      </c>
      <c r="J49" s="105">
        <v>0</v>
      </c>
      <c r="K49" s="103">
        <f t="shared" si="11"/>
        <v>600000</v>
      </c>
      <c r="L49" s="106">
        <f t="shared" si="12"/>
        <v>210000.00000000003</v>
      </c>
      <c r="M49" s="106">
        <f t="shared" si="13"/>
        <v>150000</v>
      </c>
    </row>
    <row r="50" spans="1:13" ht="37.5" x14ac:dyDescent="0.3">
      <c r="A50" s="130">
        <v>49</v>
      </c>
      <c r="B50" s="104" t="s">
        <v>183</v>
      </c>
      <c r="C50" s="104">
        <v>308763019</v>
      </c>
      <c r="D50" s="106"/>
      <c r="E50" s="104" t="s">
        <v>335</v>
      </c>
      <c r="F50" s="104" t="s">
        <v>240</v>
      </c>
      <c r="G50" s="122">
        <v>1000000</v>
      </c>
      <c r="H50" s="104" t="s">
        <v>218</v>
      </c>
      <c r="I50" s="105">
        <v>20</v>
      </c>
      <c r="J50" s="105">
        <f t="shared" ref="J50:J58" si="15">G50*5%</f>
        <v>50000</v>
      </c>
      <c r="K50" s="103">
        <f t="shared" si="11"/>
        <v>200000</v>
      </c>
      <c r="L50" s="106">
        <f t="shared" si="12"/>
        <v>70000</v>
      </c>
      <c r="M50" s="106">
        <f t="shared" si="13"/>
        <v>50000</v>
      </c>
    </row>
    <row r="51" spans="1:13" ht="37.5" x14ac:dyDescent="0.3">
      <c r="A51" s="130">
        <v>50</v>
      </c>
      <c r="B51" s="104" t="s">
        <v>110</v>
      </c>
      <c r="C51" s="104">
        <v>304107369</v>
      </c>
      <c r="D51" s="103" t="s">
        <v>55</v>
      </c>
      <c r="E51" s="104" t="s">
        <v>335</v>
      </c>
      <c r="F51" s="104" t="s">
        <v>428</v>
      </c>
      <c r="G51" s="122">
        <v>2000000</v>
      </c>
      <c r="H51" s="104" t="s">
        <v>218</v>
      </c>
      <c r="I51" s="105">
        <v>20</v>
      </c>
      <c r="J51" s="105">
        <f t="shared" si="15"/>
        <v>100000</v>
      </c>
      <c r="K51" s="103">
        <f t="shared" si="11"/>
        <v>400000</v>
      </c>
      <c r="L51" s="106">
        <f t="shared" si="12"/>
        <v>140000</v>
      </c>
      <c r="M51" s="106">
        <f t="shared" si="13"/>
        <v>100000</v>
      </c>
    </row>
    <row r="52" spans="1:13" ht="18.75" x14ac:dyDescent="0.3">
      <c r="A52" s="130">
        <v>51</v>
      </c>
      <c r="B52" s="104" t="s">
        <v>231</v>
      </c>
      <c r="C52" s="104">
        <v>305610162</v>
      </c>
      <c r="D52" s="103" t="s">
        <v>55</v>
      </c>
      <c r="E52" s="106" t="s">
        <v>309</v>
      </c>
      <c r="F52" s="104" t="s">
        <v>240</v>
      </c>
      <c r="G52" s="122">
        <v>2500000</v>
      </c>
      <c r="H52" s="104" t="s">
        <v>218</v>
      </c>
      <c r="I52" s="105">
        <v>20</v>
      </c>
      <c r="J52" s="105">
        <f t="shared" si="15"/>
        <v>125000</v>
      </c>
      <c r="K52" s="103">
        <f t="shared" si="11"/>
        <v>500000</v>
      </c>
      <c r="L52" s="106">
        <f t="shared" si="12"/>
        <v>175000.00000000003</v>
      </c>
      <c r="M52" s="106">
        <f t="shared" si="13"/>
        <v>125000</v>
      </c>
    </row>
    <row r="53" spans="1:13" ht="18.75" x14ac:dyDescent="0.3">
      <c r="A53" s="130">
        <v>52</v>
      </c>
      <c r="B53" s="104" t="s">
        <v>315</v>
      </c>
      <c r="C53" s="104"/>
      <c r="D53" s="103"/>
      <c r="E53" s="104" t="s">
        <v>217</v>
      </c>
      <c r="F53" s="104" t="s">
        <v>240</v>
      </c>
      <c r="G53" s="122">
        <v>1000000</v>
      </c>
      <c r="H53" s="104" t="s">
        <v>238</v>
      </c>
      <c r="I53" s="105">
        <v>20</v>
      </c>
      <c r="J53" s="105">
        <f t="shared" si="15"/>
        <v>50000</v>
      </c>
      <c r="K53" s="103">
        <f t="shared" si="11"/>
        <v>200000</v>
      </c>
      <c r="L53" s="106">
        <f t="shared" si="12"/>
        <v>70000</v>
      </c>
      <c r="M53" s="106">
        <f t="shared" si="13"/>
        <v>50000</v>
      </c>
    </row>
    <row r="54" spans="1:13" ht="18.75" x14ac:dyDescent="0.3">
      <c r="A54" s="130">
        <v>53</v>
      </c>
      <c r="B54" s="104" t="s">
        <v>216</v>
      </c>
      <c r="C54" s="104">
        <v>308836242</v>
      </c>
      <c r="D54" s="103" t="s">
        <v>55</v>
      </c>
      <c r="E54" s="104" t="s">
        <v>308</v>
      </c>
      <c r="F54" s="104" t="s">
        <v>240</v>
      </c>
      <c r="G54" s="122">
        <v>1500000</v>
      </c>
      <c r="H54" s="104" t="s">
        <v>218</v>
      </c>
      <c r="I54" s="105">
        <v>20</v>
      </c>
      <c r="J54" s="105">
        <f t="shared" si="15"/>
        <v>75000</v>
      </c>
      <c r="K54" s="103">
        <f t="shared" si="11"/>
        <v>300000</v>
      </c>
      <c r="L54" s="106">
        <f t="shared" si="12"/>
        <v>105000.00000000001</v>
      </c>
      <c r="M54" s="106">
        <f t="shared" si="13"/>
        <v>75000</v>
      </c>
    </row>
    <row r="55" spans="1:13" ht="18.75" x14ac:dyDescent="0.3">
      <c r="A55" s="130">
        <v>54</v>
      </c>
      <c r="B55" s="107" t="s">
        <v>307</v>
      </c>
      <c r="C55" s="107"/>
      <c r="D55" s="96"/>
      <c r="E55" s="107" t="s">
        <v>218</v>
      </c>
      <c r="F55" s="104" t="s">
        <v>240</v>
      </c>
      <c r="G55" s="122">
        <v>1000000</v>
      </c>
      <c r="H55" s="104" t="s">
        <v>238</v>
      </c>
      <c r="I55" s="105">
        <v>20</v>
      </c>
      <c r="J55" s="105">
        <f t="shared" si="15"/>
        <v>50000</v>
      </c>
      <c r="K55" s="103">
        <f t="shared" si="11"/>
        <v>200000</v>
      </c>
      <c r="L55" s="106">
        <f t="shared" si="12"/>
        <v>70000</v>
      </c>
      <c r="M55" s="106">
        <f t="shared" si="13"/>
        <v>50000</v>
      </c>
    </row>
    <row r="56" spans="1:13" ht="18.75" x14ac:dyDescent="0.3">
      <c r="A56" s="130">
        <v>55</v>
      </c>
      <c r="B56" s="104" t="s">
        <v>227</v>
      </c>
      <c r="C56" s="104">
        <v>307409092</v>
      </c>
      <c r="D56" s="95"/>
      <c r="E56" s="104" t="s">
        <v>217</v>
      </c>
      <c r="F56" s="104" t="s">
        <v>428</v>
      </c>
      <c r="G56" s="122">
        <v>1500000</v>
      </c>
      <c r="H56" s="104" t="s">
        <v>238</v>
      </c>
      <c r="I56" s="105">
        <v>20</v>
      </c>
      <c r="J56" s="105">
        <f t="shared" si="15"/>
        <v>75000</v>
      </c>
      <c r="K56" s="103">
        <f t="shared" si="11"/>
        <v>300000</v>
      </c>
      <c r="L56" s="106">
        <f t="shared" si="12"/>
        <v>105000.00000000001</v>
      </c>
      <c r="M56" s="106">
        <f t="shared" si="13"/>
        <v>75000</v>
      </c>
    </row>
    <row r="57" spans="1:13" ht="18.75" x14ac:dyDescent="0.3">
      <c r="A57" s="130">
        <v>56</v>
      </c>
      <c r="B57" s="104" t="s">
        <v>109</v>
      </c>
      <c r="C57" s="104">
        <v>303408381</v>
      </c>
      <c r="D57" s="103" t="s">
        <v>55</v>
      </c>
      <c r="E57" s="104" t="s">
        <v>309</v>
      </c>
      <c r="F57" s="104" t="s">
        <v>240</v>
      </c>
      <c r="G57" s="122">
        <v>4000000</v>
      </c>
      <c r="H57" s="104" t="s">
        <v>238</v>
      </c>
      <c r="I57" s="105">
        <v>20</v>
      </c>
      <c r="J57" s="105">
        <f t="shared" si="15"/>
        <v>200000</v>
      </c>
      <c r="K57" s="103">
        <f t="shared" si="11"/>
        <v>800000</v>
      </c>
      <c r="L57" s="106">
        <f t="shared" si="12"/>
        <v>280000</v>
      </c>
      <c r="M57" s="106">
        <f t="shared" si="13"/>
        <v>200000</v>
      </c>
    </row>
    <row r="58" spans="1:13" ht="18.75" x14ac:dyDescent="0.3">
      <c r="A58" s="130">
        <v>57</v>
      </c>
      <c r="B58" s="104" t="s">
        <v>192</v>
      </c>
      <c r="C58" s="104">
        <v>305979201</v>
      </c>
      <c r="D58" s="95" t="s">
        <v>55</v>
      </c>
      <c r="E58" s="104" t="s">
        <v>309</v>
      </c>
      <c r="F58" s="104" t="s">
        <v>240</v>
      </c>
      <c r="G58" s="129">
        <v>2500000</v>
      </c>
      <c r="H58" s="104" t="s">
        <v>218</v>
      </c>
      <c r="I58" s="105">
        <v>20</v>
      </c>
      <c r="J58" s="105">
        <f t="shared" si="15"/>
        <v>125000</v>
      </c>
      <c r="K58" s="108">
        <f t="shared" si="11"/>
        <v>500000</v>
      </c>
      <c r="L58" s="106">
        <f t="shared" si="12"/>
        <v>175000.00000000003</v>
      </c>
      <c r="M58" s="106">
        <f t="shared" si="13"/>
        <v>125000</v>
      </c>
    </row>
    <row r="59" spans="1:13" ht="37.5" x14ac:dyDescent="0.3">
      <c r="A59" s="130">
        <v>58</v>
      </c>
      <c r="B59" s="104" t="s">
        <v>248</v>
      </c>
      <c r="C59" s="104">
        <v>306672520</v>
      </c>
      <c r="D59" s="95" t="s">
        <v>55</v>
      </c>
      <c r="E59" s="104" t="s">
        <v>238</v>
      </c>
      <c r="F59" s="104"/>
      <c r="G59" s="122">
        <v>4000000</v>
      </c>
      <c r="H59" s="104" t="s">
        <v>218</v>
      </c>
      <c r="I59" s="105">
        <v>20</v>
      </c>
      <c r="J59" s="105">
        <v>0</v>
      </c>
      <c r="K59" s="108">
        <f t="shared" si="11"/>
        <v>800000</v>
      </c>
      <c r="L59" s="106">
        <f t="shared" si="12"/>
        <v>280000</v>
      </c>
      <c r="M59" s="106">
        <f t="shared" si="13"/>
        <v>200000</v>
      </c>
    </row>
    <row r="60" spans="1:13" ht="18.75" x14ac:dyDescent="0.3">
      <c r="A60" s="130">
        <v>59</v>
      </c>
      <c r="B60" s="104" t="s">
        <v>150</v>
      </c>
      <c r="C60" s="104">
        <v>308234589</v>
      </c>
      <c r="D60" s="103" t="s">
        <v>55</v>
      </c>
      <c r="E60" s="104" t="s">
        <v>335</v>
      </c>
      <c r="F60" s="104" t="s">
        <v>428</v>
      </c>
      <c r="G60" s="122">
        <v>700000</v>
      </c>
      <c r="H60" s="104" t="s">
        <v>218</v>
      </c>
      <c r="I60" s="105">
        <v>20</v>
      </c>
      <c r="J60" s="105">
        <f>G60*5%</f>
        <v>35000</v>
      </c>
      <c r="K60" s="103">
        <f t="shared" si="11"/>
        <v>140000</v>
      </c>
      <c r="L60" s="106">
        <f t="shared" si="12"/>
        <v>49000.000000000007</v>
      </c>
      <c r="M60" s="106">
        <f t="shared" si="13"/>
        <v>35000</v>
      </c>
    </row>
    <row r="61" spans="1:13" ht="18.75" x14ac:dyDescent="0.3">
      <c r="A61" s="130">
        <v>60</v>
      </c>
      <c r="B61" s="104" t="s">
        <v>232</v>
      </c>
      <c r="C61" s="104">
        <v>306774385</v>
      </c>
      <c r="D61" s="111" t="s">
        <v>55</v>
      </c>
      <c r="E61" s="104" t="s">
        <v>308</v>
      </c>
      <c r="F61" s="104" t="s">
        <v>240</v>
      </c>
      <c r="G61" s="122">
        <v>4350000</v>
      </c>
      <c r="H61" s="104" t="s">
        <v>218</v>
      </c>
      <c r="I61" s="105">
        <v>20</v>
      </c>
      <c r="J61" s="105">
        <f>G61*5%</f>
        <v>217500</v>
      </c>
      <c r="K61" s="103">
        <f t="shared" si="11"/>
        <v>870000</v>
      </c>
      <c r="L61" s="106">
        <f t="shared" si="12"/>
        <v>304500</v>
      </c>
      <c r="M61" s="106">
        <f t="shared" si="13"/>
        <v>217500</v>
      </c>
    </row>
    <row r="62" spans="1:13" ht="18.75" x14ac:dyDescent="0.3">
      <c r="A62" s="130">
        <v>61</v>
      </c>
      <c r="B62" s="120" t="s">
        <v>236</v>
      </c>
      <c r="C62" s="120">
        <v>309695560</v>
      </c>
      <c r="D62" s="95"/>
      <c r="E62" s="104" t="s">
        <v>309</v>
      </c>
      <c r="F62" s="104" t="s">
        <v>428</v>
      </c>
      <c r="G62" s="122">
        <v>0</v>
      </c>
      <c r="H62" s="104" t="s">
        <v>218</v>
      </c>
      <c r="I62" s="105">
        <v>20</v>
      </c>
      <c r="J62" s="105">
        <f>G62*5%</f>
        <v>0</v>
      </c>
      <c r="K62" s="103">
        <f t="shared" si="11"/>
        <v>0</v>
      </c>
      <c r="L62" s="106">
        <f t="shared" si="12"/>
        <v>0</v>
      </c>
      <c r="M62" s="106">
        <f t="shared" si="13"/>
        <v>0</v>
      </c>
    </row>
    <row r="63" spans="1:13" ht="18.75" x14ac:dyDescent="0.3">
      <c r="A63" s="130">
        <v>62</v>
      </c>
      <c r="B63" s="104" t="s">
        <v>239</v>
      </c>
      <c r="C63" s="104"/>
      <c r="D63" s="95" t="s">
        <v>55</v>
      </c>
      <c r="E63" s="104" t="s">
        <v>303</v>
      </c>
      <c r="F63" s="104"/>
      <c r="G63" s="122">
        <v>5000000</v>
      </c>
      <c r="H63" s="104" t="s">
        <v>218</v>
      </c>
      <c r="I63" s="105">
        <v>20</v>
      </c>
      <c r="J63" s="105">
        <v>0</v>
      </c>
      <c r="K63" s="108">
        <f t="shared" si="11"/>
        <v>1000000</v>
      </c>
      <c r="L63" s="106">
        <f t="shared" si="12"/>
        <v>350000.00000000006</v>
      </c>
      <c r="M63" s="106">
        <f t="shared" si="13"/>
        <v>250000</v>
      </c>
    </row>
    <row r="64" spans="1:13" ht="18.75" x14ac:dyDescent="0.3">
      <c r="A64" s="130">
        <v>63</v>
      </c>
      <c r="B64" s="107" t="s">
        <v>255</v>
      </c>
      <c r="C64" s="107"/>
      <c r="D64" s="108"/>
      <c r="E64" s="106" t="s">
        <v>560</v>
      </c>
      <c r="F64" s="107" t="s">
        <v>240</v>
      </c>
      <c r="G64" s="122">
        <v>1000000</v>
      </c>
      <c r="H64" s="104" t="s">
        <v>238</v>
      </c>
      <c r="I64" s="105">
        <v>20</v>
      </c>
      <c r="J64" s="105">
        <f t="shared" ref="J64:J69" si="16">G64*5%</f>
        <v>50000</v>
      </c>
      <c r="K64" s="103">
        <f t="shared" si="11"/>
        <v>200000</v>
      </c>
      <c r="L64" s="106">
        <f t="shared" si="12"/>
        <v>70000</v>
      </c>
      <c r="M64" s="106">
        <f t="shared" si="13"/>
        <v>50000</v>
      </c>
    </row>
    <row r="65" spans="1:13" ht="37.5" x14ac:dyDescent="0.3">
      <c r="A65" s="130">
        <v>64</v>
      </c>
      <c r="B65" s="104" t="s">
        <v>108</v>
      </c>
      <c r="C65" s="104">
        <v>206450634</v>
      </c>
      <c r="D65" s="95" t="s">
        <v>55</v>
      </c>
      <c r="E65" s="104" t="s">
        <v>308</v>
      </c>
      <c r="F65" s="104" t="s">
        <v>428</v>
      </c>
      <c r="G65" s="122">
        <v>2500000</v>
      </c>
      <c r="H65" s="104" t="s">
        <v>218</v>
      </c>
      <c r="I65" s="105">
        <v>20</v>
      </c>
      <c r="J65" s="105">
        <f t="shared" si="16"/>
        <v>125000</v>
      </c>
      <c r="K65" s="103">
        <f t="shared" si="11"/>
        <v>500000</v>
      </c>
      <c r="L65" s="106">
        <f t="shared" si="12"/>
        <v>175000.00000000003</v>
      </c>
      <c r="M65" s="106">
        <f t="shared" si="13"/>
        <v>125000</v>
      </c>
    </row>
    <row r="66" spans="1:13" ht="18.75" x14ac:dyDescent="0.3">
      <c r="A66" s="130">
        <v>65</v>
      </c>
      <c r="B66" s="101" t="s">
        <v>221</v>
      </c>
      <c r="C66" s="101">
        <v>308241991</v>
      </c>
      <c r="D66" s="111" t="s">
        <v>55</v>
      </c>
      <c r="E66" s="67" t="s">
        <v>219</v>
      </c>
      <c r="F66" s="101" t="s">
        <v>240</v>
      </c>
      <c r="G66" s="129">
        <v>0</v>
      </c>
      <c r="H66" s="104" t="s">
        <v>218</v>
      </c>
      <c r="I66" s="112"/>
      <c r="J66" s="105">
        <f t="shared" si="16"/>
        <v>0</v>
      </c>
      <c r="K66" s="103">
        <f t="shared" si="11"/>
        <v>0</v>
      </c>
      <c r="L66" s="106"/>
      <c r="M66" s="106">
        <f t="shared" si="13"/>
        <v>0</v>
      </c>
    </row>
    <row r="67" spans="1:13" ht="18.75" x14ac:dyDescent="0.3">
      <c r="A67" s="130">
        <v>66</v>
      </c>
      <c r="B67" s="101" t="s">
        <v>228</v>
      </c>
      <c r="C67" s="101">
        <v>309680747</v>
      </c>
      <c r="D67" s="98" t="s">
        <v>55</v>
      </c>
      <c r="E67" s="101" t="s">
        <v>468</v>
      </c>
      <c r="F67" s="101" t="s">
        <v>240</v>
      </c>
      <c r="G67" s="129">
        <v>4000000</v>
      </c>
      <c r="H67" s="105" t="s">
        <v>238</v>
      </c>
      <c r="I67" s="105">
        <v>20</v>
      </c>
      <c r="J67" s="105">
        <f t="shared" si="16"/>
        <v>200000</v>
      </c>
      <c r="K67" s="103">
        <f t="shared" si="11"/>
        <v>800000</v>
      </c>
      <c r="L67" s="106">
        <f>G67*7%</f>
        <v>280000</v>
      </c>
      <c r="M67" s="106">
        <f t="shared" si="13"/>
        <v>200000</v>
      </c>
    </row>
    <row r="68" spans="1:13" ht="18.75" x14ac:dyDescent="0.3">
      <c r="A68" s="130">
        <v>67</v>
      </c>
      <c r="B68" s="106" t="s">
        <v>247</v>
      </c>
      <c r="C68" s="106"/>
      <c r="D68" s="106"/>
      <c r="E68" s="107" t="s">
        <v>434</v>
      </c>
      <c r="F68" s="104" t="s">
        <v>428</v>
      </c>
      <c r="G68" s="127">
        <v>3000000</v>
      </c>
      <c r="H68" s="104" t="s">
        <v>238</v>
      </c>
      <c r="I68" s="105">
        <v>20</v>
      </c>
      <c r="J68" s="105">
        <f t="shared" si="16"/>
        <v>150000</v>
      </c>
      <c r="K68" s="103">
        <f t="shared" si="11"/>
        <v>600000</v>
      </c>
      <c r="L68" s="106">
        <f>G68*7%</f>
        <v>210000.00000000003</v>
      </c>
      <c r="M68" s="106">
        <f t="shared" si="13"/>
        <v>150000</v>
      </c>
    </row>
    <row r="69" spans="1:13" ht="18.75" x14ac:dyDescent="0.3">
      <c r="A69" s="130">
        <v>68</v>
      </c>
      <c r="B69" s="101" t="s">
        <v>220</v>
      </c>
      <c r="C69" s="101">
        <v>309291123</v>
      </c>
      <c r="D69" s="98" t="s">
        <v>55</v>
      </c>
      <c r="E69" s="101" t="s">
        <v>217</v>
      </c>
      <c r="F69" s="101" t="s">
        <v>240</v>
      </c>
      <c r="G69" s="129">
        <v>1500000</v>
      </c>
      <c r="H69" s="105" t="s">
        <v>238</v>
      </c>
      <c r="I69" s="112">
        <v>20</v>
      </c>
      <c r="J69" s="105">
        <f t="shared" si="16"/>
        <v>75000</v>
      </c>
      <c r="K69" s="103">
        <f t="shared" si="11"/>
        <v>300000</v>
      </c>
      <c r="L69" s="106">
        <f>G69*7%</f>
        <v>105000.00000000001</v>
      </c>
      <c r="M69" s="106">
        <f>G69*5%</f>
        <v>75000</v>
      </c>
    </row>
    <row r="70" spans="1:13" ht="37.5" x14ac:dyDescent="0.3">
      <c r="A70" s="130">
        <v>69</v>
      </c>
      <c r="B70" s="104" t="s">
        <v>222</v>
      </c>
      <c r="C70" s="104">
        <v>305218618</v>
      </c>
      <c r="D70" s="103" t="s">
        <v>55</v>
      </c>
      <c r="E70" s="104"/>
      <c r="F70" s="104"/>
      <c r="G70" s="122">
        <v>20000000</v>
      </c>
      <c r="H70" s="104"/>
      <c r="I70" s="105">
        <v>25</v>
      </c>
      <c r="J70" s="105">
        <v>0</v>
      </c>
      <c r="K70" s="103"/>
      <c r="L70" s="106">
        <f t="shared" ref="L70:L87" si="17">G70*7%</f>
        <v>1400000.0000000002</v>
      </c>
      <c r="M70" s="106"/>
    </row>
    <row r="71" spans="1:13" ht="18.75" x14ac:dyDescent="0.3">
      <c r="A71" s="130">
        <v>70</v>
      </c>
      <c r="B71" s="106" t="s">
        <v>244</v>
      </c>
      <c r="C71" s="106"/>
      <c r="D71" s="106"/>
      <c r="E71" s="104" t="s">
        <v>309</v>
      </c>
      <c r="F71" s="106"/>
      <c r="G71" s="122">
        <v>200000</v>
      </c>
      <c r="H71" s="104" t="s">
        <v>218</v>
      </c>
      <c r="I71" s="105">
        <v>20</v>
      </c>
      <c r="J71" s="113"/>
      <c r="K71" s="103">
        <f t="shared" ref="K71:K82" si="18">G71*I71%</f>
        <v>40000</v>
      </c>
      <c r="L71" s="106">
        <f t="shared" si="17"/>
        <v>14000.000000000002</v>
      </c>
      <c r="M71" s="106">
        <f t="shared" ref="M71:M82" si="19">G71*5%</f>
        <v>10000</v>
      </c>
    </row>
    <row r="72" spans="1:13" ht="18.75" x14ac:dyDescent="0.3">
      <c r="A72" s="130">
        <v>71</v>
      </c>
      <c r="B72" s="104" t="s">
        <v>245</v>
      </c>
      <c r="C72" s="104">
        <v>309918004</v>
      </c>
      <c r="D72" s="95"/>
      <c r="E72" s="104" t="s">
        <v>219</v>
      </c>
      <c r="F72" s="104"/>
      <c r="G72" s="122">
        <v>1000000</v>
      </c>
      <c r="H72" s="104" t="s">
        <v>218</v>
      </c>
      <c r="I72" s="105">
        <v>20</v>
      </c>
      <c r="J72" s="105">
        <v>0</v>
      </c>
      <c r="K72" s="103">
        <f t="shared" si="18"/>
        <v>200000</v>
      </c>
      <c r="L72" s="106">
        <f t="shared" si="17"/>
        <v>70000</v>
      </c>
      <c r="M72" s="106">
        <f t="shared" si="19"/>
        <v>50000</v>
      </c>
    </row>
    <row r="73" spans="1:13" ht="18.75" x14ac:dyDescent="0.3">
      <c r="A73" s="130">
        <v>72</v>
      </c>
      <c r="B73" s="104" t="s">
        <v>301</v>
      </c>
      <c r="C73" s="104"/>
      <c r="D73" s="95"/>
      <c r="E73" s="104" t="s">
        <v>243</v>
      </c>
      <c r="F73" s="104" t="s">
        <v>428</v>
      </c>
      <c r="G73" s="122">
        <v>11000000</v>
      </c>
      <c r="H73" s="104" t="s">
        <v>238</v>
      </c>
      <c r="I73" s="105">
        <v>20</v>
      </c>
      <c r="J73" s="105">
        <f>4000000*5%</f>
        <v>200000</v>
      </c>
      <c r="K73" s="103">
        <v>0</v>
      </c>
      <c r="L73" s="106">
        <f t="shared" si="17"/>
        <v>770000.00000000012</v>
      </c>
      <c r="M73" s="106">
        <f t="shared" si="19"/>
        <v>550000</v>
      </c>
    </row>
    <row r="74" spans="1:13" ht="18.75" x14ac:dyDescent="0.3">
      <c r="A74" s="130">
        <v>73</v>
      </c>
      <c r="B74" s="104" t="s">
        <v>316</v>
      </c>
      <c r="C74" s="104"/>
      <c r="D74" s="103"/>
      <c r="E74" s="104" t="s">
        <v>217</v>
      </c>
      <c r="F74" s="104" t="s">
        <v>240</v>
      </c>
      <c r="G74" s="122">
        <v>1000000</v>
      </c>
      <c r="H74" s="104" t="s">
        <v>238</v>
      </c>
      <c r="I74" s="105">
        <v>20</v>
      </c>
      <c r="J74" s="105">
        <f>G74*5%</f>
        <v>50000</v>
      </c>
      <c r="K74" s="103">
        <f t="shared" si="18"/>
        <v>200000</v>
      </c>
      <c r="L74" s="106">
        <f t="shared" si="17"/>
        <v>70000</v>
      </c>
      <c r="M74" s="106">
        <f t="shared" si="19"/>
        <v>50000</v>
      </c>
    </row>
    <row r="75" spans="1:13" ht="18.75" x14ac:dyDescent="0.3">
      <c r="A75" s="130">
        <v>74</v>
      </c>
      <c r="B75" s="106" t="s">
        <v>333</v>
      </c>
      <c r="C75" s="106"/>
      <c r="D75" s="106"/>
      <c r="E75" s="104" t="s">
        <v>238</v>
      </c>
      <c r="F75" s="104" t="s">
        <v>428</v>
      </c>
      <c r="G75" s="122">
        <v>2500000</v>
      </c>
      <c r="H75" s="104" t="s">
        <v>218</v>
      </c>
      <c r="I75" s="105">
        <v>20</v>
      </c>
      <c r="J75" s="105">
        <f>G75*5%</f>
        <v>125000</v>
      </c>
      <c r="K75" s="103">
        <f t="shared" si="18"/>
        <v>500000</v>
      </c>
      <c r="L75" s="106">
        <f t="shared" si="17"/>
        <v>175000.00000000003</v>
      </c>
      <c r="M75" s="106">
        <f t="shared" si="19"/>
        <v>125000</v>
      </c>
    </row>
    <row r="76" spans="1:13" ht="37.5" x14ac:dyDescent="0.3">
      <c r="A76" s="130">
        <v>75</v>
      </c>
      <c r="B76" s="104" t="s">
        <v>272</v>
      </c>
      <c r="C76" s="104">
        <v>310310683</v>
      </c>
      <c r="D76" s="106"/>
      <c r="E76" s="104" t="s">
        <v>238</v>
      </c>
      <c r="F76" s="106" t="s">
        <v>240</v>
      </c>
      <c r="G76" s="122">
        <v>700000</v>
      </c>
      <c r="H76" s="104" t="s">
        <v>218</v>
      </c>
      <c r="I76" s="105">
        <v>20</v>
      </c>
      <c r="J76" s="105">
        <f>G76*5%</f>
        <v>35000</v>
      </c>
      <c r="K76" s="103">
        <f t="shared" si="18"/>
        <v>140000</v>
      </c>
      <c r="L76" s="106">
        <f t="shared" si="17"/>
        <v>49000.000000000007</v>
      </c>
      <c r="M76" s="106">
        <f t="shared" si="19"/>
        <v>35000</v>
      </c>
    </row>
    <row r="77" spans="1:13" ht="18.75" x14ac:dyDescent="0.3">
      <c r="A77" s="130">
        <v>76</v>
      </c>
      <c r="B77" s="104" t="s">
        <v>249</v>
      </c>
      <c r="C77" s="104"/>
      <c r="D77" s="95"/>
      <c r="E77" s="104" t="s">
        <v>218</v>
      </c>
      <c r="F77" s="104"/>
      <c r="G77" s="127">
        <v>170000</v>
      </c>
      <c r="H77" s="104" t="s">
        <v>238</v>
      </c>
      <c r="I77" s="105">
        <v>20</v>
      </c>
      <c r="J77" s="113"/>
      <c r="K77" s="103">
        <f t="shared" si="18"/>
        <v>34000</v>
      </c>
      <c r="L77" s="106">
        <f t="shared" si="17"/>
        <v>11900.000000000002</v>
      </c>
      <c r="M77" s="106">
        <f t="shared" si="19"/>
        <v>8500</v>
      </c>
    </row>
    <row r="78" spans="1:13" ht="18.75" x14ac:dyDescent="0.3">
      <c r="A78" s="130">
        <v>77</v>
      </c>
      <c r="B78" s="101" t="s">
        <v>321</v>
      </c>
      <c r="C78" s="101"/>
      <c r="D78" s="106"/>
      <c r="E78" s="104" t="s">
        <v>335</v>
      </c>
      <c r="F78" s="104" t="s">
        <v>240</v>
      </c>
      <c r="G78" s="122">
        <v>1000000</v>
      </c>
      <c r="H78" s="104" t="s">
        <v>218</v>
      </c>
      <c r="I78" s="105">
        <v>20</v>
      </c>
      <c r="J78" s="105">
        <f>G78*5%</f>
        <v>50000</v>
      </c>
      <c r="K78" s="103">
        <f t="shared" si="18"/>
        <v>200000</v>
      </c>
      <c r="L78" s="106">
        <f t="shared" si="17"/>
        <v>70000</v>
      </c>
      <c r="M78" s="106">
        <f t="shared" si="19"/>
        <v>50000</v>
      </c>
    </row>
    <row r="79" spans="1:13" ht="18.75" x14ac:dyDescent="0.3">
      <c r="A79" s="130">
        <v>78</v>
      </c>
      <c r="B79" s="106" t="s">
        <v>250</v>
      </c>
      <c r="C79" s="106"/>
      <c r="D79" s="106"/>
      <c r="E79" s="104" t="s">
        <v>335</v>
      </c>
      <c r="F79" s="106"/>
      <c r="G79" s="122">
        <v>10000000</v>
      </c>
      <c r="H79" s="104" t="s">
        <v>218</v>
      </c>
      <c r="I79" s="105">
        <v>20</v>
      </c>
      <c r="J79" s="113"/>
      <c r="K79" s="103">
        <f t="shared" si="18"/>
        <v>2000000</v>
      </c>
      <c r="L79" s="106">
        <f t="shared" si="17"/>
        <v>700000.00000000012</v>
      </c>
      <c r="M79" s="106">
        <f t="shared" si="19"/>
        <v>500000</v>
      </c>
    </row>
    <row r="80" spans="1:13" ht="18.75" x14ac:dyDescent="0.3">
      <c r="A80" s="130">
        <v>80</v>
      </c>
      <c r="B80" s="106" t="s">
        <v>251</v>
      </c>
      <c r="C80" s="106"/>
      <c r="D80" s="106"/>
      <c r="E80" s="104" t="s">
        <v>238</v>
      </c>
      <c r="F80" s="106" t="s">
        <v>240</v>
      </c>
      <c r="G80" s="122">
        <v>1500000</v>
      </c>
      <c r="H80" s="104" t="s">
        <v>218</v>
      </c>
      <c r="I80" s="105">
        <v>20</v>
      </c>
      <c r="J80" s="105">
        <f t="shared" ref="J80:J88" si="20">G80*5%</f>
        <v>75000</v>
      </c>
      <c r="K80" s="103">
        <f t="shared" si="18"/>
        <v>300000</v>
      </c>
      <c r="L80" s="106">
        <f t="shared" si="17"/>
        <v>105000.00000000001</v>
      </c>
      <c r="M80" s="106">
        <f t="shared" si="19"/>
        <v>75000</v>
      </c>
    </row>
    <row r="81" spans="1:13" ht="18.75" x14ac:dyDescent="0.3">
      <c r="A81" s="130">
        <v>81</v>
      </c>
      <c r="B81" s="106" t="s">
        <v>252</v>
      </c>
      <c r="C81" s="106"/>
      <c r="D81" s="106"/>
      <c r="E81" s="104" t="s">
        <v>335</v>
      </c>
      <c r="F81" s="106" t="s">
        <v>240</v>
      </c>
      <c r="G81" s="122">
        <v>0</v>
      </c>
      <c r="H81" s="104" t="s">
        <v>218</v>
      </c>
      <c r="I81" s="105">
        <v>20</v>
      </c>
      <c r="J81" s="105">
        <f t="shared" si="20"/>
        <v>0</v>
      </c>
      <c r="K81" s="103">
        <f t="shared" si="18"/>
        <v>0</v>
      </c>
      <c r="L81" s="106">
        <f t="shared" si="17"/>
        <v>0</v>
      </c>
      <c r="M81" s="106">
        <f t="shared" si="19"/>
        <v>0</v>
      </c>
    </row>
    <row r="82" spans="1:13" ht="18.75" x14ac:dyDescent="0.3">
      <c r="A82" s="130">
        <v>82</v>
      </c>
      <c r="B82" s="106" t="s">
        <v>281</v>
      </c>
      <c r="C82" s="106"/>
      <c r="D82" s="106"/>
      <c r="E82" s="109" t="s">
        <v>468</v>
      </c>
      <c r="F82" s="106" t="s">
        <v>240</v>
      </c>
      <c r="G82" s="122">
        <v>800000</v>
      </c>
      <c r="H82" s="104" t="s">
        <v>238</v>
      </c>
      <c r="I82" s="105">
        <v>20</v>
      </c>
      <c r="J82" s="105">
        <f t="shared" si="20"/>
        <v>40000</v>
      </c>
      <c r="K82" s="103">
        <f t="shared" si="18"/>
        <v>160000</v>
      </c>
      <c r="L82" s="106">
        <f t="shared" si="17"/>
        <v>56000.000000000007</v>
      </c>
      <c r="M82" s="106">
        <f t="shared" si="19"/>
        <v>40000</v>
      </c>
    </row>
    <row r="83" spans="1:13" ht="18.75" x14ac:dyDescent="0.3">
      <c r="A83" s="130">
        <v>83</v>
      </c>
      <c r="B83" s="106" t="s">
        <v>274</v>
      </c>
      <c r="C83" s="106"/>
      <c r="D83" s="106"/>
      <c r="E83" s="104" t="s">
        <v>378</v>
      </c>
      <c r="F83" s="104" t="s">
        <v>326</v>
      </c>
      <c r="G83" s="122">
        <v>15000000</v>
      </c>
      <c r="H83" s="104" t="s">
        <v>218</v>
      </c>
      <c r="I83" s="105">
        <v>20</v>
      </c>
      <c r="J83" s="105">
        <f t="shared" si="20"/>
        <v>750000</v>
      </c>
      <c r="K83" s="103">
        <f>Таблица3[[#This Row],[Столбец7]]*Таблица3[[#This Row],[Столбец10]]%</f>
        <v>3000000</v>
      </c>
      <c r="L83" s="106">
        <f t="shared" si="17"/>
        <v>1050000</v>
      </c>
      <c r="M83" s="106">
        <f>G83*10%</f>
        <v>1500000</v>
      </c>
    </row>
    <row r="84" spans="1:13" ht="18.75" x14ac:dyDescent="0.3">
      <c r="A84" s="130">
        <v>84</v>
      </c>
      <c r="B84" s="106" t="s">
        <v>317</v>
      </c>
      <c r="C84" s="106"/>
      <c r="D84" s="106"/>
      <c r="E84" s="104" t="s">
        <v>217</v>
      </c>
      <c r="F84" s="106" t="s">
        <v>240</v>
      </c>
      <c r="G84" s="122">
        <v>1000000</v>
      </c>
      <c r="H84" s="104" t="s">
        <v>238</v>
      </c>
      <c r="I84" s="105">
        <v>20</v>
      </c>
      <c r="J84" s="105">
        <f t="shared" si="20"/>
        <v>50000</v>
      </c>
      <c r="K84" s="103">
        <f>G84*I84%</f>
        <v>200000</v>
      </c>
      <c r="L84" s="106">
        <f t="shared" si="17"/>
        <v>70000</v>
      </c>
      <c r="M84" s="106">
        <f t="shared" ref="M84:M111" si="21">G84*5%</f>
        <v>50000</v>
      </c>
    </row>
    <row r="85" spans="1:13" ht="18.75" x14ac:dyDescent="0.3">
      <c r="A85" s="130">
        <v>85</v>
      </c>
      <c r="B85" s="106" t="s">
        <v>253</v>
      </c>
      <c r="C85" s="106"/>
      <c r="D85" s="106"/>
      <c r="E85" s="104" t="s">
        <v>428</v>
      </c>
      <c r="F85" s="104" t="s">
        <v>428</v>
      </c>
      <c r="G85" s="122">
        <v>700000</v>
      </c>
      <c r="H85" s="104" t="s">
        <v>218</v>
      </c>
      <c r="I85" s="105">
        <v>20</v>
      </c>
      <c r="J85" s="105">
        <f t="shared" si="20"/>
        <v>35000</v>
      </c>
      <c r="K85" s="103">
        <f>G85*I85%</f>
        <v>140000</v>
      </c>
      <c r="L85" s="106">
        <f t="shared" si="17"/>
        <v>49000.000000000007</v>
      </c>
      <c r="M85" s="106">
        <f t="shared" si="21"/>
        <v>35000</v>
      </c>
    </row>
    <row r="86" spans="1:13" ht="18.75" x14ac:dyDescent="0.3">
      <c r="A86" s="130">
        <v>86</v>
      </c>
      <c r="B86" s="106" t="s">
        <v>271</v>
      </c>
      <c r="C86" s="106"/>
      <c r="D86" s="106"/>
      <c r="E86" s="104" t="s">
        <v>219</v>
      </c>
      <c r="F86" s="104" t="s">
        <v>428</v>
      </c>
      <c r="G86" s="123">
        <v>1000000</v>
      </c>
      <c r="H86" s="104" t="s">
        <v>218</v>
      </c>
      <c r="I86" s="105">
        <v>20</v>
      </c>
      <c r="J86" s="105">
        <f t="shared" si="20"/>
        <v>50000</v>
      </c>
      <c r="K86" s="103">
        <f>G86*I86%</f>
        <v>200000</v>
      </c>
      <c r="L86" s="106">
        <f t="shared" si="17"/>
        <v>70000</v>
      </c>
      <c r="M86" s="106">
        <f t="shared" si="21"/>
        <v>50000</v>
      </c>
    </row>
    <row r="87" spans="1:13" ht="18.75" x14ac:dyDescent="0.3">
      <c r="A87" s="130">
        <v>87</v>
      </c>
      <c r="B87" s="106" t="s">
        <v>304</v>
      </c>
      <c r="C87" s="106"/>
      <c r="D87" s="106"/>
      <c r="E87" s="104" t="s">
        <v>428</v>
      </c>
      <c r="F87" s="104" t="s">
        <v>428</v>
      </c>
      <c r="G87" s="127">
        <v>700000</v>
      </c>
      <c r="H87" s="104" t="s">
        <v>218</v>
      </c>
      <c r="I87" s="105">
        <v>20</v>
      </c>
      <c r="J87" s="105">
        <f t="shared" si="20"/>
        <v>35000</v>
      </c>
      <c r="K87" s="103">
        <f>G87*I87%</f>
        <v>140000</v>
      </c>
      <c r="L87" s="106">
        <f t="shared" si="17"/>
        <v>49000.000000000007</v>
      </c>
      <c r="M87" s="106">
        <f t="shared" si="21"/>
        <v>35000</v>
      </c>
    </row>
    <row r="88" spans="1:13" ht="18.75" x14ac:dyDescent="0.3">
      <c r="A88" s="130">
        <v>88</v>
      </c>
      <c r="B88" s="106" t="s">
        <v>273</v>
      </c>
      <c r="C88" s="106"/>
      <c r="D88" s="106"/>
      <c r="E88" s="67" t="s">
        <v>219</v>
      </c>
      <c r="F88" s="106" t="s">
        <v>240</v>
      </c>
      <c r="G88" s="127">
        <v>3000000</v>
      </c>
      <c r="H88" s="104" t="s">
        <v>218</v>
      </c>
      <c r="I88" s="105">
        <v>20</v>
      </c>
      <c r="J88" s="105">
        <f t="shared" si="20"/>
        <v>150000</v>
      </c>
      <c r="K88" s="103">
        <v>0</v>
      </c>
      <c r="L88" s="106">
        <f>G88*7%+300000</f>
        <v>510000</v>
      </c>
      <c r="M88" s="106">
        <f t="shared" si="21"/>
        <v>150000</v>
      </c>
    </row>
    <row r="89" spans="1:13" ht="18.75" x14ac:dyDescent="0.3">
      <c r="A89" s="130">
        <v>89</v>
      </c>
      <c r="B89" s="106" t="s">
        <v>275</v>
      </c>
      <c r="C89" s="106"/>
      <c r="D89" s="106"/>
      <c r="E89" s="104" t="s">
        <v>309</v>
      </c>
      <c r="F89" s="106" t="s">
        <v>428</v>
      </c>
      <c r="G89" s="127">
        <v>3000000</v>
      </c>
      <c r="H89" s="104" t="s">
        <v>218</v>
      </c>
      <c r="I89" s="105">
        <v>20</v>
      </c>
      <c r="J89" s="105">
        <f>G89*5%</f>
        <v>150000</v>
      </c>
      <c r="K89" s="103">
        <f t="shared" ref="K89:K118" si="22">G89*I89%</f>
        <v>600000</v>
      </c>
      <c r="L89" s="106">
        <f t="shared" ref="L89:L118" si="23">G89*7%</f>
        <v>210000.00000000003</v>
      </c>
      <c r="M89" s="106">
        <f t="shared" si="21"/>
        <v>150000</v>
      </c>
    </row>
    <row r="90" spans="1:13" ht="18.75" x14ac:dyDescent="0.3">
      <c r="A90" s="130">
        <v>90</v>
      </c>
      <c r="B90" s="106" t="s">
        <v>276</v>
      </c>
      <c r="C90" s="106"/>
      <c r="D90" s="106"/>
      <c r="E90" s="104" t="s">
        <v>599</v>
      </c>
      <c r="F90" s="104" t="s">
        <v>428</v>
      </c>
      <c r="G90" s="127">
        <v>500000</v>
      </c>
      <c r="H90" s="104" t="s">
        <v>308</v>
      </c>
      <c r="I90" s="105">
        <v>25</v>
      </c>
      <c r="J90" s="105">
        <f>G90*5%</f>
        <v>25000</v>
      </c>
      <c r="K90" s="103">
        <f t="shared" si="22"/>
        <v>125000</v>
      </c>
      <c r="L90" s="106">
        <f t="shared" si="23"/>
        <v>35000</v>
      </c>
      <c r="M90" s="106">
        <f t="shared" si="21"/>
        <v>25000</v>
      </c>
    </row>
    <row r="91" spans="1:13" ht="18.75" x14ac:dyDescent="0.3">
      <c r="A91" s="130">
        <v>91</v>
      </c>
      <c r="B91" s="106" t="s">
        <v>277</v>
      </c>
      <c r="C91" s="106"/>
      <c r="D91" s="106"/>
      <c r="E91" s="107" t="s">
        <v>308</v>
      </c>
      <c r="F91" s="106"/>
      <c r="G91" s="127">
        <v>2500000</v>
      </c>
      <c r="H91" s="104" t="s">
        <v>218</v>
      </c>
      <c r="I91" s="105">
        <v>20</v>
      </c>
      <c r="J91" s="105">
        <v>0</v>
      </c>
      <c r="K91" s="103">
        <f t="shared" si="22"/>
        <v>500000</v>
      </c>
      <c r="L91" s="106">
        <f t="shared" si="23"/>
        <v>175000.00000000003</v>
      </c>
      <c r="M91" s="106">
        <f t="shared" si="21"/>
        <v>125000</v>
      </c>
    </row>
    <row r="92" spans="1:13" ht="18.75" x14ac:dyDescent="0.3">
      <c r="A92" s="130">
        <v>92</v>
      </c>
      <c r="B92" s="106" t="s">
        <v>278</v>
      </c>
      <c r="C92" s="106"/>
      <c r="D92" s="106"/>
      <c r="E92" s="104" t="s">
        <v>335</v>
      </c>
      <c r="F92" s="106" t="s">
        <v>240</v>
      </c>
      <c r="G92" s="127">
        <v>0</v>
      </c>
      <c r="H92" s="104" t="s">
        <v>218</v>
      </c>
      <c r="I92" s="105">
        <v>20</v>
      </c>
      <c r="J92" s="105">
        <f>G92*5%</f>
        <v>0</v>
      </c>
      <c r="K92" s="103">
        <f t="shared" si="22"/>
        <v>0</v>
      </c>
      <c r="L92" s="106">
        <f t="shared" si="23"/>
        <v>0</v>
      </c>
      <c r="M92" s="106">
        <f t="shared" si="21"/>
        <v>0</v>
      </c>
    </row>
    <row r="93" spans="1:13" ht="18.75" x14ac:dyDescent="0.3">
      <c r="A93" s="130">
        <v>93</v>
      </c>
      <c r="B93" s="106" t="s">
        <v>282</v>
      </c>
      <c r="C93" s="106"/>
      <c r="D93" s="106"/>
      <c r="E93" s="107" t="s">
        <v>394</v>
      </c>
      <c r="F93" s="106" t="s">
        <v>240</v>
      </c>
      <c r="G93" s="122">
        <v>700000</v>
      </c>
      <c r="H93" s="104" t="s">
        <v>218</v>
      </c>
      <c r="I93" s="105">
        <v>20</v>
      </c>
      <c r="J93" s="105">
        <f>G93*5%</f>
        <v>35000</v>
      </c>
      <c r="K93" s="103">
        <f t="shared" si="22"/>
        <v>140000</v>
      </c>
      <c r="L93" s="106">
        <f t="shared" si="23"/>
        <v>49000.000000000007</v>
      </c>
      <c r="M93" s="106">
        <f t="shared" si="21"/>
        <v>35000</v>
      </c>
    </row>
    <row r="94" spans="1:13" ht="18.75" x14ac:dyDescent="0.3">
      <c r="A94" s="130">
        <v>94</v>
      </c>
      <c r="B94" s="106" t="s">
        <v>279</v>
      </c>
      <c r="C94" s="106"/>
      <c r="D94" s="106"/>
      <c r="E94" s="106" t="s">
        <v>468</v>
      </c>
      <c r="F94" s="104" t="s">
        <v>428</v>
      </c>
      <c r="G94" s="122">
        <v>700000</v>
      </c>
      <c r="H94" s="104" t="s">
        <v>238</v>
      </c>
      <c r="I94" s="105">
        <v>25</v>
      </c>
      <c r="J94" s="105">
        <f>G94*5%</f>
        <v>35000</v>
      </c>
      <c r="K94" s="103">
        <f t="shared" si="22"/>
        <v>175000</v>
      </c>
      <c r="L94" s="106">
        <f t="shared" si="23"/>
        <v>49000.000000000007</v>
      </c>
      <c r="M94" s="106">
        <f t="shared" si="21"/>
        <v>35000</v>
      </c>
    </row>
    <row r="95" spans="1:13" ht="18.75" x14ac:dyDescent="0.3">
      <c r="A95" s="130">
        <v>95</v>
      </c>
      <c r="B95" s="106" t="s">
        <v>280</v>
      </c>
      <c r="C95" s="106"/>
      <c r="D95" s="106"/>
      <c r="E95" s="106" t="s">
        <v>599</v>
      </c>
      <c r="F95" s="106"/>
      <c r="G95" s="122">
        <v>500000</v>
      </c>
      <c r="H95" s="104" t="s">
        <v>308</v>
      </c>
      <c r="I95" s="105">
        <v>20</v>
      </c>
      <c r="J95" s="105">
        <v>0</v>
      </c>
      <c r="K95" s="103">
        <f t="shared" si="22"/>
        <v>100000</v>
      </c>
      <c r="L95" s="106">
        <f t="shared" si="23"/>
        <v>35000</v>
      </c>
      <c r="M95" s="106">
        <f t="shared" si="21"/>
        <v>25000</v>
      </c>
    </row>
    <row r="96" spans="1:13" ht="18.75" x14ac:dyDescent="0.3">
      <c r="A96" s="130">
        <v>96</v>
      </c>
      <c r="B96" s="133" t="s">
        <v>325</v>
      </c>
      <c r="C96" s="152"/>
      <c r="D96" s="152"/>
      <c r="E96" s="104" t="s">
        <v>335</v>
      </c>
      <c r="F96" s="133" t="s">
        <v>240</v>
      </c>
      <c r="G96" s="198">
        <v>1000000</v>
      </c>
      <c r="H96" s="104" t="s">
        <v>218</v>
      </c>
      <c r="I96" s="105">
        <v>20</v>
      </c>
      <c r="J96" s="105">
        <f t="shared" ref="J96:J101" si="24">G96*5%</f>
        <v>50000</v>
      </c>
      <c r="K96" s="103">
        <f t="shared" si="22"/>
        <v>200000</v>
      </c>
      <c r="L96" s="106">
        <f t="shared" si="23"/>
        <v>70000</v>
      </c>
      <c r="M96" s="106">
        <f t="shared" si="21"/>
        <v>50000</v>
      </c>
    </row>
    <row r="97" spans="1:13" ht="18.75" x14ac:dyDescent="0.3">
      <c r="A97" s="130">
        <v>97</v>
      </c>
      <c r="B97" s="164" t="s">
        <v>411</v>
      </c>
      <c r="C97" s="164"/>
      <c r="D97" s="164"/>
      <c r="E97" s="107" t="s">
        <v>394</v>
      </c>
      <c r="F97" s="164" t="s">
        <v>240</v>
      </c>
      <c r="G97" s="205">
        <v>700000</v>
      </c>
      <c r="H97" s="104" t="s">
        <v>218</v>
      </c>
      <c r="I97" s="167">
        <v>20</v>
      </c>
      <c r="J97" s="105">
        <f t="shared" si="24"/>
        <v>35000</v>
      </c>
      <c r="K97" s="103">
        <f t="shared" si="22"/>
        <v>140000</v>
      </c>
      <c r="L97" s="106">
        <f t="shared" si="23"/>
        <v>49000.000000000007</v>
      </c>
      <c r="M97" s="106">
        <f t="shared" si="21"/>
        <v>35000</v>
      </c>
    </row>
    <row r="98" spans="1:13" ht="18.75" x14ac:dyDescent="0.3">
      <c r="A98" s="130">
        <v>98</v>
      </c>
      <c r="B98" s="164" t="s">
        <v>412</v>
      </c>
      <c r="C98" s="164"/>
      <c r="D98" s="164"/>
      <c r="E98" s="107" t="s">
        <v>468</v>
      </c>
      <c r="F98" s="104" t="s">
        <v>428</v>
      </c>
      <c r="G98" s="205">
        <v>750000</v>
      </c>
      <c r="H98" s="104" t="s">
        <v>238</v>
      </c>
      <c r="I98" s="167">
        <v>20</v>
      </c>
      <c r="J98" s="105">
        <f t="shared" si="24"/>
        <v>37500</v>
      </c>
      <c r="K98" s="103">
        <f t="shared" si="22"/>
        <v>150000</v>
      </c>
      <c r="L98" s="106">
        <f t="shared" si="23"/>
        <v>52500.000000000007</v>
      </c>
      <c r="M98" s="106">
        <f t="shared" si="21"/>
        <v>37500</v>
      </c>
    </row>
    <row r="99" spans="1:13" ht="18.75" x14ac:dyDescent="0.3">
      <c r="A99" s="130">
        <v>99</v>
      </c>
      <c r="B99" s="106" t="s">
        <v>283</v>
      </c>
      <c r="C99" s="106"/>
      <c r="D99" s="106"/>
      <c r="E99" s="106" t="s">
        <v>308</v>
      </c>
      <c r="F99" s="106" t="s">
        <v>240</v>
      </c>
      <c r="G99" s="122">
        <v>700000</v>
      </c>
      <c r="H99" s="104" t="s">
        <v>218</v>
      </c>
      <c r="I99" s="105">
        <v>20</v>
      </c>
      <c r="J99" s="105">
        <f t="shared" si="24"/>
        <v>35000</v>
      </c>
      <c r="K99" s="103">
        <f t="shared" si="22"/>
        <v>140000</v>
      </c>
      <c r="L99" s="106">
        <f t="shared" si="23"/>
        <v>49000.000000000007</v>
      </c>
      <c r="M99" s="106">
        <f t="shared" si="21"/>
        <v>35000</v>
      </c>
    </row>
    <row r="100" spans="1:13" ht="18.75" x14ac:dyDescent="0.3">
      <c r="A100" s="130">
        <v>100</v>
      </c>
      <c r="B100" s="106"/>
      <c r="C100" s="106"/>
      <c r="D100" s="106"/>
      <c r="E100" s="106"/>
      <c r="F100" s="104"/>
      <c r="G100" s="122"/>
      <c r="H100" s="104"/>
      <c r="I100" s="105"/>
      <c r="J100" s="105"/>
      <c r="K100" s="103"/>
      <c r="L100" s="106"/>
      <c r="M100" s="106"/>
    </row>
    <row r="101" spans="1:13" ht="18.75" x14ac:dyDescent="0.3">
      <c r="A101" s="130">
        <v>101</v>
      </c>
      <c r="B101" s="106" t="s">
        <v>319</v>
      </c>
      <c r="C101" s="106"/>
      <c r="D101" s="106"/>
      <c r="E101" s="104" t="s">
        <v>224</v>
      </c>
      <c r="F101" s="104" t="s">
        <v>428</v>
      </c>
      <c r="G101" s="122">
        <v>10000000</v>
      </c>
      <c r="H101" s="104" t="s">
        <v>218</v>
      </c>
      <c r="I101" s="105">
        <v>20</v>
      </c>
      <c r="J101" s="105">
        <f t="shared" si="24"/>
        <v>500000</v>
      </c>
      <c r="K101" s="103">
        <f t="shared" si="22"/>
        <v>2000000</v>
      </c>
      <c r="L101" s="106">
        <f t="shared" si="23"/>
        <v>700000.00000000012</v>
      </c>
      <c r="M101" s="106">
        <f t="shared" si="21"/>
        <v>500000</v>
      </c>
    </row>
    <row r="102" spans="1:13" ht="18.75" x14ac:dyDescent="0.3">
      <c r="A102" s="130">
        <v>102</v>
      </c>
      <c r="B102" s="106" t="s">
        <v>320</v>
      </c>
      <c r="C102" s="106"/>
      <c r="D102" s="106"/>
      <c r="E102" s="107" t="s">
        <v>308</v>
      </c>
      <c r="F102" s="106"/>
      <c r="G102" s="122">
        <f>2500000</f>
        <v>2500000</v>
      </c>
      <c r="H102" s="104" t="s">
        <v>218</v>
      </c>
      <c r="I102" s="105">
        <v>20</v>
      </c>
      <c r="J102" s="105"/>
      <c r="K102" s="108">
        <f t="shared" si="22"/>
        <v>500000</v>
      </c>
      <c r="L102" s="106">
        <f t="shared" si="23"/>
        <v>175000.00000000003</v>
      </c>
      <c r="M102" s="106">
        <f t="shared" si="21"/>
        <v>125000</v>
      </c>
    </row>
    <row r="103" spans="1:13" ht="18.75" x14ac:dyDescent="0.3">
      <c r="A103" s="130">
        <v>103</v>
      </c>
      <c r="B103" s="106" t="s">
        <v>285</v>
      </c>
      <c r="C103" s="106"/>
      <c r="D103" s="106"/>
      <c r="E103" s="107" t="s">
        <v>308</v>
      </c>
      <c r="F103" s="106" t="s">
        <v>240</v>
      </c>
      <c r="G103" s="122">
        <v>2000000</v>
      </c>
      <c r="H103" s="104" t="s">
        <v>218</v>
      </c>
      <c r="I103" s="105">
        <v>20</v>
      </c>
      <c r="J103" s="105">
        <f t="shared" ref="J103:J109" si="25">G103*5%</f>
        <v>100000</v>
      </c>
      <c r="K103" s="103">
        <f t="shared" si="22"/>
        <v>400000</v>
      </c>
      <c r="L103" s="106">
        <f t="shared" si="23"/>
        <v>140000</v>
      </c>
      <c r="M103" s="106">
        <f t="shared" si="21"/>
        <v>100000</v>
      </c>
    </row>
    <row r="104" spans="1:13" ht="18.75" x14ac:dyDescent="0.3">
      <c r="A104" s="130">
        <v>104</v>
      </c>
      <c r="B104" s="106" t="s">
        <v>286</v>
      </c>
      <c r="C104" s="106"/>
      <c r="D104" s="106"/>
      <c r="E104" s="104" t="s">
        <v>219</v>
      </c>
      <c r="F104" s="104" t="s">
        <v>428</v>
      </c>
      <c r="G104" s="127">
        <v>2500000</v>
      </c>
      <c r="H104" s="104" t="s">
        <v>218</v>
      </c>
      <c r="I104" s="105">
        <v>20</v>
      </c>
      <c r="J104" s="105">
        <f t="shared" si="25"/>
        <v>125000</v>
      </c>
      <c r="K104" s="103">
        <f t="shared" si="22"/>
        <v>500000</v>
      </c>
      <c r="L104" s="106">
        <f t="shared" si="23"/>
        <v>175000.00000000003</v>
      </c>
      <c r="M104" s="106">
        <f t="shared" si="21"/>
        <v>125000</v>
      </c>
    </row>
    <row r="105" spans="1:13" ht="18.75" x14ac:dyDescent="0.3">
      <c r="A105" s="130">
        <v>105</v>
      </c>
      <c r="B105" s="133" t="s">
        <v>287</v>
      </c>
      <c r="C105" s="133"/>
      <c r="D105" s="133"/>
      <c r="E105" s="104" t="s">
        <v>218</v>
      </c>
      <c r="F105" s="133" t="s">
        <v>240</v>
      </c>
      <c r="G105" s="199">
        <v>2000000</v>
      </c>
      <c r="H105" s="104" t="s">
        <v>238</v>
      </c>
      <c r="I105" s="105">
        <v>20</v>
      </c>
      <c r="J105" s="105">
        <f t="shared" si="25"/>
        <v>100000</v>
      </c>
      <c r="K105" s="103">
        <f t="shared" si="22"/>
        <v>400000</v>
      </c>
      <c r="L105" s="106">
        <f t="shared" si="23"/>
        <v>140000</v>
      </c>
      <c r="M105" s="106">
        <f t="shared" si="21"/>
        <v>100000</v>
      </c>
    </row>
    <row r="106" spans="1:13" ht="18.75" x14ac:dyDescent="0.3">
      <c r="A106" s="130">
        <v>106</v>
      </c>
      <c r="B106" s="133" t="s">
        <v>302</v>
      </c>
      <c r="C106" s="133"/>
      <c r="D106" s="133"/>
      <c r="E106" s="119" t="s">
        <v>219</v>
      </c>
      <c r="F106" s="104" t="s">
        <v>428</v>
      </c>
      <c r="G106" s="179">
        <v>2000000</v>
      </c>
      <c r="H106" s="104" t="s">
        <v>218</v>
      </c>
      <c r="I106" s="105">
        <v>20</v>
      </c>
      <c r="J106" s="105">
        <f t="shared" si="25"/>
        <v>100000</v>
      </c>
      <c r="K106" s="103">
        <f t="shared" si="22"/>
        <v>400000</v>
      </c>
      <c r="L106" s="106">
        <f t="shared" si="23"/>
        <v>140000</v>
      </c>
      <c r="M106" s="106">
        <f t="shared" si="21"/>
        <v>100000</v>
      </c>
    </row>
    <row r="107" spans="1:13" ht="18.75" x14ac:dyDescent="0.3">
      <c r="A107" s="130">
        <v>107</v>
      </c>
      <c r="B107" s="133" t="s">
        <v>372</v>
      </c>
      <c r="C107" s="133"/>
      <c r="D107" s="133"/>
      <c r="E107" s="104" t="s">
        <v>428</v>
      </c>
      <c r="F107" s="104" t="s">
        <v>428</v>
      </c>
      <c r="G107" s="179">
        <v>700000</v>
      </c>
      <c r="H107" s="104" t="s">
        <v>218</v>
      </c>
      <c r="I107" s="105">
        <v>20</v>
      </c>
      <c r="J107" s="105">
        <f t="shared" si="25"/>
        <v>35000</v>
      </c>
      <c r="K107" s="103">
        <f t="shared" si="22"/>
        <v>140000</v>
      </c>
      <c r="L107" s="106">
        <f t="shared" si="23"/>
        <v>49000.000000000007</v>
      </c>
      <c r="M107" s="106">
        <f t="shared" si="21"/>
        <v>35000</v>
      </c>
    </row>
    <row r="108" spans="1:13" ht="18.75" x14ac:dyDescent="0.3">
      <c r="A108" s="130">
        <v>108</v>
      </c>
      <c r="B108" s="133" t="s">
        <v>305</v>
      </c>
      <c r="C108" s="144"/>
      <c r="D108" s="144"/>
      <c r="E108" s="119" t="s">
        <v>303</v>
      </c>
      <c r="F108" s="133" t="s">
        <v>240</v>
      </c>
      <c r="G108" s="224">
        <v>1500000</v>
      </c>
      <c r="H108" s="104" t="s">
        <v>218</v>
      </c>
      <c r="I108" s="105">
        <v>20</v>
      </c>
      <c r="J108" s="105">
        <f t="shared" si="25"/>
        <v>75000</v>
      </c>
      <c r="K108" s="103">
        <f t="shared" si="22"/>
        <v>300000</v>
      </c>
      <c r="L108" s="106">
        <f t="shared" si="23"/>
        <v>105000.00000000001</v>
      </c>
      <c r="M108" s="106">
        <f t="shared" si="21"/>
        <v>75000</v>
      </c>
    </row>
    <row r="109" spans="1:13" ht="18.75" x14ac:dyDescent="0.3">
      <c r="A109" s="130">
        <v>109</v>
      </c>
      <c r="B109" s="133" t="s">
        <v>306</v>
      </c>
      <c r="C109" s="144"/>
      <c r="D109" s="144"/>
      <c r="E109" s="119" t="s">
        <v>303</v>
      </c>
      <c r="F109" s="133" t="s">
        <v>240</v>
      </c>
      <c r="G109" s="200">
        <v>3000000</v>
      </c>
      <c r="H109" s="104" t="s">
        <v>218</v>
      </c>
      <c r="I109" s="105">
        <v>20</v>
      </c>
      <c r="J109" s="105">
        <f t="shared" si="25"/>
        <v>150000</v>
      </c>
      <c r="K109" s="103">
        <f t="shared" si="22"/>
        <v>600000</v>
      </c>
      <c r="L109" s="106">
        <f t="shared" si="23"/>
        <v>210000.00000000003</v>
      </c>
      <c r="M109" s="106">
        <f t="shared" si="21"/>
        <v>150000</v>
      </c>
    </row>
    <row r="110" spans="1:13" ht="18.75" x14ac:dyDescent="0.3">
      <c r="A110" s="130">
        <v>110</v>
      </c>
      <c r="B110" s="106" t="s">
        <v>323</v>
      </c>
      <c r="C110" s="150"/>
      <c r="D110" s="150"/>
      <c r="E110" s="104" t="s">
        <v>238</v>
      </c>
      <c r="F110" s="104" t="s">
        <v>428</v>
      </c>
      <c r="G110" s="201">
        <v>1000000</v>
      </c>
      <c r="H110" s="104" t="s">
        <v>218</v>
      </c>
      <c r="I110" s="105">
        <v>20</v>
      </c>
      <c r="J110" s="105">
        <f>G110*5%</f>
        <v>50000</v>
      </c>
      <c r="K110" s="103">
        <f t="shared" si="22"/>
        <v>200000</v>
      </c>
      <c r="L110" s="106">
        <f t="shared" si="23"/>
        <v>70000</v>
      </c>
      <c r="M110" s="106">
        <f t="shared" si="21"/>
        <v>50000</v>
      </c>
    </row>
    <row r="111" spans="1:13" ht="18.75" x14ac:dyDescent="0.3">
      <c r="A111" s="130">
        <v>111</v>
      </c>
      <c r="B111" s="106" t="s">
        <v>324</v>
      </c>
      <c r="C111" s="150"/>
      <c r="D111" s="150"/>
      <c r="E111" s="106" t="s">
        <v>599</v>
      </c>
      <c r="F111" s="104" t="s">
        <v>428</v>
      </c>
      <c r="G111" s="202">
        <v>700000</v>
      </c>
      <c r="H111" s="104" t="s">
        <v>308</v>
      </c>
      <c r="I111" s="105">
        <v>20</v>
      </c>
      <c r="J111" s="105">
        <f>G111*5%</f>
        <v>35000</v>
      </c>
      <c r="K111" s="103">
        <f t="shared" si="22"/>
        <v>140000</v>
      </c>
      <c r="L111" s="106">
        <f t="shared" si="23"/>
        <v>49000.000000000007</v>
      </c>
      <c r="M111" s="106">
        <f t="shared" si="21"/>
        <v>35000</v>
      </c>
    </row>
    <row r="112" spans="1:13" ht="18.75" x14ac:dyDescent="0.3">
      <c r="A112" s="130">
        <v>112</v>
      </c>
      <c r="B112" s="133" t="s">
        <v>332</v>
      </c>
      <c r="C112" s="152"/>
      <c r="D112" s="152"/>
      <c r="E112" s="119" t="s">
        <v>238</v>
      </c>
      <c r="F112" s="104" t="s">
        <v>326</v>
      </c>
      <c r="G112" s="203">
        <v>18000000</v>
      </c>
      <c r="H112" s="104" t="s">
        <v>218</v>
      </c>
      <c r="I112" s="105">
        <v>20</v>
      </c>
      <c r="J112" s="105">
        <f>G112*5%</f>
        <v>900000</v>
      </c>
      <c r="K112" s="103">
        <f t="shared" si="22"/>
        <v>3600000</v>
      </c>
      <c r="L112" s="106">
        <f t="shared" si="23"/>
        <v>1260000.0000000002</v>
      </c>
      <c r="M112" s="106">
        <f t="shared" ref="M112:M141" si="26">G112*5%</f>
        <v>900000</v>
      </c>
    </row>
    <row r="113" spans="1:13" ht="18.75" x14ac:dyDescent="0.3">
      <c r="A113" s="130">
        <v>113</v>
      </c>
      <c r="B113" s="133" t="s">
        <v>327</v>
      </c>
      <c r="C113" s="152"/>
      <c r="D113" s="152"/>
      <c r="E113" s="106" t="s">
        <v>309</v>
      </c>
      <c r="F113" s="133"/>
      <c r="G113" s="198">
        <v>3000000</v>
      </c>
      <c r="H113" s="104" t="s">
        <v>218</v>
      </c>
      <c r="I113" s="105">
        <v>20</v>
      </c>
      <c r="J113" s="153"/>
      <c r="K113" s="103">
        <f t="shared" si="22"/>
        <v>600000</v>
      </c>
      <c r="L113" s="106">
        <f t="shared" si="23"/>
        <v>210000.00000000003</v>
      </c>
      <c r="M113" s="106">
        <f t="shared" si="26"/>
        <v>150000</v>
      </c>
    </row>
    <row r="114" spans="1:13" ht="18.75" x14ac:dyDescent="0.3">
      <c r="A114" s="130">
        <v>114</v>
      </c>
      <c r="B114" s="133" t="s">
        <v>328</v>
      </c>
      <c r="C114" s="152"/>
      <c r="D114" s="152"/>
      <c r="E114" s="106" t="s">
        <v>309</v>
      </c>
      <c r="F114" s="133"/>
      <c r="G114" s="198">
        <v>3000000</v>
      </c>
      <c r="H114" s="104" t="s">
        <v>218</v>
      </c>
      <c r="I114" s="105">
        <v>20</v>
      </c>
      <c r="J114" s="153"/>
      <c r="K114" s="103">
        <f t="shared" si="22"/>
        <v>600000</v>
      </c>
      <c r="L114" s="106">
        <f t="shared" si="23"/>
        <v>210000.00000000003</v>
      </c>
      <c r="M114" s="106">
        <f t="shared" si="26"/>
        <v>150000</v>
      </c>
    </row>
    <row r="115" spans="1:13" ht="18.75" x14ac:dyDescent="0.3">
      <c r="A115" s="130">
        <v>115</v>
      </c>
      <c r="B115" s="171" t="s">
        <v>357</v>
      </c>
      <c r="C115" s="157"/>
      <c r="D115" s="157"/>
      <c r="E115" s="158" t="s">
        <v>335</v>
      </c>
      <c r="F115" s="157"/>
      <c r="G115" s="204">
        <v>2000000</v>
      </c>
      <c r="H115" s="104" t="s">
        <v>218</v>
      </c>
      <c r="I115" s="105">
        <v>20</v>
      </c>
      <c r="J115" s="156"/>
      <c r="K115" s="103">
        <f t="shared" si="22"/>
        <v>400000</v>
      </c>
      <c r="L115" s="106">
        <f t="shared" si="23"/>
        <v>140000</v>
      </c>
      <c r="M115" s="106">
        <f t="shared" si="26"/>
        <v>100000</v>
      </c>
    </row>
    <row r="116" spans="1:13" ht="37.5" x14ac:dyDescent="0.3">
      <c r="A116" s="130">
        <v>116</v>
      </c>
      <c r="B116" s="157" t="s">
        <v>358</v>
      </c>
      <c r="C116" s="164"/>
      <c r="D116" s="164"/>
      <c r="E116" s="165" t="s">
        <v>335</v>
      </c>
      <c r="F116" s="104" t="s">
        <v>428</v>
      </c>
      <c r="G116" s="205">
        <v>5000000</v>
      </c>
      <c r="H116" s="104" t="s">
        <v>218</v>
      </c>
      <c r="I116" s="105">
        <v>20</v>
      </c>
      <c r="J116" s="105">
        <f>G116*5%</f>
        <v>250000</v>
      </c>
      <c r="K116" s="103">
        <f t="shared" si="22"/>
        <v>1000000</v>
      </c>
      <c r="L116" s="106">
        <f t="shared" si="23"/>
        <v>350000.00000000006</v>
      </c>
      <c r="M116" s="106">
        <f t="shared" si="26"/>
        <v>250000</v>
      </c>
    </row>
    <row r="117" spans="1:13" ht="18.75" x14ac:dyDescent="0.3">
      <c r="A117" s="130">
        <v>117</v>
      </c>
      <c r="B117" s="157" t="s">
        <v>359</v>
      </c>
      <c r="C117" s="164"/>
      <c r="D117" s="164"/>
      <c r="E117" s="165" t="s">
        <v>335</v>
      </c>
      <c r="F117" s="104" t="s">
        <v>428</v>
      </c>
      <c r="G117" s="205">
        <v>500000</v>
      </c>
      <c r="H117" s="104" t="s">
        <v>218</v>
      </c>
      <c r="I117" s="105">
        <v>20</v>
      </c>
      <c r="J117" s="105">
        <f>G117*5%</f>
        <v>25000</v>
      </c>
      <c r="K117" s="103">
        <f t="shared" si="22"/>
        <v>100000</v>
      </c>
      <c r="L117" s="106">
        <f t="shared" si="23"/>
        <v>35000</v>
      </c>
      <c r="M117" s="106">
        <f t="shared" si="26"/>
        <v>25000</v>
      </c>
    </row>
    <row r="118" spans="1:13" ht="18.75" x14ac:dyDescent="0.3">
      <c r="A118" s="130">
        <v>118</v>
      </c>
      <c r="B118" s="157" t="s">
        <v>360</v>
      </c>
      <c r="C118" s="164"/>
      <c r="D118" s="164"/>
      <c r="E118" s="165" t="s">
        <v>335</v>
      </c>
      <c r="F118" s="104" t="s">
        <v>428</v>
      </c>
      <c r="G118" s="205">
        <v>500000</v>
      </c>
      <c r="H118" s="104" t="s">
        <v>218</v>
      </c>
      <c r="I118" s="105">
        <v>20</v>
      </c>
      <c r="J118" s="105">
        <f>G118*5%</f>
        <v>25000</v>
      </c>
      <c r="K118" s="103">
        <f t="shared" si="22"/>
        <v>100000</v>
      </c>
      <c r="L118" s="106">
        <f t="shared" si="23"/>
        <v>35000</v>
      </c>
      <c r="M118" s="106">
        <f t="shared" si="26"/>
        <v>25000</v>
      </c>
    </row>
    <row r="119" spans="1:13" ht="18.75" x14ac:dyDescent="0.3">
      <c r="A119" s="130">
        <v>119</v>
      </c>
      <c r="B119" s="157" t="s">
        <v>361</v>
      </c>
      <c r="C119" s="164"/>
      <c r="D119" s="164"/>
      <c r="E119" s="165" t="s">
        <v>308</v>
      </c>
      <c r="F119" s="164"/>
      <c r="G119" s="205">
        <v>12000000</v>
      </c>
      <c r="H119" s="104" t="s">
        <v>218</v>
      </c>
      <c r="I119" s="105">
        <v>20</v>
      </c>
      <c r="J119" s="167"/>
      <c r="K119" s="103">
        <v>3000000</v>
      </c>
      <c r="L119" s="106">
        <f>G119*5%</f>
        <v>600000</v>
      </c>
      <c r="M119" s="106">
        <f t="shared" si="26"/>
        <v>600000</v>
      </c>
    </row>
    <row r="120" spans="1:13" ht="18.75" x14ac:dyDescent="0.3">
      <c r="A120" s="130">
        <v>120</v>
      </c>
      <c r="B120" s="157" t="s">
        <v>362</v>
      </c>
      <c r="C120" s="164"/>
      <c r="D120" s="164"/>
      <c r="E120" s="106" t="s">
        <v>560</v>
      </c>
      <c r="F120" s="164"/>
      <c r="G120" s="205">
        <v>800000</v>
      </c>
      <c r="H120" s="104" t="s">
        <v>238</v>
      </c>
      <c r="I120" s="105">
        <v>20</v>
      </c>
      <c r="J120" s="167"/>
      <c r="K120" s="103">
        <f t="shared" ref="K120:K160" si="27">G120*I120%</f>
        <v>160000</v>
      </c>
      <c r="L120" s="106">
        <f t="shared" ref="L120:L160" si="28">G120*7%</f>
        <v>56000.000000000007</v>
      </c>
      <c r="M120" s="106">
        <f t="shared" si="26"/>
        <v>40000</v>
      </c>
    </row>
    <row r="121" spans="1:13" ht="18.75" x14ac:dyDescent="0.3">
      <c r="A121" s="130">
        <v>121</v>
      </c>
      <c r="B121" s="157" t="s">
        <v>363</v>
      </c>
      <c r="C121" s="164"/>
      <c r="D121" s="164"/>
      <c r="E121" s="106" t="s">
        <v>560</v>
      </c>
      <c r="F121" s="104" t="s">
        <v>428</v>
      </c>
      <c r="G121" s="205">
        <v>1000000</v>
      </c>
      <c r="H121" s="104" t="s">
        <v>238</v>
      </c>
      <c r="I121" s="105">
        <v>20</v>
      </c>
      <c r="J121" s="105">
        <f>G121*5%</f>
        <v>50000</v>
      </c>
      <c r="K121" s="103">
        <f t="shared" si="27"/>
        <v>200000</v>
      </c>
      <c r="L121" s="106">
        <f t="shared" si="28"/>
        <v>70000</v>
      </c>
      <c r="M121" s="106">
        <f t="shared" si="26"/>
        <v>50000</v>
      </c>
    </row>
    <row r="122" spans="1:13" ht="18.75" x14ac:dyDescent="0.3">
      <c r="A122" s="130">
        <v>122</v>
      </c>
      <c r="B122" s="171" t="s">
        <v>364</v>
      </c>
      <c r="C122" s="164"/>
      <c r="D122" s="164"/>
      <c r="E122" s="172" t="s">
        <v>224</v>
      </c>
      <c r="F122" s="173"/>
      <c r="G122" s="205">
        <v>3000000</v>
      </c>
      <c r="H122" s="107" t="s">
        <v>218</v>
      </c>
      <c r="I122" s="167">
        <v>20</v>
      </c>
      <c r="J122" s="167"/>
      <c r="K122" s="103">
        <f t="shared" si="27"/>
        <v>600000</v>
      </c>
      <c r="L122" s="106">
        <f t="shared" si="28"/>
        <v>210000.00000000003</v>
      </c>
      <c r="M122" s="106">
        <f t="shared" si="26"/>
        <v>150000</v>
      </c>
    </row>
    <row r="123" spans="1:13" ht="18.75" x14ac:dyDescent="0.3">
      <c r="A123" s="130">
        <v>123</v>
      </c>
      <c r="B123" s="157" t="s">
        <v>365</v>
      </c>
      <c r="C123" s="104"/>
      <c r="D123" s="164"/>
      <c r="E123" s="104" t="s">
        <v>219</v>
      </c>
      <c r="F123" s="104" t="s">
        <v>428</v>
      </c>
      <c r="G123" s="205">
        <v>300000</v>
      </c>
      <c r="H123" s="104" t="s">
        <v>218</v>
      </c>
      <c r="I123" s="167">
        <v>20</v>
      </c>
      <c r="J123" s="105">
        <f t="shared" ref="J123:J129" si="29">G123*5%</f>
        <v>15000</v>
      </c>
      <c r="K123" s="103">
        <f t="shared" si="27"/>
        <v>60000</v>
      </c>
      <c r="L123" s="106">
        <f t="shared" si="28"/>
        <v>21000.000000000004</v>
      </c>
      <c r="M123" s="106">
        <f t="shared" si="26"/>
        <v>15000</v>
      </c>
    </row>
    <row r="124" spans="1:13" ht="18.75" x14ac:dyDescent="0.3">
      <c r="A124" s="130">
        <v>124</v>
      </c>
      <c r="B124" s="164" t="s">
        <v>366</v>
      </c>
      <c r="C124" s="104"/>
      <c r="D124" s="164"/>
      <c r="E124" s="104" t="s">
        <v>219</v>
      </c>
      <c r="F124" s="104" t="s">
        <v>428</v>
      </c>
      <c r="G124" s="205">
        <v>1000000</v>
      </c>
      <c r="H124" s="104" t="s">
        <v>218</v>
      </c>
      <c r="I124" s="167">
        <v>20</v>
      </c>
      <c r="J124" s="105">
        <f t="shared" si="29"/>
        <v>50000</v>
      </c>
      <c r="K124" s="103">
        <f t="shared" si="27"/>
        <v>200000</v>
      </c>
      <c r="L124" s="106">
        <f t="shared" si="28"/>
        <v>70000</v>
      </c>
      <c r="M124" s="106">
        <f t="shared" si="26"/>
        <v>50000</v>
      </c>
    </row>
    <row r="125" spans="1:13" ht="18.75" x14ac:dyDescent="0.3">
      <c r="A125" s="130">
        <v>125</v>
      </c>
      <c r="B125" s="164" t="s">
        <v>367</v>
      </c>
      <c r="C125" s="104"/>
      <c r="D125" s="164"/>
      <c r="E125" s="104" t="s">
        <v>219</v>
      </c>
      <c r="F125" s="104" t="s">
        <v>428</v>
      </c>
      <c r="G125" s="205">
        <v>1000000</v>
      </c>
      <c r="H125" s="104" t="s">
        <v>218</v>
      </c>
      <c r="I125" s="167">
        <v>20</v>
      </c>
      <c r="J125" s="105">
        <f t="shared" si="29"/>
        <v>50000</v>
      </c>
      <c r="K125" s="103">
        <f t="shared" si="27"/>
        <v>200000</v>
      </c>
      <c r="L125" s="106">
        <f t="shared" si="28"/>
        <v>70000</v>
      </c>
      <c r="M125" s="106">
        <f t="shared" si="26"/>
        <v>50000</v>
      </c>
    </row>
    <row r="126" spans="1:13" ht="18.75" x14ac:dyDescent="0.3">
      <c r="A126" s="130">
        <v>126</v>
      </c>
      <c r="B126" s="164" t="s">
        <v>368</v>
      </c>
      <c r="C126" s="104"/>
      <c r="D126" s="164"/>
      <c r="E126" s="104" t="s">
        <v>219</v>
      </c>
      <c r="F126" s="104" t="s">
        <v>428</v>
      </c>
      <c r="G126" s="205">
        <v>1000000</v>
      </c>
      <c r="H126" s="104" t="s">
        <v>218</v>
      </c>
      <c r="I126" s="167">
        <v>20</v>
      </c>
      <c r="J126" s="105">
        <f t="shared" si="29"/>
        <v>50000</v>
      </c>
      <c r="K126" s="103">
        <f t="shared" si="27"/>
        <v>200000</v>
      </c>
      <c r="L126" s="106">
        <f t="shared" si="28"/>
        <v>70000</v>
      </c>
      <c r="M126" s="106">
        <f t="shared" si="26"/>
        <v>50000</v>
      </c>
    </row>
    <row r="127" spans="1:13" ht="18.75" x14ac:dyDescent="0.3">
      <c r="A127" s="130">
        <v>127</v>
      </c>
      <c r="B127" s="164" t="s">
        <v>369</v>
      </c>
      <c r="C127" s="104"/>
      <c r="D127" s="164"/>
      <c r="E127" s="104" t="s">
        <v>219</v>
      </c>
      <c r="F127" s="104" t="s">
        <v>428</v>
      </c>
      <c r="G127" s="205">
        <v>300000</v>
      </c>
      <c r="H127" s="104" t="s">
        <v>218</v>
      </c>
      <c r="I127" s="167">
        <v>20</v>
      </c>
      <c r="J127" s="105">
        <f t="shared" si="29"/>
        <v>15000</v>
      </c>
      <c r="K127" s="103">
        <f t="shared" si="27"/>
        <v>60000</v>
      </c>
      <c r="L127" s="106">
        <f t="shared" si="28"/>
        <v>21000.000000000004</v>
      </c>
      <c r="M127" s="106">
        <f t="shared" si="26"/>
        <v>15000</v>
      </c>
    </row>
    <row r="128" spans="1:13" ht="18.75" customHeight="1" x14ac:dyDescent="0.3">
      <c r="A128" s="130">
        <v>128</v>
      </c>
      <c r="B128" s="106" t="s">
        <v>448</v>
      </c>
      <c r="C128" s="104"/>
      <c r="D128" s="164"/>
      <c r="E128" s="104" t="s">
        <v>219</v>
      </c>
      <c r="F128" s="104" t="s">
        <v>428</v>
      </c>
      <c r="G128" s="205">
        <v>400000</v>
      </c>
      <c r="H128" s="104" t="s">
        <v>218</v>
      </c>
      <c r="I128" s="167">
        <v>20</v>
      </c>
      <c r="J128" s="105">
        <f t="shared" si="29"/>
        <v>20000</v>
      </c>
      <c r="K128" s="103">
        <f t="shared" si="27"/>
        <v>80000</v>
      </c>
      <c r="L128" s="106">
        <f t="shared" si="28"/>
        <v>28000.000000000004</v>
      </c>
      <c r="M128" s="106">
        <f t="shared" si="26"/>
        <v>20000</v>
      </c>
    </row>
    <row r="129" spans="1:13" ht="18.75" x14ac:dyDescent="0.3">
      <c r="A129" s="130">
        <v>129</v>
      </c>
      <c r="B129" s="164" t="s">
        <v>370</v>
      </c>
      <c r="C129" s="104"/>
      <c r="D129" s="164"/>
      <c r="E129" s="106" t="s">
        <v>560</v>
      </c>
      <c r="F129" s="104" t="s">
        <v>428</v>
      </c>
      <c r="G129" s="205">
        <v>1000000</v>
      </c>
      <c r="H129" s="104" t="s">
        <v>238</v>
      </c>
      <c r="I129" s="167">
        <v>20</v>
      </c>
      <c r="J129" s="105">
        <f t="shared" si="29"/>
        <v>50000</v>
      </c>
      <c r="K129" s="103">
        <f t="shared" si="27"/>
        <v>200000</v>
      </c>
      <c r="L129" s="106">
        <f t="shared" si="28"/>
        <v>70000</v>
      </c>
      <c r="M129" s="106">
        <f t="shared" si="26"/>
        <v>50000</v>
      </c>
    </row>
    <row r="130" spans="1:13" ht="18.75" x14ac:dyDescent="0.3">
      <c r="A130" s="130">
        <v>130</v>
      </c>
      <c r="B130" s="157" t="s">
        <v>371</v>
      </c>
      <c r="C130" s="104"/>
      <c r="D130" s="164"/>
      <c r="E130" s="104" t="s">
        <v>467</v>
      </c>
      <c r="F130" s="164"/>
      <c r="G130" s="205">
        <v>0</v>
      </c>
      <c r="H130" s="104" t="s">
        <v>218</v>
      </c>
      <c r="I130" s="167">
        <v>20</v>
      </c>
      <c r="J130" s="167"/>
      <c r="K130" s="103">
        <v>0</v>
      </c>
      <c r="L130" s="106">
        <f t="shared" si="28"/>
        <v>0</v>
      </c>
      <c r="M130" s="106">
        <f t="shared" si="26"/>
        <v>0</v>
      </c>
    </row>
    <row r="131" spans="1:13" ht="18.75" x14ac:dyDescent="0.3">
      <c r="A131" s="130">
        <v>131</v>
      </c>
      <c r="B131" s="157" t="s">
        <v>376</v>
      </c>
      <c r="C131" s="157"/>
      <c r="D131" s="157"/>
      <c r="E131" s="158" t="s">
        <v>335</v>
      </c>
      <c r="F131" s="157" t="s">
        <v>240</v>
      </c>
      <c r="G131" s="204">
        <v>2000000</v>
      </c>
      <c r="H131" s="104" t="s">
        <v>218</v>
      </c>
      <c r="I131" s="167">
        <v>20</v>
      </c>
      <c r="J131" s="105">
        <f t="shared" ref="J131:J136" si="30">G131*5%</f>
        <v>100000</v>
      </c>
      <c r="K131" s="103">
        <f t="shared" si="27"/>
        <v>400000</v>
      </c>
      <c r="L131" s="106">
        <f t="shared" si="28"/>
        <v>140000</v>
      </c>
      <c r="M131" s="106">
        <f t="shared" si="26"/>
        <v>100000</v>
      </c>
    </row>
    <row r="132" spans="1:13" ht="18.75" x14ac:dyDescent="0.3">
      <c r="A132" s="130">
        <v>132</v>
      </c>
      <c r="B132" s="157" t="s">
        <v>377</v>
      </c>
      <c r="C132" s="157"/>
      <c r="D132" s="157"/>
      <c r="E132" s="158" t="s">
        <v>224</v>
      </c>
      <c r="F132" s="104" t="s">
        <v>428</v>
      </c>
      <c r="G132" s="204">
        <v>0</v>
      </c>
      <c r="H132" s="104" t="s">
        <v>218</v>
      </c>
      <c r="I132" s="167">
        <v>20</v>
      </c>
      <c r="J132" s="105">
        <f t="shared" si="30"/>
        <v>0</v>
      </c>
      <c r="K132" s="103">
        <f t="shared" si="27"/>
        <v>0</v>
      </c>
      <c r="L132" s="106">
        <f t="shared" si="28"/>
        <v>0</v>
      </c>
      <c r="M132" s="106">
        <f t="shared" si="26"/>
        <v>0</v>
      </c>
    </row>
    <row r="133" spans="1:13" ht="18.75" x14ac:dyDescent="0.3">
      <c r="A133" s="130">
        <v>133</v>
      </c>
      <c r="B133" s="157" t="s">
        <v>387</v>
      </c>
      <c r="C133" s="164"/>
      <c r="D133" s="164"/>
      <c r="E133" s="104" t="s">
        <v>217</v>
      </c>
      <c r="F133" s="164" t="s">
        <v>240</v>
      </c>
      <c r="G133" s="205">
        <v>4000000</v>
      </c>
      <c r="H133" s="104" t="s">
        <v>238</v>
      </c>
      <c r="I133" s="167">
        <v>20</v>
      </c>
      <c r="J133" s="105">
        <f t="shared" si="30"/>
        <v>200000</v>
      </c>
      <c r="K133" s="103">
        <f t="shared" si="27"/>
        <v>800000</v>
      </c>
      <c r="L133" s="106">
        <f t="shared" si="28"/>
        <v>280000</v>
      </c>
      <c r="M133" s="106">
        <f t="shared" si="26"/>
        <v>200000</v>
      </c>
    </row>
    <row r="134" spans="1:13" ht="18.75" x14ac:dyDescent="0.3">
      <c r="A134" s="130">
        <v>134</v>
      </c>
      <c r="B134" s="157" t="s">
        <v>388</v>
      </c>
      <c r="C134" s="164"/>
      <c r="D134" s="164"/>
      <c r="E134" s="104" t="s">
        <v>217</v>
      </c>
      <c r="F134" s="164" t="s">
        <v>240</v>
      </c>
      <c r="G134" s="205">
        <v>0</v>
      </c>
      <c r="H134" s="104" t="s">
        <v>238</v>
      </c>
      <c r="I134" s="167">
        <v>20</v>
      </c>
      <c r="J134" s="105">
        <f t="shared" si="30"/>
        <v>0</v>
      </c>
      <c r="K134" s="103">
        <f t="shared" si="27"/>
        <v>0</v>
      </c>
      <c r="L134" s="106">
        <f t="shared" si="28"/>
        <v>0</v>
      </c>
      <c r="M134" s="106">
        <f t="shared" si="26"/>
        <v>0</v>
      </c>
    </row>
    <row r="135" spans="1:13" ht="18.75" x14ac:dyDescent="0.3">
      <c r="A135" s="130">
        <v>135</v>
      </c>
      <c r="B135" s="157" t="s">
        <v>389</v>
      </c>
      <c r="C135" s="164"/>
      <c r="D135" s="164"/>
      <c r="E135" s="104" t="s">
        <v>217</v>
      </c>
      <c r="F135" s="164" t="s">
        <v>240</v>
      </c>
      <c r="G135" s="205">
        <v>0</v>
      </c>
      <c r="H135" s="104" t="s">
        <v>238</v>
      </c>
      <c r="I135" s="167">
        <v>20</v>
      </c>
      <c r="J135" s="105">
        <f t="shared" si="30"/>
        <v>0</v>
      </c>
      <c r="K135" s="103">
        <f t="shared" si="27"/>
        <v>0</v>
      </c>
      <c r="L135" s="106">
        <f t="shared" si="28"/>
        <v>0</v>
      </c>
      <c r="M135" s="106">
        <f t="shared" si="26"/>
        <v>0</v>
      </c>
    </row>
    <row r="136" spans="1:13" ht="18.75" x14ac:dyDescent="0.3">
      <c r="A136" s="130">
        <v>136</v>
      </c>
      <c r="B136" s="157" t="s">
        <v>390</v>
      </c>
      <c r="C136" s="164"/>
      <c r="D136" s="164"/>
      <c r="E136" s="104" t="s">
        <v>471</v>
      </c>
      <c r="F136" s="164" t="s">
        <v>240</v>
      </c>
      <c r="G136" s="205">
        <v>2000000</v>
      </c>
      <c r="H136" s="104" t="s">
        <v>238</v>
      </c>
      <c r="I136" s="167">
        <v>20</v>
      </c>
      <c r="J136" s="105">
        <f t="shared" si="30"/>
        <v>100000</v>
      </c>
      <c r="K136" s="103">
        <f t="shared" si="27"/>
        <v>400000</v>
      </c>
      <c r="L136" s="106">
        <f t="shared" si="28"/>
        <v>140000</v>
      </c>
      <c r="M136" s="106">
        <f t="shared" si="26"/>
        <v>100000</v>
      </c>
    </row>
    <row r="137" spans="1:13" ht="18.75" x14ac:dyDescent="0.3">
      <c r="A137" s="130">
        <v>137</v>
      </c>
      <c r="B137" s="157" t="s">
        <v>391</v>
      </c>
      <c r="C137" s="164"/>
      <c r="D137" s="164"/>
      <c r="E137" s="165" t="s">
        <v>335</v>
      </c>
      <c r="F137" s="164"/>
      <c r="G137" s="205">
        <v>0</v>
      </c>
      <c r="H137" s="167" t="s">
        <v>218</v>
      </c>
      <c r="I137" s="167">
        <v>20</v>
      </c>
      <c r="J137" s="167"/>
      <c r="K137" s="103">
        <f t="shared" si="27"/>
        <v>0</v>
      </c>
      <c r="L137" s="106">
        <f t="shared" si="28"/>
        <v>0</v>
      </c>
      <c r="M137" s="106">
        <f t="shared" si="26"/>
        <v>0</v>
      </c>
    </row>
    <row r="138" spans="1:13" ht="18.75" x14ac:dyDescent="0.3">
      <c r="A138" s="130">
        <v>138</v>
      </c>
      <c r="B138" s="157" t="s">
        <v>392</v>
      </c>
      <c r="C138" s="164"/>
      <c r="D138" s="164"/>
      <c r="E138" s="104" t="s">
        <v>428</v>
      </c>
      <c r="F138" s="104" t="s">
        <v>428</v>
      </c>
      <c r="G138" s="205">
        <v>700000</v>
      </c>
      <c r="H138" s="167" t="s">
        <v>218</v>
      </c>
      <c r="I138" s="167">
        <v>20</v>
      </c>
      <c r="J138" s="105">
        <f t="shared" ref="J138" si="31">G138*5%</f>
        <v>35000</v>
      </c>
      <c r="K138" s="103">
        <f t="shared" si="27"/>
        <v>140000</v>
      </c>
      <c r="L138" s="106">
        <f t="shared" si="28"/>
        <v>49000.000000000007</v>
      </c>
      <c r="M138" s="106">
        <f t="shared" si="26"/>
        <v>35000</v>
      </c>
    </row>
    <row r="139" spans="1:13" ht="18.75" x14ac:dyDescent="0.3">
      <c r="A139" s="130">
        <v>139</v>
      </c>
      <c r="B139" s="157" t="s">
        <v>396</v>
      </c>
      <c r="C139" s="164"/>
      <c r="D139" s="164"/>
      <c r="E139" s="165" t="s">
        <v>235</v>
      </c>
      <c r="F139" s="164"/>
      <c r="G139" s="205">
        <v>500000</v>
      </c>
      <c r="H139" s="167" t="s">
        <v>218</v>
      </c>
      <c r="I139" s="167">
        <v>20</v>
      </c>
      <c r="J139" s="105">
        <v>0</v>
      </c>
      <c r="K139" s="103">
        <f t="shared" si="27"/>
        <v>100000</v>
      </c>
      <c r="L139" s="106">
        <f t="shared" si="28"/>
        <v>35000</v>
      </c>
      <c r="M139" s="106">
        <f t="shared" si="26"/>
        <v>25000</v>
      </c>
    </row>
    <row r="140" spans="1:13" ht="18.75" x14ac:dyDescent="0.3">
      <c r="A140" s="130">
        <v>140</v>
      </c>
      <c r="B140" s="157" t="s">
        <v>415</v>
      </c>
      <c r="C140" s="164"/>
      <c r="D140" s="164"/>
      <c r="E140" s="165" t="s">
        <v>219</v>
      </c>
      <c r="F140" s="164"/>
      <c r="G140" s="205">
        <v>6000000</v>
      </c>
      <c r="H140" s="104" t="s">
        <v>218</v>
      </c>
      <c r="I140" s="167">
        <v>20</v>
      </c>
      <c r="J140" s="105"/>
      <c r="K140" s="103">
        <f t="shared" si="27"/>
        <v>1200000</v>
      </c>
      <c r="L140" s="106">
        <f t="shared" si="28"/>
        <v>420000.00000000006</v>
      </c>
      <c r="M140" s="106">
        <f t="shared" si="26"/>
        <v>300000</v>
      </c>
    </row>
    <row r="141" spans="1:13" ht="18.75" x14ac:dyDescent="0.3">
      <c r="A141" s="130">
        <v>141</v>
      </c>
      <c r="B141" s="157" t="s">
        <v>413</v>
      </c>
      <c r="C141" s="164"/>
      <c r="D141" s="164"/>
      <c r="E141" s="107" t="s">
        <v>583</v>
      </c>
      <c r="F141" s="164"/>
      <c r="G141" s="205">
        <v>750000</v>
      </c>
      <c r="H141" s="239" t="s">
        <v>303</v>
      </c>
      <c r="I141" s="167">
        <v>20</v>
      </c>
      <c r="J141" s="105"/>
      <c r="K141" s="103">
        <f t="shared" si="27"/>
        <v>150000</v>
      </c>
      <c r="L141" s="106">
        <f t="shared" si="28"/>
        <v>52500.000000000007</v>
      </c>
      <c r="M141" s="106">
        <f t="shared" si="26"/>
        <v>37500</v>
      </c>
    </row>
    <row r="142" spans="1:13" ht="37.5" x14ac:dyDescent="0.3">
      <c r="A142" s="130">
        <v>142</v>
      </c>
      <c r="B142" s="157" t="s">
        <v>414</v>
      </c>
      <c r="C142" s="164"/>
      <c r="D142" s="164"/>
      <c r="E142" s="107" t="s">
        <v>394</v>
      </c>
      <c r="F142" s="164" t="s">
        <v>240</v>
      </c>
      <c r="G142" s="205">
        <v>1000000</v>
      </c>
      <c r="H142" s="104" t="s">
        <v>218</v>
      </c>
      <c r="I142" s="167">
        <v>20</v>
      </c>
      <c r="J142" s="105">
        <f t="shared" ref="J142" si="32">G142*5%</f>
        <v>50000</v>
      </c>
      <c r="K142" s="103">
        <f t="shared" si="27"/>
        <v>200000</v>
      </c>
      <c r="L142" s="106">
        <f t="shared" si="28"/>
        <v>70000</v>
      </c>
      <c r="M142" s="106">
        <f t="shared" ref="M142:M160" si="33">G142*5%</f>
        <v>50000</v>
      </c>
    </row>
    <row r="143" spans="1:13" ht="18.75" x14ac:dyDescent="0.3">
      <c r="A143" s="130">
        <v>143</v>
      </c>
      <c r="B143" s="225" t="s">
        <v>435</v>
      </c>
      <c r="C143" s="226"/>
      <c r="D143" s="226"/>
      <c r="E143" s="245" t="s">
        <v>394</v>
      </c>
      <c r="F143" s="226" t="s">
        <v>428</v>
      </c>
      <c r="G143" s="246">
        <v>500000</v>
      </c>
      <c r="H143" s="105" t="s">
        <v>218</v>
      </c>
      <c r="I143" s="167">
        <v>20</v>
      </c>
      <c r="J143" s="105">
        <f t="shared" ref="J143:J151" si="34">G143*5%</f>
        <v>25000</v>
      </c>
      <c r="K143" s="103">
        <f t="shared" si="27"/>
        <v>100000</v>
      </c>
      <c r="L143" s="106">
        <f t="shared" si="28"/>
        <v>35000</v>
      </c>
      <c r="M143" s="106">
        <f t="shared" si="33"/>
        <v>25000</v>
      </c>
    </row>
    <row r="144" spans="1:13" ht="18.75" x14ac:dyDescent="0.3">
      <c r="A144" s="130">
        <v>144</v>
      </c>
      <c r="B144" s="231" t="s">
        <v>440</v>
      </c>
      <c r="C144" s="231"/>
      <c r="D144" s="231"/>
      <c r="E144" s="243" t="s">
        <v>217</v>
      </c>
      <c r="F144" s="244" t="s">
        <v>240</v>
      </c>
      <c r="G144" s="235">
        <v>1000000</v>
      </c>
      <c r="H144" s="139" t="s">
        <v>238</v>
      </c>
      <c r="I144" s="139">
        <v>20</v>
      </c>
      <c r="J144" s="105">
        <f t="shared" si="34"/>
        <v>50000</v>
      </c>
      <c r="K144" s="103">
        <f t="shared" si="27"/>
        <v>200000</v>
      </c>
      <c r="L144" s="106">
        <f t="shared" si="28"/>
        <v>70000</v>
      </c>
      <c r="M144" s="106">
        <f t="shared" si="33"/>
        <v>50000</v>
      </c>
    </row>
    <row r="145" spans="1:13" ht="37.5" x14ac:dyDescent="0.3">
      <c r="A145" s="130">
        <v>145</v>
      </c>
      <c r="B145" s="157" t="s">
        <v>416</v>
      </c>
      <c r="C145" s="157"/>
      <c r="D145" s="157"/>
      <c r="E145" s="158" t="s">
        <v>224</v>
      </c>
      <c r="F145" s="164" t="s">
        <v>240</v>
      </c>
      <c r="G145" s="204">
        <v>1000000</v>
      </c>
      <c r="H145" s="167" t="s">
        <v>218</v>
      </c>
      <c r="I145" s="156">
        <v>20</v>
      </c>
      <c r="J145" s="105">
        <f t="shared" si="34"/>
        <v>50000</v>
      </c>
      <c r="K145" s="103">
        <f t="shared" si="27"/>
        <v>200000</v>
      </c>
      <c r="L145" s="106">
        <f t="shared" si="28"/>
        <v>70000</v>
      </c>
      <c r="M145" s="106">
        <f t="shared" si="33"/>
        <v>50000</v>
      </c>
    </row>
    <row r="146" spans="1:13" ht="18.75" x14ac:dyDescent="0.3">
      <c r="A146" s="130">
        <v>146</v>
      </c>
      <c r="B146" s="157" t="s">
        <v>417</v>
      </c>
      <c r="C146" s="157"/>
      <c r="D146" s="157"/>
      <c r="E146" s="158" t="s">
        <v>224</v>
      </c>
      <c r="F146" s="157" t="s">
        <v>428</v>
      </c>
      <c r="G146" s="159">
        <v>0</v>
      </c>
      <c r="H146" s="167" t="s">
        <v>218</v>
      </c>
      <c r="I146" s="156">
        <v>20</v>
      </c>
      <c r="J146" s="105">
        <f t="shared" si="34"/>
        <v>0</v>
      </c>
      <c r="K146" s="103">
        <f t="shared" si="27"/>
        <v>0</v>
      </c>
      <c r="L146" s="106">
        <f t="shared" si="28"/>
        <v>0</v>
      </c>
      <c r="M146" s="106">
        <f t="shared" si="33"/>
        <v>0</v>
      </c>
    </row>
    <row r="147" spans="1:13" ht="18.75" x14ac:dyDescent="0.3">
      <c r="A147" s="130">
        <v>147</v>
      </c>
      <c r="B147" s="157" t="s">
        <v>418</v>
      </c>
      <c r="C147" s="157"/>
      <c r="D147" s="157"/>
      <c r="E147" s="158" t="s">
        <v>238</v>
      </c>
      <c r="F147" s="157" t="s">
        <v>326</v>
      </c>
      <c r="G147" s="159">
        <v>500000</v>
      </c>
      <c r="H147" s="156" t="s">
        <v>218</v>
      </c>
      <c r="I147" s="156">
        <v>20</v>
      </c>
      <c r="J147" s="105">
        <f t="shared" si="34"/>
        <v>25000</v>
      </c>
      <c r="K147" s="103">
        <f t="shared" si="27"/>
        <v>100000</v>
      </c>
      <c r="L147" s="106">
        <f t="shared" si="28"/>
        <v>35000</v>
      </c>
      <c r="M147" s="106">
        <f t="shared" si="33"/>
        <v>25000</v>
      </c>
    </row>
    <row r="148" spans="1:13" ht="18.75" x14ac:dyDescent="0.3">
      <c r="A148" s="130">
        <v>148</v>
      </c>
      <c r="B148" s="157" t="s">
        <v>419</v>
      </c>
      <c r="C148" s="157"/>
      <c r="D148" s="157"/>
      <c r="E148" s="104" t="s">
        <v>309</v>
      </c>
      <c r="F148" s="157" t="s">
        <v>428</v>
      </c>
      <c r="G148" s="204">
        <v>3000000</v>
      </c>
      <c r="H148" s="104" t="s">
        <v>218</v>
      </c>
      <c r="I148" s="156">
        <v>20</v>
      </c>
      <c r="J148" s="105">
        <f t="shared" si="34"/>
        <v>150000</v>
      </c>
      <c r="K148" s="103">
        <f t="shared" si="27"/>
        <v>600000</v>
      </c>
      <c r="L148" s="106">
        <f t="shared" si="28"/>
        <v>210000.00000000003</v>
      </c>
      <c r="M148" s="106">
        <f t="shared" si="33"/>
        <v>150000</v>
      </c>
    </row>
    <row r="149" spans="1:13" ht="18.75" x14ac:dyDescent="0.3">
      <c r="A149" s="130">
        <v>149</v>
      </c>
      <c r="B149" s="157" t="s">
        <v>426</v>
      </c>
      <c r="C149" s="157"/>
      <c r="D149" s="157"/>
      <c r="E149" s="119" t="s">
        <v>434</v>
      </c>
      <c r="F149" s="133" t="s">
        <v>240</v>
      </c>
      <c r="G149" s="159">
        <v>5000000</v>
      </c>
      <c r="H149" s="139" t="s">
        <v>238</v>
      </c>
      <c r="I149" s="156">
        <v>25</v>
      </c>
      <c r="J149" s="105">
        <f t="shared" si="34"/>
        <v>250000</v>
      </c>
      <c r="K149" s="103">
        <f t="shared" si="27"/>
        <v>1250000</v>
      </c>
      <c r="L149" s="106">
        <f t="shared" si="28"/>
        <v>350000.00000000006</v>
      </c>
      <c r="M149" s="106">
        <f t="shared" si="33"/>
        <v>250000</v>
      </c>
    </row>
    <row r="150" spans="1:13" ht="18.75" x14ac:dyDescent="0.3">
      <c r="A150" s="130">
        <v>150</v>
      </c>
      <c r="B150" s="157" t="s">
        <v>430</v>
      </c>
      <c r="C150" s="157"/>
      <c r="D150" s="157"/>
      <c r="E150" s="119" t="s">
        <v>434</v>
      </c>
      <c r="F150" s="157" t="s">
        <v>240</v>
      </c>
      <c r="G150" s="159">
        <v>0</v>
      </c>
      <c r="H150" s="139" t="s">
        <v>238</v>
      </c>
      <c r="I150" s="156">
        <v>20</v>
      </c>
      <c r="J150" s="105">
        <f t="shared" si="34"/>
        <v>0</v>
      </c>
      <c r="K150" s="103">
        <f t="shared" si="27"/>
        <v>0</v>
      </c>
      <c r="L150" s="106">
        <f t="shared" si="28"/>
        <v>0</v>
      </c>
      <c r="M150" s="106">
        <f t="shared" si="33"/>
        <v>0</v>
      </c>
    </row>
    <row r="151" spans="1:13" ht="18.75" x14ac:dyDescent="0.3">
      <c r="A151" s="130">
        <v>151</v>
      </c>
      <c r="B151" s="157" t="s">
        <v>429</v>
      </c>
      <c r="C151" s="164"/>
      <c r="D151" s="164"/>
      <c r="E151" s="104" t="s">
        <v>590</v>
      </c>
      <c r="F151" s="164" t="s">
        <v>240</v>
      </c>
      <c r="G151" s="166">
        <v>500000</v>
      </c>
      <c r="H151" s="105" t="s">
        <v>308</v>
      </c>
      <c r="I151" s="156">
        <v>20</v>
      </c>
      <c r="J151" s="105">
        <f t="shared" si="34"/>
        <v>25000</v>
      </c>
      <c r="K151" s="103">
        <f t="shared" si="27"/>
        <v>100000</v>
      </c>
      <c r="L151" s="106">
        <f t="shared" si="28"/>
        <v>35000</v>
      </c>
      <c r="M151" s="106">
        <f t="shared" si="33"/>
        <v>25000</v>
      </c>
    </row>
    <row r="152" spans="1:13" ht="37.5" x14ac:dyDescent="0.3">
      <c r="A152" s="130">
        <v>152</v>
      </c>
      <c r="B152" s="225" t="s">
        <v>431</v>
      </c>
      <c r="C152" s="225"/>
      <c r="D152" s="225"/>
      <c r="E152" s="106" t="s">
        <v>394</v>
      </c>
      <c r="F152" s="225"/>
      <c r="G152" s="228">
        <v>500000</v>
      </c>
      <c r="H152" s="104" t="s">
        <v>218</v>
      </c>
      <c r="I152" s="156">
        <v>20</v>
      </c>
      <c r="J152" s="105">
        <v>0</v>
      </c>
      <c r="K152" s="103">
        <f t="shared" si="27"/>
        <v>100000</v>
      </c>
      <c r="L152" s="106">
        <f t="shared" si="28"/>
        <v>35000</v>
      </c>
      <c r="M152" s="106">
        <f t="shared" si="33"/>
        <v>25000</v>
      </c>
    </row>
    <row r="153" spans="1:13" ht="18.75" x14ac:dyDescent="0.3">
      <c r="A153" s="130">
        <v>153</v>
      </c>
      <c r="B153" s="226" t="s">
        <v>432</v>
      </c>
      <c r="C153" s="226"/>
      <c r="D153" s="226"/>
      <c r="E153" s="106" t="s">
        <v>394</v>
      </c>
      <c r="F153" s="226" t="s">
        <v>428</v>
      </c>
      <c r="G153" s="227">
        <v>1000000</v>
      </c>
      <c r="H153" s="104" t="s">
        <v>218</v>
      </c>
      <c r="I153" s="156">
        <v>20</v>
      </c>
      <c r="J153" s="105">
        <f>G153*5%</f>
        <v>50000</v>
      </c>
      <c r="K153" s="103">
        <f t="shared" si="27"/>
        <v>200000</v>
      </c>
      <c r="L153" s="106">
        <f t="shared" si="28"/>
        <v>70000</v>
      </c>
      <c r="M153" s="106">
        <f t="shared" si="33"/>
        <v>50000</v>
      </c>
    </row>
    <row r="154" spans="1:13" ht="18.75" x14ac:dyDescent="0.3">
      <c r="A154" s="130">
        <v>154</v>
      </c>
      <c r="B154" s="226" t="s">
        <v>433</v>
      </c>
      <c r="C154" s="226"/>
      <c r="D154" s="226"/>
      <c r="E154" s="106" t="s">
        <v>468</v>
      </c>
      <c r="F154" s="226" t="s">
        <v>428</v>
      </c>
      <c r="G154" s="246">
        <v>700000</v>
      </c>
      <c r="H154" s="104" t="s">
        <v>238</v>
      </c>
      <c r="I154" s="156">
        <v>20</v>
      </c>
      <c r="J154" s="105">
        <f>G154*5%</f>
        <v>35000</v>
      </c>
      <c r="K154" s="103">
        <f t="shared" si="27"/>
        <v>140000</v>
      </c>
      <c r="L154" s="106">
        <f t="shared" si="28"/>
        <v>49000.000000000007</v>
      </c>
      <c r="M154" s="106">
        <f t="shared" si="33"/>
        <v>35000</v>
      </c>
    </row>
    <row r="155" spans="1:13" ht="18.75" x14ac:dyDescent="0.3">
      <c r="A155" s="130">
        <v>155</v>
      </c>
      <c r="B155" s="243" t="s">
        <v>334</v>
      </c>
      <c r="C155" s="243"/>
      <c r="D155" s="99"/>
      <c r="E155" s="243" t="s">
        <v>308</v>
      </c>
      <c r="F155" s="107" t="s">
        <v>428</v>
      </c>
      <c r="G155" s="199">
        <v>1000000</v>
      </c>
      <c r="H155" s="119" t="s">
        <v>218</v>
      </c>
      <c r="I155" s="139">
        <v>20</v>
      </c>
      <c r="J155" s="105">
        <f>G155*5%</f>
        <v>50000</v>
      </c>
      <c r="K155" s="103">
        <f t="shared" si="27"/>
        <v>200000</v>
      </c>
      <c r="L155" s="106">
        <f t="shared" si="28"/>
        <v>70000</v>
      </c>
      <c r="M155" s="106">
        <f t="shared" si="33"/>
        <v>50000</v>
      </c>
    </row>
    <row r="156" spans="1:13" ht="18.75" x14ac:dyDescent="0.3">
      <c r="A156" s="130">
        <v>156</v>
      </c>
      <c r="B156" s="225" t="s">
        <v>436</v>
      </c>
      <c r="C156" s="225"/>
      <c r="D156" s="225"/>
      <c r="E156" s="119" t="s">
        <v>218</v>
      </c>
      <c r="F156" s="133" t="s">
        <v>428</v>
      </c>
      <c r="G156" s="228">
        <v>4000000</v>
      </c>
      <c r="H156" s="139" t="s">
        <v>238</v>
      </c>
      <c r="I156" s="229">
        <v>20</v>
      </c>
      <c r="J156" s="105">
        <f>G156*5%</f>
        <v>200000</v>
      </c>
      <c r="K156" s="108">
        <f t="shared" si="27"/>
        <v>800000</v>
      </c>
      <c r="L156" s="106">
        <f t="shared" si="28"/>
        <v>280000</v>
      </c>
      <c r="M156" s="109">
        <f t="shared" si="33"/>
        <v>200000</v>
      </c>
    </row>
    <row r="157" spans="1:13" ht="18.75" x14ac:dyDescent="0.3">
      <c r="A157" s="130">
        <v>157</v>
      </c>
      <c r="B157" s="133" t="s">
        <v>437</v>
      </c>
      <c r="C157" s="133"/>
      <c r="D157" s="133"/>
      <c r="E157" s="119" t="s">
        <v>335</v>
      </c>
      <c r="F157" s="133" t="s">
        <v>240</v>
      </c>
      <c r="G157" s="179">
        <v>5000000</v>
      </c>
      <c r="H157" s="139" t="s">
        <v>218</v>
      </c>
      <c r="I157" s="139">
        <v>20</v>
      </c>
      <c r="J157" s="105">
        <f>G157*5%</f>
        <v>250000</v>
      </c>
      <c r="K157" s="103">
        <f t="shared" si="27"/>
        <v>1000000</v>
      </c>
      <c r="L157" s="106">
        <f t="shared" si="28"/>
        <v>350000.00000000006</v>
      </c>
      <c r="M157" s="106">
        <f t="shared" si="33"/>
        <v>250000</v>
      </c>
    </row>
    <row r="158" spans="1:13" ht="18.75" x14ac:dyDescent="0.3">
      <c r="A158" s="130">
        <v>158</v>
      </c>
      <c r="B158" s="231" t="s">
        <v>438</v>
      </c>
      <c r="C158" s="231"/>
      <c r="D158" s="231"/>
      <c r="E158" s="106" t="s">
        <v>467</v>
      </c>
      <c r="F158" s="231"/>
      <c r="G158" s="233">
        <v>3000000</v>
      </c>
      <c r="H158" s="139" t="s">
        <v>218</v>
      </c>
      <c r="I158" s="139">
        <v>20</v>
      </c>
      <c r="J158" s="234"/>
      <c r="K158" s="103">
        <f t="shared" si="27"/>
        <v>600000</v>
      </c>
      <c r="L158" s="106">
        <f t="shared" si="28"/>
        <v>210000.00000000003</v>
      </c>
      <c r="M158" s="106">
        <f t="shared" si="33"/>
        <v>150000</v>
      </c>
    </row>
    <row r="159" spans="1:13" ht="18.75" x14ac:dyDescent="0.3">
      <c r="A159" s="130">
        <v>159</v>
      </c>
      <c r="B159" s="231" t="s">
        <v>439</v>
      </c>
      <c r="C159" s="231"/>
      <c r="D159" s="231"/>
      <c r="E159" s="106" t="s">
        <v>467</v>
      </c>
      <c r="F159" s="231"/>
      <c r="G159" s="233">
        <v>3000000</v>
      </c>
      <c r="H159" s="139" t="s">
        <v>218</v>
      </c>
      <c r="I159" s="139">
        <v>20</v>
      </c>
      <c r="J159" s="234"/>
      <c r="K159" s="103">
        <f t="shared" si="27"/>
        <v>600000</v>
      </c>
      <c r="L159" s="106">
        <f t="shared" si="28"/>
        <v>210000.00000000003</v>
      </c>
      <c r="M159" s="106">
        <f t="shared" si="33"/>
        <v>150000</v>
      </c>
    </row>
    <row r="160" spans="1:13" ht="37.5" x14ac:dyDescent="0.3">
      <c r="A160" s="130">
        <v>160</v>
      </c>
      <c r="B160" s="243" t="s">
        <v>185</v>
      </c>
      <c r="C160" s="243">
        <v>308543061</v>
      </c>
      <c r="D160" s="99" t="s">
        <v>55</v>
      </c>
      <c r="E160" s="243" t="s">
        <v>308</v>
      </c>
      <c r="F160" s="243" t="s">
        <v>428</v>
      </c>
      <c r="G160" s="199">
        <v>2000000</v>
      </c>
      <c r="H160" s="119" t="s">
        <v>218</v>
      </c>
      <c r="I160" s="139">
        <v>20</v>
      </c>
      <c r="J160" s="105">
        <f>G160*5%</f>
        <v>100000</v>
      </c>
      <c r="K160" s="103">
        <f t="shared" si="27"/>
        <v>400000</v>
      </c>
      <c r="L160" s="106">
        <f t="shared" si="28"/>
        <v>140000</v>
      </c>
      <c r="M160" s="106">
        <f t="shared" si="33"/>
        <v>100000</v>
      </c>
    </row>
    <row r="161" spans="1:13" ht="18.75" x14ac:dyDescent="0.3">
      <c r="A161" s="130">
        <v>161</v>
      </c>
      <c r="B161" s="231" t="s">
        <v>441</v>
      </c>
      <c r="C161" s="231"/>
      <c r="D161" s="231"/>
      <c r="E161" s="106" t="s">
        <v>599</v>
      </c>
      <c r="F161" s="231"/>
      <c r="G161" s="235">
        <v>500000</v>
      </c>
      <c r="H161" s="104" t="s">
        <v>308</v>
      </c>
      <c r="I161" s="139">
        <v>20</v>
      </c>
      <c r="J161" s="234"/>
      <c r="K161" s="103">
        <f t="shared" ref="K161:K166" si="35">G161*I161%</f>
        <v>100000</v>
      </c>
      <c r="L161" s="106">
        <f t="shared" ref="L161:L191" si="36">G161*7%</f>
        <v>35000</v>
      </c>
      <c r="M161" s="106">
        <f t="shared" ref="M161:M166" si="37">G161*5%</f>
        <v>25000</v>
      </c>
    </row>
    <row r="162" spans="1:13" ht="18.75" x14ac:dyDescent="0.3">
      <c r="A162" s="130">
        <v>162</v>
      </c>
      <c r="B162" s="231" t="s">
        <v>442</v>
      </c>
      <c r="C162" s="231"/>
      <c r="D162" s="231"/>
      <c r="E162" s="232" t="s">
        <v>219</v>
      </c>
      <c r="F162" s="231" t="s">
        <v>240</v>
      </c>
      <c r="G162" s="235">
        <v>1500000</v>
      </c>
      <c r="H162" s="234" t="s">
        <v>218</v>
      </c>
      <c r="I162" s="139">
        <v>20</v>
      </c>
      <c r="J162" s="105">
        <f>1500000*5%</f>
        <v>75000</v>
      </c>
      <c r="K162" s="103">
        <f t="shared" si="35"/>
        <v>300000</v>
      </c>
      <c r="L162" s="106">
        <f t="shared" si="36"/>
        <v>105000.00000000001</v>
      </c>
      <c r="M162" s="106">
        <f t="shared" si="37"/>
        <v>75000</v>
      </c>
    </row>
    <row r="163" spans="1:13" ht="18.75" x14ac:dyDescent="0.3">
      <c r="A163" s="130">
        <v>163</v>
      </c>
      <c r="B163" s="236" t="s">
        <v>443</v>
      </c>
      <c r="C163" s="236"/>
      <c r="D163" s="236"/>
      <c r="E163" s="106" t="s">
        <v>560</v>
      </c>
      <c r="F163" s="236" t="s">
        <v>240</v>
      </c>
      <c r="G163" s="238">
        <v>1000000</v>
      </c>
      <c r="H163" s="104" t="s">
        <v>238</v>
      </c>
      <c r="I163" s="139">
        <v>20</v>
      </c>
      <c r="J163" s="105">
        <f t="shared" ref="J163" si="38">G163*5%</f>
        <v>50000</v>
      </c>
      <c r="K163" s="103">
        <f t="shared" si="35"/>
        <v>200000</v>
      </c>
      <c r="L163" s="106">
        <f t="shared" si="36"/>
        <v>70000</v>
      </c>
      <c r="M163" s="106">
        <f t="shared" si="37"/>
        <v>50000</v>
      </c>
    </row>
    <row r="164" spans="1:13" ht="18.75" x14ac:dyDescent="0.3">
      <c r="A164" s="130">
        <v>164</v>
      </c>
      <c r="B164" s="236" t="s">
        <v>444</v>
      </c>
      <c r="C164" s="236"/>
      <c r="D164" s="236"/>
      <c r="E164" s="237" t="s">
        <v>218</v>
      </c>
      <c r="F164" s="236"/>
      <c r="G164" s="241">
        <v>300000</v>
      </c>
      <c r="H164" s="239" t="s">
        <v>238</v>
      </c>
      <c r="I164" s="139">
        <v>20</v>
      </c>
      <c r="J164" s="239"/>
      <c r="K164" s="103">
        <f t="shared" si="35"/>
        <v>60000</v>
      </c>
      <c r="L164" s="106">
        <f t="shared" si="36"/>
        <v>21000.000000000004</v>
      </c>
      <c r="M164" s="106">
        <f t="shared" si="37"/>
        <v>15000</v>
      </c>
    </row>
    <row r="165" spans="1:13" ht="18.75" x14ac:dyDescent="0.3">
      <c r="A165" s="130">
        <v>165</v>
      </c>
      <c r="B165" s="236" t="s">
        <v>449</v>
      </c>
      <c r="C165" s="236"/>
      <c r="D165" s="236"/>
      <c r="E165" s="237" t="s">
        <v>303</v>
      </c>
      <c r="F165" s="236" t="s">
        <v>326</v>
      </c>
      <c r="G165" s="240">
        <v>7000000</v>
      </c>
      <c r="H165" s="239" t="s">
        <v>218</v>
      </c>
      <c r="I165" s="167">
        <v>20</v>
      </c>
      <c r="J165" s="105">
        <f>G165*10%</f>
        <v>700000</v>
      </c>
      <c r="K165" s="103">
        <f t="shared" si="35"/>
        <v>1400000</v>
      </c>
      <c r="L165" s="106">
        <f t="shared" si="36"/>
        <v>490000.00000000006</v>
      </c>
      <c r="M165" s="106">
        <f t="shared" si="37"/>
        <v>350000</v>
      </c>
    </row>
    <row r="166" spans="1:13" ht="18.75" x14ac:dyDescent="0.3">
      <c r="A166" s="130">
        <v>166</v>
      </c>
      <c r="B166" s="236" t="s">
        <v>455</v>
      </c>
      <c r="C166" s="236"/>
      <c r="D166" s="236"/>
      <c r="E166" s="237" t="s">
        <v>467</v>
      </c>
      <c r="F166" s="236"/>
      <c r="G166" s="241">
        <v>5000000</v>
      </c>
      <c r="H166" s="239" t="s">
        <v>218</v>
      </c>
      <c r="I166" s="167">
        <v>20</v>
      </c>
      <c r="J166" s="239"/>
      <c r="K166" s="103">
        <f t="shared" si="35"/>
        <v>1000000</v>
      </c>
      <c r="L166" s="106">
        <f t="shared" si="36"/>
        <v>350000.00000000006</v>
      </c>
      <c r="M166" s="106">
        <f t="shared" si="37"/>
        <v>250000</v>
      </c>
    </row>
    <row r="167" spans="1:13" ht="18.75" x14ac:dyDescent="0.3">
      <c r="A167" s="130">
        <v>167</v>
      </c>
      <c r="B167" s="236" t="s">
        <v>453</v>
      </c>
      <c r="C167" s="236"/>
      <c r="D167" s="236"/>
      <c r="E167" s="237" t="s">
        <v>467</v>
      </c>
      <c r="F167" s="236"/>
      <c r="G167" s="241">
        <v>15000000</v>
      </c>
      <c r="H167" s="239" t="s">
        <v>218</v>
      </c>
      <c r="I167" s="167">
        <v>20</v>
      </c>
      <c r="J167" s="239"/>
      <c r="K167" s="103">
        <f>G167*I167%-1000000</f>
        <v>2000000</v>
      </c>
      <c r="L167" s="106">
        <f t="shared" si="36"/>
        <v>1050000</v>
      </c>
      <c r="M167" s="106">
        <f t="shared" ref="M167:M192" si="39">G167*5%</f>
        <v>750000</v>
      </c>
    </row>
    <row r="168" spans="1:13" ht="18.75" x14ac:dyDescent="0.3">
      <c r="A168" s="130">
        <v>168</v>
      </c>
      <c r="B168" s="236" t="s">
        <v>452</v>
      </c>
      <c r="C168" s="236"/>
      <c r="D168" s="236"/>
      <c r="E168" s="237" t="s">
        <v>467</v>
      </c>
      <c r="F168" s="236"/>
      <c r="G168" s="241">
        <v>5000000</v>
      </c>
      <c r="H168" s="239" t="s">
        <v>218</v>
      </c>
      <c r="I168" s="167">
        <v>20</v>
      </c>
      <c r="J168" s="239"/>
      <c r="K168" s="103">
        <f t="shared" ref="K168:K191" si="40">G168*I168%</f>
        <v>1000000</v>
      </c>
      <c r="L168" s="106">
        <f t="shared" si="36"/>
        <v>350000.00000000006</v>
      </c>
      <c r="M168" s="106">
        <f t="shared" si="39"/>
        <v>250000</v>
      </c>
    </row>
    <row r="169" spans="1:13" ht="18.75" x14ac:dyDescent="0.3">
      <c r="A169" s="130">
        <v>169</v>
      </c>
      <c r="B169" s="236" t="s">
        <v>456</v>
      </c>
      <c r="C169" s="236"/>
      <c r="D169" s="236"/>
      <c r="E169" s="106" t="s">
        <v>560</v>
      </c>
      <c r="F169" s="236"/>
      <c r="G169" s="238">
        <v>500000</v>
      </c>
      <c r="H169" s="104" t="s">
        <v>238</v>
      </c>
      <c r="I169" s="239">
        <v>20</v>
      </c>
      <c r="J169" s="239"/>
      <c r="K169" s="103">
        <f t="shared" si="40"/>
        <v>100000</v>
      </c>
      <c r="L169" s="106">
        <f t="shared" si="36"/>
        <v>35000</v>
      </c>
      <c r="M169" s="106">
        <f t="shared" si="39"/>
        <v>25000</v>
      </c>
    </row>
    <row r="170" spans="1:13" ht="18.75" x14ac:dyDescent="0.3">
      <c r="A170" s="130">
        <v>170</v>
      </c>
      <c r="B170" s="236" t="s">
        <v>454</v>
      </c>
      <c r="C170" s="236"/>
      <c r="D170" s="236"/>
      <c r="E170" s="237" t="s">
        <v>467</v>
      </c>
      <c r="F170" s="236"/>
      <c r="G170" s="238">
        <v>0</v>
      </c>
      <c r="H170" s="239" t="s">
        <v>218</v>
      </c>
      <c r="I170" s="239">
        <v>20</v>
      </c>
      <c r="J170" s="239"/>
      <c r="K170" s="103">
        <f t="shared" si="40"/>
        <v>0</v>
      </c>
      <c r="L170" s="106">
        <f t="shared" si="36"/>
        <v>0</v>
      </c>
      <c r="M170" s="106">
        <f t="shared" si="39"/>
        <v>0</v>
      </c>
    </row>
    <row r="171" spans="1:13" ht="18.75" x14ac:dyDescent="0.3">
      <c r="A171" s="130">
        <v>171</v>
      </c>
      <c r="B171" s="236" t="s">
        <v>457</v>
      </c>
      <c r="C171" s="236"/>
      <c r="D171" s="236"/>
      <c r="E171" s="237" t="s">
        <v>589</v>
      </c>
      <c r="F171" s="236"/>
      <c r="G171" s="238">
        <v>600000</v>
      </c>
      <c r="H171" s="239" t="s">
        <v>308</v>
      </c>
      <c r="I171" s="239">
        <v>20</v>
      </c>
      <c r="J171" s="239"/>
      <c r="K171" s="103">
        <f t="shared" si="40"/>
        <v>120000</v>
      </c>
      <c r="L171" s="106">
        <f t="shared" si="36"/>
        <v>42000.000000000007</v>
      </c>
      <c r="M171" s="106">
        <f t="shared" si="39"/>
        <v>30000</v>
      </c>
    </row>
    <row r="172" spans="1:13" ht="18.75" x14ac:dyDescent="0.3">
      <c r="A172" s="130">
        <v>172</v>
      </c>
      <c r="B172" s="236" t="s">
        <v>458</v>
      </c>
      <c r="C172" s="236"/>
      <c r="D172" s="236"/>
      <c r="E172" s="237" t="s">
        <v>219</v>
      </c>
      <c r="F172" s="236" t="s">
        <v>428</v>
      </c>
      <c r="G172" s="238">
        <v>2000000</v>
      </c>
      <c r="H172" s="239" t="s">
        <v>218</v>
      </c>
      <c r="I172" s="239">
        <v>20</v>
      </c>
      <c r="J172" s="105">
        <f>G172*5%</f>
        <v>100000</v>
      </c>
      <c r="K172" s="103">
        <f t="shared" si="40"/>
        <v>400000</v>
      </c>
      <c r="L172" s="106">
        <f t="shared" si="36"/>
        <v>140000</v>
      </c>
      <c r="M172" s="106">
        <f t="shared" si="39"/>
        <v>100000</v>
      </c>
    </row>
    <row r="173" spans="1:13" ht="18.75" x14ac:dyDescent="0.3">
      <c r="A173" s="130">
        <v>174</v>
      </c>
      <c r="B173" s="248" t="s">
        <v>460</v>
      </c>
      <c r="C173" s="248"/>
      <c r="D173" s="248"/>
      <c r="E173" s="249" t="s">
        <v>335</v>
      </c>
      <c r="F173" s="248" t="s">
        <v>240</v>
      </c>
      <c r="G173" s="250">
        <v>1000000</v>
      </c>
      <c r="H173" s="239" t="s">
        <v>218</v>
      </c>
      <c r="I173" s="239">
        <v>20</v>
      </c>
      <c r="J173" s="105">
        <f t="shared" ref="J173:J174" si="41">G173*5%</f>
        <v>50000</v>
      </c>
      <c r="K173" s="103">
        <f t="shared" si="40"/>
        <v>200000</v>
      </c>
      <c r="L173" s="106">
        <f t="shared" si="36"/>
        <v>70000</v>
      </c>
      <c r="M173" s="106">
        <f t="shared" si="39"/>
        <v>50000</v>
      </c>
    </row>
    <row r="174" spans="1:13" ht="18.75" x14ac:dyDescent="0.3">
      <c r="A174" s="130">
        <v>175</v>
      </c>
      <c r="B174" s="248" t="s">
        <v>461</v>
      </c>
      <c r="C174" s="248"/>
      <c r="D174" s="248"/>
      <c r="E174" s="249" t="s">
        <v>335</v>
      </c>
      <c r="F174" s="248" t="s">
        <v>240</v>
      </c>
      <c r="G174" s="250">
        <v>1000000</v>
      </c>
      <c r="H174" s="239" t="s">
        <v>218</v>
      </c>
      <c r="I174" s="239">
        <v>20</v>
      </c>
      <c r="J174" s="105">
        <f t="shared" si="41"/>
        <v>50000</v>
      </c>
      <c r="K174" s="103">
        <f t="shared" si="40"/>
        <v>200000</v>
      </c>
      <c r="L174" s="106">
        <f t="shared" si="36"/>
        <v>70000</v>
      </c>
      <c r="M174" s="106">
        <f t="shared" si="39"/>
        <v>50000</v>
      </c>
    </row>
    <row r="175" spans="1:13" ht="18.75" x14ac:dyDescent="0.3">
      <c r="A175" s="130">
        <v>176</v>
      </c>
      <c r="B175" s="236" t="s">
        <v>462</v>
      </c>
      <c r="C175" s="236"/>
      <c r="D175" s="236"/>
      <c r="E175" s="237" t="s">
        <v>335</v>
      </c>
      <c r="F175" s="236" t="s">
        <v>240</v>
      </c>
      <c r="G175" s="238">
        <v>0</v>
      </c>
      <c r="H175" s="239" t="s">
        <v>218</v>
      </c>
      <c r="I175" s="239">
        <v>20</v>
      </c>
      <c r="J175" s="239"/>
      <c r="K175" s="103">
        <f t="shared" si="40"/>
        <v>0</v>
      </c>
      <c r="L175" s="106">
        <f t="shared" si="36"/>
        <v>0</v>
      </c>
      <c r="M175" s="106">
        <f t="shared" si="39"/>
        <v>0</v>
      </c>
    </row>
    <row r="176" spans="1:13" ht="18.75" x14ac:dyDescent="0.3">
      <c r="A176" s="130">
        <v>177</v>
      </c>
      <c r="B176" s="236" t="s">
        <v>463</v>
      </c>
      <c r="C176" s="236"/>
      <c r="D176" s="236"/>
      <c r="E176" s="104" t="s">
        <v>217</v>
      </c>
      <c r="F176" s="236"/>
      <c r="G176" s="238">
        <v>0</v>
      </c>
      <c r="H176" s="104" t="s">
        <v>238</v>
      </c>
      <c r="I176" s="239">
        <v>20</v>
      </c>
      <c r="J176" s="239"/>
      <c r="K176" s="103">
        <f t="shared" si="40"/>
        <v>0</v>
      </c>
      <c r="L176" s="106">
        <f t="shared" si="36"/>
        <v>0</v>
      </c>
      <c r="M176" s="106">
        <f t="shared" si="39"/>
        <v>0</v>
      </c>
    </row>
    <row r="177" spans="1:13" ht="18.75" x14ac:dyDescent="0.3">
      <c r="A177" s="130">
        <v>178</v>
      </c>
      <c r="B177" s="236" t="s">
        <v>464</v>
      </c>
      <c r="C177" s="236"/>
      <c r="D177" s="236"/>
      <c r="E177" s="237" t="s">
        <v>219</v>
      </c>
      <c r="F177" s="236" t="s">
        <v>428</v>
      </c>
      <c r="G177" s="238">
        <v>1000000</v>
      </c>
      <c r="H177" s="239" t="s">
        <v>218</v>
      </c>
      <c r="I177" s="239">
        <v>20</v>
      </c>
      <c r="J177" s="105">
        <f t="shared" ref="J177" si="42">G177*5%</f>
        <v>50000</v>
      </c>
      <c r="K177" s="103">
        <f t="shared" si="40"/>
        <v>200000</v>
      </c>
      <c r="L177" s="106">
        <f t="shared" si="36"/>
        <v>70000</v>
      </c>
      <c r="M177" s="106">
        <f t="shared" si="39"/>
        <v>50000</v>
      </c>
    </row>
    <row r="178" spans="1:13" ht="18.75" x14ac:dyDescent="0.3">
      <c r="A178" s="130">
        <v>179</v>
      </c>
      <c r="B178" s="236" t="s">
        <v>465</v>
      </c>
      <c r="C178" s="236"/>
      <c r="D178" s="236"/>
      <c r="E178" s="104" t="s">
        <v>309</v>
      </c>
      <c r="F178" s="236" t="s">
        <v>428</v>
      </c>
      <c r="G178" s="238">
        <v>0</v>
      </c>
      <c r="H178" s="104" t="s">
        <v>218</v>
      </c>
      <c r="I178" s="239">
        <v>20</v>
      </c>
      <c r="J178" s="239"/>
      <c r="K178" s="103">
        <f t="shared" si="40"/>
        <v>0</v>
      </c>
      <c r="L178" s="106">
        <f t="shared" si="36"/>
        <v>0</v>
      </c>
      <c r="M178" s="106">
        <f t="shared" si="39"/>
        <v>0</v>
      </c>
    </row>
    <row r="179" spans="1:13" ht="18.75" x14ac:dyDescent="0.3">
      <c r="A179" s="130">
        <v>180</v>
      </c>
      <c r="B179" s="236" t="s">
        <v>466</v>
      </c>
      <c r="C179" s="236"/>
      <c r="D179" s="236"/>
      <c r="E179" s="237" t="s">
        <v>219</v>
      </c>
      <c r="F179" s="236" t="s">
        <v>428</v>
      </c>
      <c r="G179" s="238">
        <v>4000000</v>
      </c>
      <c r="H179" s="239" t="s">
        <v>218</v>
      </c>
      <c r="I179" s="239">
        <v>20</v>
      </c>
      <c r="J179" s="105">
        <f t="shared" ref="J179:J181" si="43">G179*5%</f>
        <v>200000</v>
      </c>
      <c r="K179" s="103">
        <f t="shared" si="40"/>
        <v>800000</v>
      </c>
      <c r="L179" s="106">
        <f t="shared" si="36"/>
        <v>280000</v>
      </c>
      <c r="M179" s="106">
        <f t="shared" si="39"/>
        <v>200000</v>
      </c>
    </row>
    <row r="180" spans="1:13" ht="18.75" x14ac:dyDescent="0.3">
      <c r="A180" s="130">
        <v>181</v>
      </c>
      <c r="B180" s="236" t="s">
        <v>469</v>
      </c>
      <c r="C180" s="236"/>
      <c r="D180" s="236"/>
      <c r="E180" s="237" t="s">
        <v>471</v>
      </c>
      <c r="F180" s="236" t="s">
        <v>428</v>
      </c>
      <c r="G180" s="238">
        <v>10000000</v>
      </c>
      <c r="H180" s="239" t="s">
        <v>218</v>
      </c>
      <c r="I180" s="239">
        <v>20</v>
      </c>
      <c r="J180" s="105">
        <f t="shared" si="43"/>
        <v>500000</v>
      </c>
      <c r="K180" s="103">
        <f t="shared" si="40"/>
        <v>2000000</v>
      </c>
      <c r="L180" s="106">
        <f t="shared" si="36"/>
        <v>700000.00000000012</v>
      </c>
      <c r="M180" s="106">
        <f t="shared" si="39"/>
        <v>500000</v>
      </c>
    </row>
    <row r="181" spans="1:13" ht="18.75" x14ac:dyDescent="0.3">
      <c r="A181" s="130">
        <v>182</v>
      </c>
      <c r="B181" s="236" t="s">
        <v>470</v>
      </c>
      <c r="C181" s="236"/>
      <c r="D181" s="236"/>
      <c r="E181" s="237" t="s">
        <v>471</v>
      </c>
      <c r="F181" s="236" t="s">
        <v>428</v>
      </c>
      <c r="G181" s="238">
        <v>2000000</v>
      </c>
      <c r="H181" s="239" t="s">
        <v>218</v>
      </c>
      <c r="I181" s="239">
        <v>20</v>
      </c>
      <c r="J181" s="105">
        <f t="shared" si="43"/>
        <v>100000</v>
      </c>
      <c r="K181" s="103">
        <f t="shared" si="40"/>
        <v>400000</v>
      </c>
      <c r="L181" s="106">
        <f t="shared" si="36"/>
        <v>140000</v>
      </c>
      <c r="M181" s="106">
        <f t="shared" si="39"/>
        <v>100000</v>
      </c>
    </row>
    <row r="182" spans="1:13" ht="18.75" x14ac:dyDescent="0.3">
      <c r="A182" s="130">
        <v>183</v>
      </c>
      <c r="B182" s="236" t="s">
        <v>472</v>
      </c>
      <c r="C182" s="236"/>
      <c r="D182" s="236"/>
      <c r="E182" s="237" t="s">
        <v>471</v>
      </c>
      <c r="F182" s="236"/>
      <c r="G182" s="238">
        <v>5000000</v>
      </c>
      <c r="H182" s="239" t="s">
        <v>238</v>
      </c>
      <c r="I182" s="239">
        <v>20</v>
      </c>
      <c r="J182" s="239"/>
      <c r="K182" s="103">
        <f t="shared" si="40"/>
        <v>1000000</v>
      </c>
      <c r="L182" s="106">
        <f t="shared" si="36"/>
        <v>350000.00000000006</v>
      </c>
      <c r="M182" s="106">
        <f t="shared" si="39"/>
        <v>250000</v>
      </c>
    </row>
    <row r="183" spans="1:13" ht="18.75" x14ac:dyDescent="0.3">
      <c r="A183" s="130">
        <v>184</v>
      </c>
      <c r="B183" s="236" t="s">
        <v>473</v>
      </c>
      <c r="C183" s="236"/>
      <c r="D183" s="236"/>
      <c r="E183" s="237" t="s">
        <v>471</v>
      </c>
      <c r="F183" s="236"/>
      <c r="G183" s="238">
        <v>5000000</v>
      </c>
      <c r="H183" s="239" t="s">
        <v>238</v>
      </c>
      <c r="I183" s="239">
        <v>20</v>
      </c>
      <c r="J183" s="239"/>
      <c r="K183" s="103">
        <f t="shared" si="40"/>
        <v>1000000</v>
      </c>
      <c r="L183" s="106">
        <f t="shared" si="36"/>
        <v>350000.00000000006</v>
      </c>
      <c r="M183" s="106">
        <f t="shared" si="39"/>
        <v>250000</v>
      </c>
    </row>
    <row r="184" spans="1:13" ht="18.75" x14ac:dyDescent="0.3">
      <c r="A184" s="130">
        <v>185</v>
      </c>
      <c r="B184" s="236" t="s">
        <v>474</v>
      </c>
      <c r="C184" s="236"/>
      <c r="D184" s="236"/>
      <c r="E184" s="237" t="s">
        <v>471</v>
      </c>
      <c r="F184" s="236"/>
      <c r="G184" s="238">
        <v>5000000</v>
      </c>
      <c r="H184" s="239" t="s">
        <v>238</v>
      </c>
      <c r="I184" s="239">
        <v>20</v>
      </c>
      <c r="J184" s="239"/>
      <c r="K184" s="103">
        <f t="shared" si="40"/>
        <v>1000000</v>
      </c>
      <c r="L184" s="106">
        <f t="shared" si="36"/>
        <v>350000.00000000006</v>
      </c>
      <c r="M184" s="106">
        <f t="shared" si="39"/>
        <v>250000</v>
      </c>
    </row>
    <row r="185" spans="1:13" ht="18.75" x14ac:dyDescent="0.3">
      <c r="A185" s="130">
        <v>186</v>
      </c>
      <c r="B185" s="236" t="s">
        <v>475</v>
      </c>
      <c r="C185" s="236"/>
      <c r="D185" s="236"/>
      <c r="E185" s="237" t="s">
        <v>309</v>
      </c>
      <c r="F185" s="236"/>
      <c r="G185" s="238">
        <v>3500000</v>
      </c>
      <c r="H185" s="239" t="s">
        <v>218</v>
      </c>
      <c r="I185" s="239">
        <v>20</v>
      </c>
      <c r="J185" s="239"/>
      <c r="K185" s="103">
        <f t="shared" si="40"/>
        <v>700000</v>
      </c>
      <c r="L185" s="106">
        <f t="shared" si="36"/>
        <v>245000.00000000003</v>
      </c>
      <c r="M185" s="106">
        <f t="shared" si="39"/>
        <v>175000</v>
      </c>
    </row>
    <row r="186" spans="1:13" ht="18.75" x14ac:dyDescent="0.3">
      <c r="A186" s="130">
        <v>187</v>
      </c>
      <c r="B186" s="236" t="s">
        <v>476</v>
      </c>
      <c r="C186" s="236"/>
      <c r="D186" s="236"/>
      <c r="E186" s="237" t="s">
        <v>309</v>
      </c>
      <c r="F186" s="236"/>
      <c r="G186" s="238">
        <v>3500000</v>
      </c>
      <c r="H186" s="239" t="s">
        <v>218</v>
      </c>
      <c r="I186" s="239">
        <v>20</v>
      </c>
      <c r="J186" s="239"/>
      <c r="K186" s="103">
        <f t="shared" si="40"/>
        <v>700000</v>
      </c>
      <c r="L186" s="106">
        <f t="shared" si="36"/>
        <v>245000.00000000003</v>
      </c>
      <c r="M186" s="106">
        <f t="shared" si="39"/>
        <v>175000</v>
      </c>
    </row>
    <row r="187" spans="1:13" ht="18.75" x14ac:dyDescent="0.3">
      <c r="A187" s="130">
        <v>188</v>
      </c>
      <c r="B187" s="236" t="s">
        <v>477</v>
      </c>
      <c r="C187" s="236"/>
      <c r="D187" s="236"/>
      <c r="E187" s="237" t="s">
        <v>308</v>
      </c>
      <c r="F187" s="236"/>
      <c r="G187" s="238">
        <v>1000000</v>
      </c>
      <c r="H187" s="239" t="s">
        <v>218</v>
      </c>
      <c r="I187" s="239">
        <v>10</v>
      </c>
      <c r="J187" s="239"/>
      <c r="K187" s="103">
        <f t="shared" si="40"/>
        <v>100000</v>
      </c>
      <c r="L187" s="106">
        <f t="shared" si="36"/>
        <v>70000</v>
      </c>
      <c r="M187" s="106">
        <f t="shared" si="39"/>
        <v>50000</v>
      </c>
    </row>
    <row r="188" spans="1:13" ht="18.75" x14ac:dyDescent="0.3">
      <c r="A188" s="130">
        <v>189</v>
      </c>
      <c r="B188" s="236" t="s">
        <v>478</v>
      </c>
      <c r="C188" s="236"/>
      <c r="D188" s="236"/>
      <c r="E188" s="237" t="s">
        <v>303</v>
      </c>
      <c r="F188" s="236" t="s">
        <v>326</v>
      </c>
      <c r="G188" s="238">
        <v>0</v>
      </c>
      <c r="H188" s="239" t="s">
        <v>218</v>
      </c>
      <c r="I188" s="239">
        <v>20</v>
      </c>
      <c r="J188" s="239"/>
      <c r="K188" s="103">
        <f t="shared" si="40"/>
        <v>0</v>
      </c>
      <c r="L188" s="106">
        <f t="shared" si="36"/>
        <v>0</v>
      </c>
      <c r="M188" s="106">
        <f t="shared" si="39"/>
        <v>0</v>
      </c>
    </row>
    <row r="189" spans="1:13" ht="18.75" x14ac:dyDescent="0.3">
      <c r="A189" s="130">
        <v>190</v>
      </c>
      <c r="B189" s="236" t="s">
        <v>480</v>
      </c>
      <c r="C189" s="236"/>
      <c r="D189" s="236"/>
      <c r="E189" s="237" t="s">
        <v>303</v>
      </c>
      <c r="F189" s="236" t="s">
        <v>326</v>
      </c>
      <c r="G189" s="238">
        <v>0</v>
      </c>
      <c r="H189" s="239" t="s">
        <v>218</v>
      </c>
      <c r="I189" s="239">
        <v>20</v>
      </c>
      <c r="J189" s="239"/>
      <c r="K189" s="103">
        <f t="shared" si="40"/>
        <v>0</v>
      </c>
      <c r="L189" s="106">
        <f t="shared" si="36"/>
        <v>0</v>
      </c>
      <c r="M189" s="106">
        <f t="shared" si="39"/>
        <v>0</v>
      </c>
    </row>
    <row r="190" spans="1:13" ht="18.75" x14ac:dyDescent="0.3">
      <c r="A190" s="130">
        <v>191</v>
      </c>
      <c r="B190" s="236" t="s">
        <v>481</v>
      </c>
      <c r="C190" s="236"/>
      <c r="D190" s="236"/>
      <c r="E190" s="237" t="s">
        <v>303</v>
      </c>
      <c r="F190" s="236" t="s">
        <v>326</v>
      </c>
      <c r="G190" s="238">
        <v>0</v>
      </c>
      <c r="H190" s="239" t="s">
        <v>218</v>
      </c>
      <c r="I190" s="239">
        <v>20</v>
      </c>
      <c r="J190" s="239"/>
      <c r="K190" s="103">
        <f t="shared" si="40"/>
        <v>0</v>
      </c>
      <c r="L190" s="106">
        <f t="shared" si="36"/>
        <v>0</v>
      </c>
      <c r="M190" s="106">
        <f t="shared" si="39"/>
        <v>0</v>
      </c>
    </row>
    <row r="191" spans="1:13" ht="18.75" x14ac:dyDescent="0.3">
      <c r="A191" s="130">
        <v>192</v>
      </c>
      <c r="B191" s="236" t="s">
        <v>482</v>
      </c>
      <c r="C191" s="236"/>
      <c r="D191" s="236"/>
      <c r="E191" s="237" t="s">
        <v>303</v>
      </c>
      <c r="F191" s="236" t="s">
        <v>326</v>
      </c>
      <c r="G191" s="238">
        <v>0</v>
      </c>
      <c r="H191" s="239" t="s">
        <v>218</v>
      </c>
      <c r="I191" s="239">
        <v>20</v>
      </c>
      <c r="J191" s="239"/>
      <c r="K191" s="103">
        <f t="shared" si="40"/>
        <v>0</v>
      </c>
      <c r="L191" s="106">
        <f t="shared" si="36"/>
        <v>0</v>
      </c>
      <c r="M191" s="106">
        <f t="shared" si="39"/>
        <v>0</v>
      </c>
    </row>
    <row r="192" spans="1:13" ht="18.75" x14ac:dyDescent="0.3">
      <c r="A192" s="130">
        <v>193</v>
      </c>
      <c r="B192" s="236" t="s">
        <v>479</v>
      </c>
      <c r="C192" s="236"/>
      <c r="D192" s="236"/>
      <c r="E192" s="237" t="s">
        <v>224</v>
      </c>
      <c r="F192" s="236" t="s">
        <v>326</v>
      </c>
      <c r="G192" s="238">
        <v>0</v>
      </c>
      <c r="H192" s="239" t="s">
        <v>218</v>
      </c>
      <c r="I192" s="239">
        <v>20</v>
      </c>
      <c r="J192" s="252"/>
      <c r="K192" s="103">
        <f t="shared" ref="K192" si="44">G192*I192%</f>
        <v>0</v>
      </c>
      <c r="L192" s="106">
        <f t="shared" ref="L192" si="45">G192*7%</f>
        <v>0</v>
      </c>
      <c r="M192" s="106">
        <f t="shared" si="39"/>
        <v>0</v>
      </c>
    </row>
    <row r="193" spans="1:13" ht="18.75" x14ac:dyDescent="0.3">
      <c r="A193" s="130">
        <v>194</v>
      </c>
      <c r="B193" s="236" t="s">
        <v>483</v>
      </c>
      <c r="C193" s="236"/>
      <c r="D193" s="236"/>
      <c r="E193" s="237" t="s">
        <v>224</v>
      </c>
      <c r="F193" s="236" t="s">
        <v>326</v>
      </c>
      <c r="G193" s="238">
        <v>7500000</v>
      </c>
      <c r="H193" s="239" t="s">
        <v>218</v>
      </c>
      <c r="I193" s="239">
        <v>20</v>
      </c>
      <c r="J193" s="105">
        <f t="shared" ref="J193:J197" si="46">G193*5%</f>
        <v>375000</v>
      </c>
      <c r="K193" s="103">
        <f t="shared" ref="K193:K197" si="47">G193*I193%</f>
        <v>1500000</v>
      </c>
      <c r="L193" s="106">
        <f t="shared" ref="L193:L197" si="48">G193*7%</f>
        <v>525000</v>
      </c>
      <c r="M193" s="106">
        <f t="shared" ref="M193:M197" si="49">G193*5%</f>
        <v>375000</v>
      </c>
    </row>
    <row r="194" spans="1:13" ht="18.75" x14ac:dyDescent="0.3">
      <c r="A194" s="130">
        <v>195</v>
      </c>
      <c r="B194" s="236" t="s">
        <v>493</v>
      </c>
      <c r="C194" s="236"/>
      <c r="D194" s="236"/>
      <c r="E194" s="237" t="s">
        <v>217</v>
      </c>
      <c r="F194" s="236" t="s">
        <v>428</v>
      </c>
      <c r="G194" s="238">
        <v>700000</v>
      </c>
      <c r="H194" s="239" t="s">
        <v>238</v>
      </c>
      <c r="I194" s="239">
        <v>20</v>
      </c>
      <c r="J194" s="105">
        <f t="shared" si="46"/>
        <v>35000</v>
      </c>
      <c r="K194" s="103">
        <f t="shared" si="47"/>
        <v>140000</v>
      </c>
      <c r="L194" s="106">
        <f t="shared" si="48"/>
        <v>49000.000000000007</v>
      </c>
      <c r="M194" s="106">
        <f t="shared" si="49"/>
        <v>35000</v>
      </c>
    </row>
    <row r="195" spans="1:13" ht="18.75" x14ac:dyDescent="0.3">
      <c r="A195" s="130">
        <v>196</v>
      </c>
      <c r="B195" s="236" t="s">
        <v>494</v>
      </c>
      <c r="C195" s="236"/>
      <c r="D195" s="236"/>
      <c r="E195" s="237" t="s">
        <v>303</v>
      </c>
      <c r="F195" s="236" t="s">
        <v>428</v>
      </c>
      <c r="G195" s="238">
        <v>14000000</v>
      </c>
      <c r="H195" s="239" t="s">
        <v>218</v>
      </c>
      <c r="I195" s="239">
        <v>20</v>
      </c>
      <c r="J195" s="105">
        <f t="shared" si="46"/>
        <v>700000</v>
      </c>
      <c r="K195" s="103">
        <f t="shared" si="47"/>
        <v>2800000</v>
      </c>
      <c r="L195" s="106">
        <f t="shared" si="48"/>
        <v>980000.00000000012</v>
      </c>
      <c r="M195" s="106">
        <f t="shared" si="49"/>
        <v>700000</v>
      </c>
    </row>
    <row r="196" spans="1:13" ht="18.75" x14ac:dyDescent="0.3">
      <c r="A196" s="130">
        <v>197</v>
      </c>
      <c r="B196" s="236" t="s">
        <v>495</v>
      </c>
      <c r="C196" s="236"/>
      <c r="D196" s="236"/>
      <c r="E196" s="237" t="s">
        <v>310</v>
      </c>
      <c r="F196" s="236" t="s">
        <v>240</v>
      </c>
      <c r="G196" s="240">
        <v>5000000</v>
      </c>
      <c r="H196" s="239" t="s">
        <v>238</v>
      </c>
      <c r="I196" s="239">
        <v>20</v>
      </c>
      <c r="J196" s="105">
        <f t="shared" si="46"/>
        <v>250000</v>
      </c>
      <c r="K196" s="103">
        <f t="shared" si="47"/>
        <v>1000000</v>
      </c>
      <c r="L196" s="106">
        <f t="shared" si="48"/>
        <v>350000.00000000006</v>
      </c>
      <c r="M196" s="106">
        <f t="shared" si="49"/>
        <v>250000</v>
      </c>
    </row>
    <row r="197" spans="1:13" ht="18.75" x14ac:dyDescent="0.3">
      <c r="A197" s="130">
        <v>198</v>
      </c>
      <c r="B197" s="236" t="s">
        <v>496</v>
      </c>
      <c r="C197" s="236"/>
      <c r="D197" s="236"/>
      <c r="E197" s="237" t="s">
        <v>309</v>
      </c>
      <c r="F197" s="236" t="s">
        <v>240</v>
      </c>
      <c r="G197" s="238">
        <v>4500000</v>
      </c>
      <c r="H197" s="239" t="s">
        <v>218</v>
      </c>
      <c r="I197" s="239">
        <v>20</v>
      </c>
      <c r="J197" s="105">
        <f t="shared" si="46"/>
        <v>225000</v>
      </c>
      <c r="K197" s="103">
        <f t="shared" si="47"/>
        <v>900000</v>
      </c>
      <c r="L197" s="106">
        <f t="shared" si="48"/>
        <v>315000.00000000006</v>
      </c>
      <c r="M197" s="106">
        <f t="shared" si="49"/>
        <v>225000</v>
      </c>
    </row>
    <row r="198" spans="1:13" ht="18.75" x14ac:dyDescent="0.3">
      <c r="A198" s="130">
        <v>199</v>
      </c>
      <c r="B198" s="236" t="s">
        <v>497</v>
      </c>
      <c r="C198" s="236"/>
      <c r="D198" s="236"/>
      <c r="E198" s="237" t="s">
        <v>583</v>
      </c>
      <c r="F198" s="236"/>
      <c r="G198" s="238">
        <v>1000000</v>
      </c>
      <c r="H198" s="239" t="s">
        <v>303</v>
      </c>
      <c r="I198" s="239">
        <v>20</v>
      </c>
      <c r="J198" s="239"/>
      <c r="K198" s="103">
        <f t="shared" ref="K198:K199" si="50">G198*I198%</f>
        <v>200000</v>
      </c>
      <c r="L198" s="106">
        <f t="shared" ref="L198:L252" si="51">G198*7%</f>
        <v>70000</v>
      </c>
      <c r="M198" s="106">
        <f t="shared" ref="M198:M252" si="52">G198*5%</f>
        <v>50000</v>
      </c>
    </row>
    <row r="199" spans="1:13" ht="18.75" x14ac:dyDescent="0.3">
      <c r="A199" s="130">
        <v>200</v>
      </c>
      <c r="B199" s="236" t="s">
        <v>498</v>
      </c>
      <c r="C199" s="236"/>
      <c r="D199" s="236"/>
      <c r="E199" s="237" t="s">
        <v>217</v>
      </c>
      <c r="F199" s="236"/>
      <c r="G199" s="241">
        <v>700000</v>
      </c>
      <c r="H199" s="239" t="s">
        <v>238</v>
      </c>
      <c r="I199" s="239">
        <v>20</v>
      </c>
      <c r="J199" s="239"/>
      <c r="K199" s="103">
        <f t="shared" si="50"/>
        <v>140000</v>
      </c>
      <c r="L199" s="106">
        <f t="shared" si="51"/>
        <v>49000.000000000007</v>
      </c>
      <c r="M199" s="106">
        <f t="shared" si="52"/>
        <v>35000</v>
      </c>
    </row>
    <row r="200" spans="1:13" ht="18.75" x14ac:dyDescent="0.3">
      <c r="A200" s="130">
        <v>201</v>
      </c>
      <c r="B200" s="133" t="s">
        <v>393</v>
      </c>
      <c r="C200" s="133"/>
      <c r="D200" s="106"/>
      <c r="E200" s="104" t="s">
        <v>303</v>
      </c>
      <c r="F200" s="106" t="s">
        <v>240</v>
      </c>
      <c r="G200" s="127">
        <v>2000000</v>
      </c>
      <c r="H200" s="104" t="s">
        <v>218</v>
      </c>
      <c r="I200" s="105">
        <v>20</v>
      </c>
      <c r="J200" s="105">
        <f>G200*5%</f>
        <v>100000</v>
      </c>
      <c r="K200" s="103">
        <f>G200*I200%</f>
        <v>400000</v>
      </c>
      <c r="L200" s="106">
        <f t="shared" si="51"/>
        <v>140000</v>
      </c>
      <c r="M200" s="106">
        <f t="shared" si="52"/>
        <v>100000</v>
      </c>
    </row>
    <row r="201" spans="1:13" ht="18.75" x14ac:dyDescent="0.3">
      <c r="A201" s="130">
        <v>202</v>
      </c>
      <c r="B201" s="236" t="s">
        <v>499</v>
      </c>
      <c r="C201" s="236">
        <v>302595327</v>
      </c>
      <c r="D201" s="236"/>
      <c r="E201" s="236" t="s">
        <v>550</v>
      </c>
      <c r="F201" s="236"/>
      <c r="G201" s="253">
        <v>1000000</v>
      </c>
      <c r="H201" s="104" t="s">
        <v>308</v>
      </c>
      <c r="I201" s="105">
        <v>20</v>
      </c>
      <c r="J201" s="105"/>
      <c r="K201" s="103">
        <f t="shared" ref="K201:K250" si="53">G201*I201%</f>
        <v>200000</v>
      </c>
      <c r="L201" s="106">
        <f t="shared" si="51"/>
        <v>70000</v>
      </c>
      <c r="M201" s="106">
        <f t="shared" si="52"/>
        <v>50000</v>
      </c>
    </row>
    <row r="202" spans="1:13" ht="18.75" x14ac:dyDescent="0.3">
      <c r="A202" s="130">
        <v>203</v>
      </c>
      <c r="B202" s="236" t="s">
        <v>500</v>
      </c>
      <c r="C202" s="236">
        <v>309314757</v>
      </c>
      <c r="D202" s="236"/>
      <c r="E202" s="236" t="s">
        <v>550</v>
      </c>
      <c r="F202" s="236"/>
      <c r="G202" s="253">
        <v>500000</v>
      </c>
      <c r="H202" s="104" t="s">
        <v>308</v>
      </c>
      <c r="I202" s="105">
        <v>20</v>
      </c>
      <c r="J202" s="105"/>
      <c r="K202" s="103">
        <f t="shared" si="53"/>
        <v>100000</v>
      </c>
      <c r="L202" s="106">
        <f t="shared" si="51"/>
        <v>35000</v>
      </c>
      <c r="M202" s="106">
        <f t="shared" si="52"/>
        <v>25000</v>
      </c>
    </row>
    <row r="203" spans="1:13" ht="18.75" x14ac:dyDescent="0.3">
      <c r="A203" s="130">
        <v>204</v>
      </c>
      <c r="B203" s="236" t="s">
        <v>501</v>
      </c>
      <c r="C203" s="236">
        <v>309850241</v>
      </c>
      <c r="D203" s="236"/>
      <c r="E203" s="236" t="s">
        <v>428</v>
      </c>
      <c r="F203" s="236" t="s">
        <v>428</v>
      </c>
      <c r="G203" s="253">
        <v>700000</v>
      </c>
      <c r="H203" s="104" t="s">
        <v>218</v>
      </c>
      <c r="I203" s="105">
        <v>20</v>
      </c>
      <c r="J203" s="105">
        <f t="shared" ref="J203:J205" si="54">G203*5%</f>
        <v>35000</v>
      </c>
      <c r="K203" s="103">
        <f t="shared" si="53"/>
        <v>140000</v>
      </c>
      <c r="L203" s="106">
        <f t="shared" si="51"/>
        <v>49000.000000000007</v>
      </c>
      <c r="M203" s="106">
        <f t="shared" si="52"/>
        <v>35000</v>
      </c>
    </row>
    <row r="204" spans="1:13" ht="18.75" x14ac:dyDescent="0.3">
      <c r="A204" s="130">
        <v>205</v>
      </c>
      <c r="B204" s="236" t="s">
        <v>502</v>
      </c>
      <c r="C204" s="236">
        <v>206447841</v>
      </c>
      <c r="D204" s="236"/>
      <c r="E204" s="236" t="s">
        <v>308</v>
      </c>
      <c r="F204" s="106" t="s">
        <v>240</v>
      </c>
      <c r="G204" s="253">
        <v>9500000</v>
      </c>
      <c r="H204" s="104" t="s">
        <v>218</v>
      </c>
      <c r="I204" s="105">
        <v>20</v>
      </c>
      <c r="J204" s="105">
        <f t="shared" si="54"/>
        <v>475000</v>
      </c>
      <c r="K204" s="103">
        <f t="shared" si="53"/>
        <v>1900000</v>
      </c>
      <c r="L204" s="106">
        <f t="shared" si="51"/>
        <v>665000.00000000012</v>
      </c>
      <c r="M204" s="106">
        <f t="shared" si="52"/>
        <v>475000</v>
      </c>
    </row>
    <row r="205" spans="1:13" ht="18.75" x14ac:dyDescent="0.3">
      <c r="A205" s="130">
        <v>206</v>
      </c>
      <c r="B205" s="236" t="s">
        <v>503</v>
      </c>
      <c r="C205" s="236">
        <v>306061553</v>
      </c>
      <c r="D205" s="236"/>
      <c r="E205" s="236" t="s">
        <v>308</v>
      </c>
      <c r="F205" s="106" t="s">
        <v>240</v>
      </c>
      <c r="G205" s="253">
        <v>9500000</v>
      </c>
      <c r="H205" s="104" t="s">
        <v>238</v>
      </c>
      <c r="I205" s="105">
        <v>20</v>
      </c>
      <c r="J205" s="105">
        <f t="shared" si="54"/>
        <v>475000</v>
      </c>
      <c r="K205" s="103">
        <f t="shared" si="53"/>
        <v>1900000</v>
      </c>
      <c r="L205" s="106">
        <f t="shared" si="51"/>
        <v>665000.00000000012</v>
      </c>
      <c r="M205" s="106">
        <f t="shared" si="52"/>
        <v>475000</v>
      </c>
    </row>
    <row r="206" spans="1:13" ht="18.75" x14ac:dyDescent="0.3">
      <c r="A206" s="130">
        <v>207</v>
      </c>
      <c r="B206" s="236" t="s">
        <v>504</v>
      </c>
      <c r="C206" s="236">
        <v>302080350</v>
      </c>
      <c r="D206" s="236"/>
      <c r="E206" s="236" t="s">
        <v>308</v>
      </c>
      <c r="F206" s="236" t="s">
        <v>240</v>
      </c>
      <c r="G206" s="253">
        <v>1000000</v>
      </c>
      <c r="H206" s="104" t="s">
        <v>238</v>
      </c>
      <c r="I206" s="105">
        <v>20</v>
      </c>
      <c r="J206" s="105">
        <f>G206*5%*2</f>
        <v>100000</v>
      </c>
      <c r="K206" s="103">
        <f t="shared" si="53"/>
        <v>200000</v>
      </c>
      <c r="L206" s="106">
        <f t="shared" si="51"/>
        <v>70000</v>
      </c>
      <c r="M206" s="106">
        <f t="shared" si="52"/>
        <v>50000</v>
      </c>
    </row>
    <row r="207" spans="1:13" ht="18.75" x14ac:dyDescent="0.3">
      <c r="A207" s="130">
        <v>208</v>
      </c>
      <c r="B207" s="236" t="s">
        <v>505</v>
      </c>
      <c r="C207" s="236">
        <v>308722764</v>
      </c>
      <c r="D207" s="236"/>
      <c r="E207" s="236" t="s">
        <v>467</v>
      </c>
      <c r="F207" s="236" t="s">
        <v>551</v>
      </c>
      <c r="G207" s="253">
        <v>7000000</v>
      </c>
      <c r="H207" s="104" t="s">
        <v>218</v>
      </c>
      <c r="I207" s="105">
        <v>20</v>
      </c>
      <c r="J207" s="105">
        <f>Таблица3[[#This Row],[Столбец7]]*5%</f>
        <v>350000</v>
      </c>
      <c r="K207" s="103">
        <f t="shared" si="53"/>
        <v>1400000</v>
      </c>
      <c r="L207" s="106">
        <f t="shared" si="51"/>
        <v>490000.00000000006</v>
      </c>
      <c r="M207" s="106">
        <f t="shared" si="52"/>
        <v>350000</v>
      </c>
    </row>
    <row r="208" spans="1:13" ht="18.75" x14ac:dyDescent="0.3">
      <c r="A208" s="130">
        <v>209</v>
      </c>
      <c r="B208" s="236" t="s">
        <v>506</v>
      </c>
      <c r="C208" s="236">
        <v>312094462</v>
      </c>
      <c r="D208" s="236"/>
      <c r="E208" s="236" t="s">
        <v>467</v>
      </c>
      <c r="F208" s="236"/>
      <c r="G208" s="253">
        <v>0</v>
      </c>
      <c r="H208" s="104" t="s">
        <v>218</v>
      </c>
      <c r="I208" s="105">
        <v>20</v>
      </c>
      <c r="J208" s="105"/>
      <c r="K208" s="103">
        <f t="shared" si="53"/>
        <v>0</v>
      </c>
      <c r="L208" s="106">
        <f t="shared" si="51"/>
        <v>0</v>
      </c>
      <c r="M208" s="106">
        <f t="shared" si="52"/>
        <v>0</v>
      </c>
    </row>
    <row r="209" spans="1:13" ht="18.75" x14ac:dyDescent="0.3">
      <c r="A209" s="130">
        <v>210</v>
      </c>
      <c r="B209" s="236" t="s">
        <v>507</v>
      </c>
      <c r="C209" s="236">
        <v>305956530</v>
      </c>
      <c r="D209" s="236"/>
      <c r="E209" s="236" t="s">
        <v>467</v>
      </c>
      <c r="F209" s="236" t="s">
        <v>551</v>
      </c>
      <c r="G209" s="253">
        <v>3000000</v>
      </c>
      <c r="H209" s="104" t="s">
        <v>218</v>
      </c>
      <c r="I209" s="105">
        <v>20</v>
      </c>
      <c r="J209" s="105">
        <f>Таблица3[[#This Row],[Столбец7]]*5%</f>
        <v>150000</v>
      </c>
      <c r="K209" s="103">
        <f t="shared" si="53"/>
        <v>600000</v>
      </c>
      <c r="L209" s="106">
        <f t="shared" si="51"/>
        <v>210000.00000000003</v>
      </c>
      <c r="M209" s="106">
        <f t="shared" si="52"/>
        <v>150000</v>
      </c>
    </row>
    <row r="210" spans="1:13" ht="18.75" x14ac:dyDescent="0.3">
      <c r="A210" s="130">
        <v>211</v>
      </c>
      <c r="B210" s="236" t="s">
        <v>508</v>
      </c>
      <c r="C210" s="236">
        <v>311910064</v>
      </c>
      <c r="D210" s="236"/>
      <c r="E210" s="236" t="s">
        <v>549</v>
      </c>
      <c r="F210" s="236" t="s">
        <v>551</v>
      </c>
      <c r="G210" s="253">
        <v>500000</v>
      </c>
      <c r="H210" s="104" t="s">
        <v>308</v>
      </c>
      <c r="I210" s="105">
        <v>20</v>
      </c>
      <c r="J210" s="105">
        <f>Таблица3[[#This Row],[Столбец7]]*5%</f>
        <v>25000</v>
      </c>
      <c r="K210" s="103">
        <f t="shared" si="53"/>
        <v>100000</v>
      </c>
      <c r="L210" s="106">
        <f t="shared" si="51"/>
        <v>35000</v>
      </c>
      <c r="M210" s="106">
        <f t="shared" si="52"/>
        <v>25000</v>
      </c>
    </row>
    <row r="211" spans="1:13" ht="18.75" x14ac:dyDescent="0.3">
      <c r="A211" s="130">
        <v>212</v>
      </c>
      <c r="B211" s="236" t="s">
        <v>509</v>
      </c>
      <c r="C211" s="236">
        <v>312391054</v>
      </c>
      <c r="D211" s="236"/>
      <c r="E211" s="236" t="s">
        <v>549</v>
      </c>
      <c r="F211" s="236" t="s">
        <v>551</v>
      </c>
      <c r="G211" s="253">
        <v>500000</v>
      </c>
      <c r="H211" s="104" t="s">
        <v>308</v>
      </c>
      <c r="I211" s="105">
        <v>20</v>
      </c>
      <c r="J211" s="105">
        <f>Таблица3[[#This Row],[Столбец7]]*5%</f>
        <v>25000</v>
      </c>
      <c r="K211" s="103">
        <f t="shared" si="53"/>
        <v>100000</v>
      </c>
      <c r="L211" s="106">
        <f t="shared" si="51"/>
        <v>35000</v>
      </c>
      <c r="M211" s="106">
        <f t="shared" si="52"/>
        <v>25000</v>
      </c>
    </row>
    <row r="212" spans="1:13" ht="18.75" x14ac:dyDescent="0.3">
      <c r="A212" s="130">
        <v>213</v>
      </c>
      <c r="B212" s="236" t="s">
        <v>510</v>
      </c>
      <c r="C212" s="236">
        <v>312305364</v>
      </c>
      <c r="D212" s="236"/>
      <c r="E212" s="236" t="s">
        <v>549</v>
      </c>
      <c r="F212" s="236" t="s">
        <v>551</v>
      </c>
      <c r="G212" s="253">
        <v>1000000</v>
      </c>
      <c r="H212" s="104" t="s">
        <v>308</v>
      </c>
      <c r="I212" s="105">
        <v>20</v>
      </c>
      <c r="J212" s="105">
        <f>Таблица3[[#This Row],[Столбец7]]*5%</f>
        <v>50000</v>
      </c>
      <c r="K212" s="103">
        <f t="shared" si="53"/>
        <v>200000</v>
      </c>
      <c r="L212" s="106">
        <f t="shared" si="51"/>
        <v>70000</v>
      </c>
      <c r="M212" s="106">
        <f t="shared" si="52"/>
        <v>50000</v>
      </c>
    </row>
    <row r="213" spans="1:13" ht="18.75" x14ac:dyDescent="0.3">
      <c r="A213" s="130">
        <v>214</v>
      </c>
      <c r="B213" s="236" t="s">
        <v>511</v>
      </c>
      <c r="C213" s="236">
        <v>302672681</v>
      </c>
      <c r="D213" s="236"/>
      <c r="E213" s="236" t="s">
        <v>308</v>
      </c>
      <c r="F213" s="106" t="s">
        <v>240</v>
      </c>
      <c r="G213" s="253">
        <v>8000000</v>
      </c>
      <c r="H213" s="104" t="s">
        <v>218</v>
      </c>
      <c r="I213" s="105">
        <v>20</v>
      </c>
      <c r="J213" s="105">
        <f>G213*5%</f>
        <v>400000</v>
      </c>
      <c r="K213" s="103">
        <f t="shared" si="53"/>
        <v>1600000</v>
      </c>
      <c r="L213" s="106">
        <f t="shared" si="51"/>
        <v>560000</v>
      </c>
      <c r="M213" s="106">
        <f t="shared" si="52"/>
        <v>400000</v>
      </c>
    </row>
    <row r="214" spans="1:13" ht="18.75" x14ac:dyDescent="0.3">
      <c r="A214" s="130">
        <v>215</v>
      </c>
      <c r="B214" s="236" t="s">
        <v>512</v>
      </c>
      <c r="C214" s="236">
        <v>304219671</v>
      </c>
      <c r="D214" s="236"/>
      <c r="E214" s="236" t="s">
        <v>549</v>
      </c>
      <c r="F214" s="236"/>
      <c r="G214" s="253">
        <v>6000000</v>
      </c>
      <c r="H214" s="104" t="s">
        <v>308</v>
      </c>
      <c r="I214" s="105">
        <v>20</v>
      </c>
      <c r="J214" s="105"/>
      <c r="K214" s="103">
        <f t="shared" si="53"/>
        <v>1200000</v>
      </c>
      <c r="L214" s="106">
        <f t="shared" si="51"/>
        <v>420000.00000000006</v>
      </c>
      <c r="M214" s="106">
        <f t="shared" si="52"/>
        <v>300000</v>
      </c>
    </row>
    <row r="215" spans="1:13" ht="18.75" x14ac:dyDescent="0.3">
      <c r="A215" s="130">
        <v>216</v>
      </c>
      <c r="B215" s="236" t="s">
        <v>513</v>
      </c>
      <c r="C215" s="236">
        <v>309378456</v>
      </c>
      <c r="D215" s="236"/>
      <c r="E215" s="106" t="s">
        <v>310</v>
      </c>
      <c r="F215" s="236" t="s">
        <v>551</v>
      </c>
      <c r="G215" s="253">
        <v>1300000</v>
      </c>
      <c r="H215" s="104" t="s">
        <v>238</v>
      </c>
      <c r="I215" s="105">
        <v>20</v>
      </c>
      <c r="J215" s="105">
        <f>Таблица3[[#This Row],[Столбец7]]*5%</f>
        <v>65000</v>
      </c>
      <c r="K215" s="103">
        <f t="shared" si="53"/>
        <v>260000</v>
      </c>
      <c r="L215" s="106">
        <f t="shared" si="51"/>
        <v>91000.000000000015</v>
      </c>
      <c r="M215" s="106">
        <f t="shared" si="52"/>
        <v>65000</v>
      </c>
    </row>
    <row r="216" spans="1:13" ht="18.75" x14ac:dyDescent="0.3">
      <c r="A216" s="130">
        <v>217</v>
      </c>
      <c r="B216" s="236" t="s">
        <v>514</v>
      </c>
      <c r="C216" s="236">
        <v>305846138</v>
      </c>
      <c r="D216" s="236"/>
      <c r="E216" s="106" t="s">
        <v>310</v>
      </c>
      <c r="F216" s="236"/>
      <c r="G216" s="253">
        <v>1500000</v>
      </c>
      <c r="H216" s="104" t="s">
        <v>238</v>
      </c>
      <c r="I216" s="105">
        <v>20</v>
      </c>
      <c r="J216" s="105"/>
      <c r="K216" s="103">
        <f t="shared" si="53"/>
        <v>300000</v>
      </c>
      <c r="L216" s="106">
        <f t="shared" si="51"/>
        <v>105000.00000000001</v>
      </c>
      <c r="M216" s="106">
        <f t="shared" si="52"/>
        <v>75000</v>
      </c>
    </row>
    <row r="217" spans="1:13" ht="37.5" x14ac:dyDescent="0.3">
      <c r="A217" s="130">
        <v>218</v>
      </c>
      <c r="B217" s="236" t="s">
        <v>515</v>
      </c>
      <c r="C217" s="236">
        <v>305578771</v>
      </c>
      <c r="D217" s="236"/>
      <c r="E217" s="106" t="s">
        <v>310</v>
      </c>
      <c r="F217" s="236" t="s">
        <v>551</v>
      </c>
      <c r="G217" s="253">
        <v>800000</v>
      </c>
      <c r="H217" s="104" t="s">
        <v>238</v>
      </c>
      <c r="I217" s="105">
        <v>20</v>
      </c>
      <c r="J217" s="105">
        <f>Таблица3[[#This Row],[Столбец7]]*5%</f>
        <v>40000</v>
      </c>
      <c r="K217" s="103">
        <f t="shared" si="53"/>
        <v>160000</v>
      </c>
      <c r="L217" s="106">
        <f t="shared" si="51"/>
        <v>56000.000000000007</v>
      </c>
      <c r="M217" s="106">
        <f t="shared" si="52"/>
        <v>40000</v>
      </c>
    </row>
    <row r="218" spans="1:13" ht="18.75" x14ac:dyDescent="0.3">
      <c r="A218" s="130">
        <v>219</v>
      </c>
      <c r="B218" s="236" t="s">
        <v>516</v>
      </c>
      <c r="C218" s="236">
        <v>30905921571729</v>
      </c>
      <c r="D218" s="236"/>
      <c r="E218" s="106" t="s">
        <v>310</v>
      </c>
      <c r="F218" s="236"/>
      <c r="G218" s="253">
        <v>1000000</v>
      </c>
      <c r="H218" s="104" t="s">
        <v>238</v>
      </c>
      <c r="I218" s="105">
        <v>20</v>
      </c>
      <c r="J218" s="105"/>
      <c r="K218" s="103">
        <f t="shared" si="53"/>
        <v>200000</v>
      </c>
      <c r="L218" s="106">
        <f t="shared" si="51"/>
        <v>70000</v>
      </c>
      <c r="M218" s="106">
        <f t="shared" si="52"/>
        <v>50000</v>
      </c>
    </row>
    <row r="219" spans="1:13" ht="18.75" x14ac:dyDescent="0.3">
      <c r="A219" s="130">
        <v>220</v>
      </c>
      <c r="B219" s="236" t="s">
        <v>517</v>
      </c>
      <c r="C219" s="236">
        <v>310585944</v>
      </c>
      <c r="D219" s="236"/>
      <c r="E219" s="106" t="s">
        <v>310</v>
      </c>
      <c r="F219" s="236"/>
      <c r="G219" s="253">
        <v>1000000</v>
      </c>
      <c r="H219" s="104" t="s">
        <v>238</v>
      </c>
      <c r="I219" s="105">
        <v>20</v>
      </c>
      <c r="J219" s="105"/>
      <c r="K219" s="103">
        <f t="shared" si="53"/>
        <v>200000</v>
      </c>
      <c r="L219" s="106">
        <f t="shared" si="51"/>
        <v>70000</v>
      </c>
      <c r="M219" s="106">
        <f t="shared" si="52"/>
        <v>50000</v>
      </c>
    </row>
    <row r="220" spans="1:13" ht="18.75" x14ac:dyDescent="0.3">
      <c r="A220" s="130">
        <v>221</v>
      </c>
      <c r="B220" s="236" t="s">
        <v>518</v>
      </c>
      <c r="C220" s="236">
        <v>311250245</v>
      </c>
      <c r="D220" s="236"/>
      <c r="E220" s="236" t="s">
        <v>549</v>
      </c>
      <c r="F220" s="236" t="s">
        <v>551</v>
      </c>
      <c r="G220" s="253">
        <v>2000000</v>
      </c>
      <c r="H220" s="104" t="s">
        <v>308</v>
      </c>
      <c r="I220" s="105">
        <v>20</v>
      </c>
      <c r="J220" s="105">
        <f>Таблица3[[#This Row],[Столбец7]]*5%</f>
        <v>100000</v>
      </c>
      <c r="K220" s="103">
        <f t="shared" si="53"/>
        <v>400000</v>
      </c>
      <c r="L220" s="106">
        <f t="shared" si="51"/>
        <v>140000</v>
      </c>
      <c r="M220" s="106">
        <f t="shared" si="52"/>
        <v>100000</v>
      </c>
    </row>
    <row r="221" spans="1:13" ht="18.75" x14ac:dyDescent="0.3">
      <c r="A221" s="130">
        <v>222</v>
      </c>
      <c r="B221" s="236" t="s">
        <v>519</v>
      </c>
      <c r="C221" s="236">
        <v>312405929</v>
      </c>
      <c r="D221" s="236"/>
      <c r="E221" s="236" t="s">
        <v>549</v>
      </c>
      <c r="F221" s="236"/>
      <c r="G221" s="253">
        <v>2500000</v>
      </c>
      <c r="H221" s="104" t="s">
        <v>308</v>
      </c>
      <c r="I221" s="105">
        <v>20</v>
      </c>
      <c r="J221" s="105"/>
      <c r="K221" s="103">
        <f t="shared" si="53"/>
        <v>500000</v>
      </c>
      <c r="L221" s="106">
        <f t="shared" si="51"/>
        <v>175000.00000000003</v>
      </c>
      <c r="M221" s="106">
        <f t="shared" si="52"/>
        <v>125000</v>
      </c>
    </row>
    <row r="222" spans="1:13" ht="18.75" x14ac:dyDescent="0.3">
      <c r="A222" s="130">
        <v>223</v>
      </c>
      <c r="B222" s="236" t="s">
        <v>520</v>
      </c>
      <c r="C222" s="236">
        <v>311074535</v>
      </c>
      <c r="D222" s="236"/>
      <c r="E222" s="236" t="s">
        <v>219</v>
      </c>
      <c r="F222" s="236" t="s">
        <v>551</v>
      </c>
      <c r="G222" s="253">
        <v>6000000</v>
      </c>
      <c r="H222" s="104" t="s">
        <v>218</v>
      </c>
      <c r="I222" s="105">
        <v>20</v>
      </c>
      <c r="J222" s="105">
        <f>Таблица3[[#This Row],[Столбец7]]*5%</f>
        <v>300000</v>
      </c>
      <c r="K222" s="103">
        <f t="shared" si="53"/>
        <v>1200000</v>
      </c>
      <c r="L222" s="106">
        <f t="shared" si="51"/>
        <v>420000.00000000006</v>
      </c>
      <c r="M222" s="106">
        <f t="shared" si="52"/>
        <v>300000</v>
      </c>
    </row>
    <row r="223" spans="1:13" ht="18.75" x14ac:dyDescent="0.3">
      <c r="A223" s="130">
        <v>224</v>
      </c>
      <c r="B223" s="236" t="s">
        <v>521</v>
      </c>
      <c r="C223" s="236">
        <v>309449913</v>
      </c>
      <c r="D223" s="236"/>
      <c r="E223" s="236" t="s">
        <v>217</v>
      </c>
      <c r="F223" s="236" t="s">
        <v>551</v>
      </c>
      <c r="G223" s="253">
        <v>1500000</v>
      </c>
      <c r="H223" s="104" t="s">
        <v>238</v>
      </c>
      <c r="I223" s="105">
        <v>20</v>
      </c>
      <c r="J223" s="105">
        <f>Таблица3[[#This Row],[Столбец7]]*5%</f>
        <v>75000</v>
      </c>
      <c r="K223" s="103">
        <f t="shared" si="53"/>
        <v>300000</v>
      </c>
      <c r="L223" s="106">
        <f t="shared" si="51"/>
        <v>105000.00000000001</v>
      </c>
      <c r="M223" s="106">
        <f t="shared" si="52"/>
        <v>75000</v>
      </c>
    </row>
    <row r="224" spans="1:13" ht="18.75" x14ac:dyDescent="0.3">
      <c r="A224" s="130">
        <v>225</v>
      </c>
      <c r="B224" s="236" t="s">
        <v>522</v>
      </c>
      <c r="C224" s="236">
        <v>40806820470047</v>
      </c>
      <c r="D224" s="236"/>
      <c r="E224" s="106" t="s">
        <v>217</v>
      </c>
      <c r="F224" s="236" t="s">
        <v>551</v>
      </c>
      <c r="G224" s="253">
        <v>0</v>
      </c>
      <c r="H224" s="104" t="s">
        <v>238</v>
      </c>
      <c r="I224" s="105">
        <v>20</v>
      </c>
      <c r="J224" s="105">
        <f>Таблица3[[#This Row],[Столбец7]]*5%</f>
        <v>0</v>
      </c>
      <c r="K224" s="103">
        <f t="shared" si="53"/>
        <v>0</v>
      </c>
      <c r="L224" s="106">
        <f t="shared" si="51"/>
        <v>0</v>
      </c>
      <c r="M224" s="106">
        <f t="shared" si="52"/>
        <v>0</v>
      </c>
    </row>
    <row r="225" spans="1:13" ht="18.75" x14ac:dyDescent="0.3">
      <c r="A225" s="130">
        <v>226</v>
      </c>
      <c r="B225" s="236" t="s">
        <v>523</v>
      </c>
      <c r="C225" s="236">
        <v>310393360</v>
      </c>
      <c r="D225" s="236"/>
      <c r="E225" s="106" t="s">
        <v>310</v>
      </c>
      <c r="F225" s="236" t="s">
        <v>551</v>
      </c>
      <c r="G225" s="253">
        <v>0</v>
      </c>
      <c r="H225" s="104" t="s">
        <v>238</v>
      </c>
      <c r="I225" s="105">
        <v>20</v>
      </c>
      <c r="J225" s="105">
        <f>Таблица3[[#This Row],[Столбец7]]*5%</f>
        <v>0</v>
      </c>
      <c r="K225" s="103">
        <f t="shared" si="53"/>
        <v>0</v>
      </c>
      <c r="L225" s="106">
        <f t="shared" si="51"/>
        <v>0</v>
      </c>
      <c r="M225" s="106">
        <f t="shared" si="52"/>
        <v>0</v>
      </c>
    </row>
    <row r="226" spans="1:13" ht="18.75" x14ac:dyDescent="0.3">
      <c r="A226" s="130">
        <v>227</v>
      </c>
      <c r="B226" s="236" t="s">
        <v>524</v>
      </c>
      <c r="C226" s="236">
        <v>40404772720014</v>
      </c>
      <c r="D226" s="236"/>
      <c r="E226" s="106" t="s">
        <v>310</v>
      </c>
      <c r="F226" s="236" t="s">
        <v>551</v>
      </c>
      <c r="G226" s="253">
        <v>0</v>
      </c>
      <c r="H226" s="104" t="s">
        <v>238</v>
      </c>
      <c r="I226" s="105">
        <v>20</v>
      </c>
      <c r="J226" s="105">
        <f>Таблица3[[#This Row],[Столбец7]]*5%</f>
        <v>0</v>
      </c>
      <c r="K226" s="103">
        <f t="shared" si="53"/>
        <v>0</v>
      </c>
      <c r="L226" s="106">
        <f t="shared" si="51"/>
        <v>0</v>
      </c>
      <c r="M226" s="106">
        <f t="shared" si="52"/>
        <v>0</v>
      </c>
    </row>
    <row r="227" spans="1:13" ht="18.75" x14ac:dyDescent="0.3">
      <c r="A227" s="130">
        <v>228</v>
      </c>
      <c r="B227" s="236" t="s">
        <v>525</v>
      </c>
      <c r="C227" s="236">
        <v>307807888</v>
      </c>
      <c r="D227" s="236"/>
      <c r="E227" s="106" t="s">
        <v>310</v>
      </c>
      <c r="F227" s="236"/>
      <c r="G227" s="253">
        <v>1400000</v>
      </c>
      <c r="H227" s="104" t="s">
        <v>238</v>
      </c>
      <c r="I227" s="105">
        <v>20</v>
      </c>
      <c r="J227" s="105"/>
      <c r="K227" s="103">
        <f t="shared" si="53"/>
        <v>280000</v>
      </c>
      <c r="L227" s="106">
        <f t="shared" si="51"/>
        <v>98000.000000000015</v>
      </c>
      <c r="M227" s="106">
        <f t="shared" si="52"/>
        <v>70000</v>
      </c>
    </row>
    <row r="228" spans="1:13" ht="18.75" x14ac:dyDescent="0.3">
      <c r="A228" s="130">
        <v>229</v>
      </c>
      <c r="B228" s="236" t="s">
        <v>526</v>
      </c>
      <c r="C228" s="236">
        <v>311985232</v>
      </c>
      <c r="D228" s="236"/>
      <c r="E228" s="236" t="s">
        <v>468</v>
      </c>
      <c r="F228" s="236"/>
      <c r="G228" s="253">
        <v>500000</v>
      </c>
      <c r="H228" s="104" t="s">
        <v>238</v>
      </c>
      <c r="I228" s="105">
        <v>20</v>
      </c>
      <c r="J228" s="105"/>
      <c r="K228" s="103">
        <f t="shared" si="53"/>
        <v>100000</v>
      </c>
      <c r="L228" s="106">
        <f t="shared" si="51"/>
        <v>35000</v>
      </c>
      <c r="M228" s="106">
        <f t="shared" si="52"/>
        <v>25000</v>
      </c>
    </row>
    <row r="229" spans="1:13" ht="18.75" x14ac:dyDescent="0.3">
      <c r="A229" s="130">
        <v>230</v>
      </c>
      <c r="B229" s="236" t="s">
        <v>527</v>
      </c>
      <c r="C229" s="236">
        <v>311494868</v>
      </c>
      <c r="D229" s="236"/>
      <c r="E229" s="236" t="s">
        <v>468</v>
      </c>
      <c r="F229" s="236" t="s">
        <v>551</v>
      </c>
      <c r="G229" s="253">
        <v>500000</v>
      </c>
      <c r="H229" s="104" t="s">
        <v>238</v>
      </c>
      <c r="I229" s="105">
        <v>20</v>
      </c>
      <c r="J229" s="105">
        <f>Таблица3[[#This Row],[Столбец7]]*5%</f>
        <v>25000</v>
      </c>
      <c r="K229" s="103">
        <f t="shared" si="53"/>
        <v>100000</v>
      </c>
      <c r="L229" s="106">
        <f t="shared" si="51"/>
        <v>35000</v>
      </c>
      <c r="M229" s="106">
        <f t="shared" si="52"/>
        <v>25000</v>
      </c>
    </row>
    <row r="230" spans="1:13" ht="18.75" x14ac:dyDescent="0.3">
      <c r="A230" s="130">
        <v>231</v>
      </c>
      <c r="B230" s="236" t="s">
        <v>528</v>
      </c>
      <c r="C230" s="236">
        <v>311638211</v>
      </c>
      <c r="D230" s="236"/>
      <c r="E230" s="236" t="s">
        <v>217</v>
      </c>
      <c r="F230" s="236" t="s">
        <v>551</v>
      </c>
      <c r="G230" s="253">
        <v>2500000</v>
      </c>
      <c r="H230" s="104" t="s">
        <v>238</v>
      </c>
      <c r="I230" s="105">
        <v>20</v>
      </c>
      <c r="J230" s="105">
        <f>Таблица3[[#This Row],[Столбец7]]*5%</f>
        <v>125000</v>
      </c>
      <c r="K230" s="103">
        <f t="shared" si="53"/>
        <v>500000</v>
      </c>
      <c r="L230" s="106">
        <f t="shared" si="51"/>
        <v>175000.00000000003</v>
      </c>
      <c r="M230" s="106">
        <f t="shared" si="52"/>
        <v>125000</v>
      </c>
    </row>
    <row r="231" spans="1:13" ht="37.5" x14ac:dyDescent="0.3">
      <c r="A231" s="130">
        <v>232</v>
      </c>
      <c r="B231" s="236" t="s">
        <v>529</v>
      </c>
      <c r="C231" s="236">
        <v>301844182</v>
      </c>
      <c r="D231" s="236"/>
      <c r="E231" s="236" t="s">
        <v>468</v>
      </c>
      <c r="F231" s="236"/>
      <c r="G231" s="253">
        <v>500000</v>
      </c>
      <c r="H231" s="104" t="s">
        <v>238</v>
      </c>
      <c r="I231" s="105">
        <v>20</v>
      </c>
      <c r="J231" s="105"/>
      <c r="K231" s="103">
        <f t="shared" si="53"/>
        <v>100000</v>
      </c>
      <c r="L231" s="106">
        <f t="shared" si="51"/>
        <v>35000</v>
      </c>
      <c r="M231" s="106">
        <f t="shared" si="52"/>
        <v>25000</v>
      </c>
    </row>
    <row r="232" spans="1:13" ht="18.75" x14ac:dyDescent="0.3">
      <c r="A232" s="130">
        <v>233</v>
      </c>
      <c r="B232" s="236" t="s">
        <v>530</v>
      </c>
      <c r="C232" s="236">
        <v>305976474</v>
      </c>
      <c r="D232" s="236"/>
      <c r="E232" s="236" t="s">
        <v>468</v>
      </c>
      <c r="F232" s="236" t="s">
        <v>240</v>
      </c>
      <c r="G232" s="253">
        <v>900000</v>
      </c>
      <c r="H232" s="104" t="s">
        <v>238</v>
      </c>
      <c r="I232" s="105">
        <v>20</v>
      </c>
      <c r="J232" s="105">
        <f>G232*5%</f>
        <v>45000</v>
      </c>
      <c r="K232" s="103">
        <f t="shared" si="53"/>
        <v>180000</v>
      </c>
      <c r="L232" s="106">
        <f t="shared" si="51"/>
        <v>63000.000000000007</v>
      </c>
      <c r="M232" s="106">
        <f t="shared" si="52"/>
        <v>45000</v>
      </c>
    </row>
    <row r="233" spans="1:13" ht="18.75" x14ac:dyDescent="0.3">
      <c r="A233" s="130">
        <v>234</v>
      </c>
      <c r="B233" s="236" t="s">
        <v>531</v>
      </c>
      <c r="C233" s="236">
        <v>311817724</v>
      </c>
      <c r="D233" s="236"/>
      <c r="E233" s="236" t="s">
        <v>550</v>
      </c>
      <c r="F233" s="236" t="s">
        <v>551</v>
      </c>
      <c r="G233" s="253">
        <v>700000</v>
      </c>
      <c r="H233" s="104" t="s">
        <v>308</v>
      </c>
      <c r="I233" s="105">
        <v>20</v>
      </c>
      <c r="J233" s="105">
        <f>Таблица3[[#This Row],[Столбец7]]*5%</f>
        <v>35000</v>
      </c>
      <c r="K233" s="103">
        <f t="shared" si="53"/>
        <v>140000</v>
      </c>
      <c r="L233" s="106">
        <f t="shared" si="51"/>
        <v>49000.000000000007</v>
      </c>
      <c r="M233" s="106">
        <f t="shared" si="52"/>
        <v>35000</v>
      </c>
    </row>
    <row r="234" spans="1:13" ht="18.75" x14ac:dyDescent="0.3">
      <c r="A234" s="130">
        <v>235</v>
      </c>
      <c r="B234" s="236" t="s">
        <v>532</v>
      </c>
      <c r="C234" s="236">
        <v>312108030</v>
      </c>
      <c r="D234" s="236"/>
      <c r="E234" s="236" t="s">
        <v>550</v>
      </c>
      <c r="F234" s="236"/>
      <c r="G234" s="253">
        <v>1000000</v>
      </c>
      <c r="H234" s="104" t="s">
        <v>308</v>
      </c>
      <c r="I234" s="105">
        <v>20</v>
      </c>
      <c r="J234" s="105"/>
      <c r="K234" s="103">
        <f t="shared" si="53"/>
        <v>200000</v>
      </c>
      <c r="L234" s="106">
        <f t="shared" si="51"/>
        <v>70000</v>
      </c>
      <c r="M234" s="106">
        <f t="shared" si="52"/>
        <v>50000</v>
      </c>
    </row>
    <row r="235" spans="1:13" ht="18.75" x14ac:dyDescent="0.3">
      <c r="A235" s="130">
        <v>236</v>
      </c>
      <c r="B235" s="236" t="s">
        <v>533</v>
      </c>
      <c r="C235" s="236">
        <v>312168908</v>
      </c>
      <c r="D235" s="236"/>
      <c r="E235" s="236" t="s">
        <v>550</v>
      </c>
      <c r="F235" s="236" t="s">
        <v>551</v>
      </c>
      <c r="G235" s="253">
        <v>700000</v>
      </c>
      <c r="H235" s="104" t="s">
        <v>308</v>
      </c>
      <c r="I235" s="105">
        <v>20</v>
      </c>
      <c r="J235" s="105">
        <f>Таблица3[[#This Row],[Столбец7]]*5%</f>
        <v>35000</v>
      </c>
      <c r="K235" s="103">
        <f t="shared" si="53"/>
        <v>140000</v>
      </c>
      <c r="L235" s="106">
        <f t="shared" si="51"/>
        <v>49000.000000000007</v>
      </c>
      <c r="M235" s="106">
        <f t="shared" si="52"/>
        <v>35000</v>
      </c>
    </row>
    <row r="236" spans="1:13" ht="18.75" x14ac:dyDescent="0.3">
      <c r="A236" s="130">
        <v>237</v>
      </c>
      <c r="B236" s="236" t="s">
        <v>534</v>
      </c>
      <c r="C236" s="236">
        <v>311081052</v>
      </c>
      <c r="D236" s="236"/>
      <c r="E236" s="236" t="s">
        <v>550</v>
      </c>
      <c r="F236" s="236" t="s">
        <v>551</v>
      </c>
      <c r="G236" s="253">
        <v>1300000</v>
      </c>
      <c r="H236" s="104" t="s">
        <v>308</v>
      </c>
      <c r="I236" s="105">
        <v>20</v>
      </c>
      <c r="J236" s="105">
        <f>Таблица3[[#This Row],[Столбец7]]*5%</f>
        <v>65000</v>
      </c>
      <c r="K236" s="103">
        <f t="shared" si="53"/>
        <v>260000</v>
      </c>
      <c r="L236" s="106">
        <f t="shared" si="51"/>
        <v>91000.000000000015</v>
      </c>
      <c r="M236" s="106">
        <f t="shared" si="52"/>
        <v>65000</v>
      </c>
    </row>
    <row r="237" spans="1:13" ht="18.75" x14ac:dyDescent="0.3">
      <c r="A237" s="130">
        <v>238</v>
      </c>
      <c r="B237" s="236" t="s">
        <v>535</v>
      </c>
      <c r="C237" s="236">
        <v>310817377</v>
      </c>
      <c r="D237" s="236"/>
      <c r="E237" s="236" t="s">
        <v>550</v>
      </c>
      <c r="F237" s="236" t="s">
        <v>551</v>
      </c>
      <c r="G237" s="253">
        <v>1300000</v>
      </c>
      <c r="H237" s="104" t="s">
        <v>308</v>
      </c>
      <c r="I237" s="105">
        <v>20</v>
      </c>
      <c r="J237" s="105">
        <f>Таблица3[[#This Row],[Столбец7]]*5%</f>
        <v>65000</v>
      </c>
      <c r="K237" s="103">
        <f t="shared" si="53"/>
        <v>260000</v>
      </c>
      <c r="L237" s="106">
        <f t="shared" si="51"/>
        <v>91000.000000000015</v>
      </c>
      <c r="M237" s="106">
        <f t="shared" si="52"/>
        <v>65000</v>
      </c>
    </row>
    <row r="238" spans="1:13" ht="18.75" x14ac:dyDescent="0.3">
      <c r="A238" s="130">
        <v>239</v>
      </c>
      <c r="B238" s="236" t="s">
        <v>536</v>
      </c>
      <c r="C238" s="236">
        <v>302528344</v>
      </c>
      <c r="D238" s="236"/>
      <c r="E238" s="236" t="s">
        <v>550</v>
      </c>
      <c r="F238" s="236" t="s">
        <v>551</v>
      </c>
      <c r="G238" s="253">
        <v>8000000</v>
      </c>
      <c r="H238" s="104" t="s">
        <v>308</v>
      </c>
      <c r="I238" s="105">
        <v>20</v>
      </c>
      <c r="J238" s="105">
        <f>Таблица3[[#This Row],[Столбец7]]*5%</f>
        <v>400000</v>
      </c>
      <c r="K238" s="103">
        <f t="shared" si="53"/>
        <v>1600000</v>
      </c>
      <c r="L238" s="106">
        <f t="shared" si="51"/>
        <v>560000</v>
      </c>
      <c r="M238" s="106">
        <f t="shared" si="52"/>
        <v>400000</v>
      </c>
    </row>
    <row r="239" spans="1:13" ht="18.75" x14ac:dyDescent="0.3">
      <c r="A239" s="130">
        <v>240</v>
      </c>
      <c r="B239" s="236" t="s">
        <v>537</v>
      </c>
      <c r="C239" s="236">
        <v>307860928</v>
      </c>
      <c r="D239" s="236"/>
      <c r="E239" s="236" t="s">
        <v>550</v>
      </c>
      <c r="F239" s="236"/>
      <c r="G239" s="253">
        <v>1200000</v>
      </c>
      <c r="H239" s="104" t="s">
        <v>308</v>
      </c>
      <c r="I239" s="105">
        <v>20</v>
      </c>
      <c r="J239" s="105"/>
      <c r="K239" s="103">
        <f t="shared" si="53"/>
        <v>240000</v>
      </c>
      <c r="L239" s="106">
        <f t="shared" si="51"/>
        <v>84000.000000000015</v>
      </c>
      <c r="M239" s="106">
        <f t="shared" si="52"/>
        <v>60000</v>
      </c>
    </row>
    <row r="240" spans="1:13" ht="18.75" x14ac:dyDescent="0.3">
      <c r="A240" s="130">
        <v>241</v>
      </c>
      <c r="B240" s="236" t="s">
        <v>538</v>
      </c>
      <c r="C240" s="236"/>
      <c r="D240" s="236"/>
      <c r="E240" s="236" t="s">
        <v>549</v>
      </c>
      <c r="F240" s="236"/>
      <c r="G240" s="253">
        <v>700000</v>
      </c>
      <c r="H240" s="104" t="s">
        <v>308</v>
      </c>
      <c r="I240" s="105">
        <v>20</v>
      </c>
      <c r="J240" s="105"/>
      <c r="K240" s="103">
        <f t="shared" si="53"/>
        <v>140000</v>
      </c>
      <c r="L240" s="106">
        <f t="shared" si="51"/>
        <v>49000.000000000007</v>
      </c>
      <c r="M240" s="106">
        <f t="shared" si="52"/>
        <v>35000</v>
      </c>
    </row>
    <row r="241" spans="1:13" ht="18.75" x14ac:dyDescent="0.3">
      <c r="A241" s="130">
        <v>242</v>
      </c>
      <c r="B241" s="236" t="s">
        <v>539</v>
      </c>
      <c r="C241" s="236"/>
      <c r="D241" s="236"/>
      <c r="E241" s="236" t="s">
        <v>549</v>
      </c>
      <c r="F241" s="236" t="s">
        <v>551</v>
      </c>
      <c r="G241" s="253">
        <v>1200000</v>
      </c>
      <c r="H241" s="104" t="s">
        <v>308</v>
      </c>
      <c r="I241" s="105">
        <v>20</v>
      </c>
      <c r="J241" s="105">
        <f>Таблица3[[#This Row],[Столбец7]]*5%</f>
        <v>60000</v>
      </c>
      <c r="K241" s="103">
        <f t="shared" si="53"/>
        <v>240000</v>
      </c>
      <c r="L241" s="106">
        <f t="shared" si="51"/>
        <v>84000.000000000015</v>
      </c>
      <c r="M241" s="106">
        <f t="shared" si="52"/>
        <v>60000</v>
      </c>
    </row>
    <row r="242" spans="1:13" ht="18.75" x14ac:dyDescent="0.3">
      <c r="A242" s="130">
        <v>243</v>
      </c>
      <c r="B242" s="236" t="s">
        <v>540</v>
      </c>
      <c r="C242" s="236"/>
      <c r="D242" s="236"/>
      <c r="E242" s="236" t="s">
        <v>549</v>
      </c>
      <c r="F242" s="236" t="s">
        <v>551</v>
      </c>
      <c r="G242" s="253">
        <v>800000</v>
      </c>
      <c r="H242" s="104" t="s">
        <v>308</v>
      </c>
      <c r="I242" s="105">
        <v>20</v>
      </c>
      <c r="J242" s="105">
        <f>Таблица3[[#This Row],[Столбец7]]*5%</f>
        <v>40000</v>
      </c>
      <c r="K242" s="103">
        <f t="shared" si="53"/>
        <v>160000</v>
      </c>
      <c r="L242" s="106">
        <f t="shared" si="51"/>
        <v>56000.000000000007</v>
      </c>
      <c r="M242" s="106">
        <f t="shared" si="52"/>
        <v>40000</v>
      </c>
    </row>
    <row r="243" spans="1:13" ht="18.75" x14ac:dyDescent="0.3">
      <c r="A243" s="130">
        <v>244</v>
      </c>
      <c r="B243" s="236" t="s">
        <v>541</v>
      </c>
      <c r="C243" s="236"/>
      <c r="D243" s="236"/>
      <c r="E243" s="236" t="s">
        <v>549</v>
      </c>
      <c r="F243" s="236" t="s">
        <v>551</v>
      </c>
      <c r="G243" s="253">
        <v>0</v>
      </c>
      <c r="H243" s="104" t="s">
        <v>308</v>
      </c>
      <c r="I243" s="105">
        <v>20</v>
      </c>
      <c r="J243" s="105">
        <f>Таблица3[[#This Row],[Столбец7]]*5%</f>
        <v>0</v>
      </c>
      <c r="K243" s="103">
        <f t="shared" si="53"/>
        <v>0</v>
      </c>
      <c r="L243" s="106">
        <f t="shared" si="51"/>
        <v>0</v>
      </c>
      <c r="M243" s="106">
        <f t="shared" si="52"/>
        <v>0</v>
      </c>
    </row>
    <row r="244" spans="1:13" ht="18.75" x14ac:dyDescent="0.3">
      <c r="A244" s="130">
        <v>245</v>
      </c>
      <c r="B244" s="236" t="s">
        <v>542</v>
      </c>
      <c r="C244" s="236"/>
      <c r="D244" s="236"/>
      <c r="E244" s="236" t="s">
        <v>335</v>
      </c>
      <c r="F244" s="236"/>
      <c r="G244" s="253">
        <v>500000</v>
      </c>
      <c r="H244" s="104" t="s">
        <v>218</v>
      </c>
      <c r="I244" s="105">
        <v>20</v>
      </c>
      <c r="J244" s="105"/>
      <c r="K244" s="103">
        <f t="shared" si="53"/>
        <v>100000</v>
      </c>
      <c r="L244" s="106">
        <f t="shared" si="51"/>
        <v>35000</v>
      </c>
      <c r="M244" s="106">
        <f t="shared" si="52"/>
        <v>25000</v>
      </c>
    </row>
    <row r="245" spans="1:13" ht="18.75" x14ac:dyDescent="0.3">
      <c r="A245" s="130">
        <v>246</v>
      </c>
      <c r="B245" s="236" t="s">
        <v>543</v>
      </c>
      <c r="C245" s="236"/>
      <c r="D245" s="236"/>
      <c r="E245" s="236" t="s">
        <v>335</v>
      </c>
      <c r="F245" s="236"/>
      <c r="G245" s="253">
        <v>1000000</v>
      </c>
      <c r="H245" s="104" t="s">
        <v>218</v>
      </c>
      <c r="I245" s="105">
        <v>20</v>
      </c>
      <c r="J245" s="105"/>
      <c r="K245" s="103">
        <f t="shared" si="53"/>
        <v>200000</v>
      </c>
      <c r="L245" s="106">
        <f t="shared" si="51"/>
        <v>70000</v>
      </c>
      <c r="M245" s="106">
        <f t="shared" si="52"/>
        <v>50000</v>
      </c>
    </row>
    <row r="246" spans="1:13" ht="18.75" x14ac:dyDescent="0.3">
      <c r="A246" s="130">
        <v>247</v>
      </c>
      <c r="B246" s="236" t="s">
        <v>544</v>
      </c>
      <c r="C246" s="236"/>
      <c r="D246" s="236"/>
      <c r="E246" s="236" t="s">
        <v>335</v>
      </c>
      <c r="F246" s="236"/>
      <c r="G246" s="253">
        <v>500000</v>
      </c>
      <c r="H246" s="104" t="s">
        <v>218</v>
      </c>
      <c r="I246" s="105">
        <v>20</v>
      </c>
      <c r="J246" s="105"/>
      <c r="K246" s="103">
        <f t="shared" si="53"/>
        <v>100000</v>
      </c>
      <c r="L246" s="106">
        <f t="shared" si="51"/>
        <v>35000</v>
      </c>
      <c r="M246" s="106">
        <f t="shared" si="52"/>
        <v>25000</v>
      </c>
    </row>
    <row r="247" spans="1:13" ht="18.75" x14ac:dyDescent="0.3">
      <c r="A247" s="130">
        <v>248</v>
      </c>
      <c r="B247" s="236" t="s">
        <v>545</v>
      </c>
      <c r="C247" s="236"/>
      <c r="D247" s="236"/>
      <c r="E247" s="236" t="s">
        <v>550</v>
      </c>
      <c r="F247" s="236"/>
      <c r="G247" s="253">
        <v>500000</v>
      </c>
      <c r="H247" s="104" t="s">
        <v>308</v>
      </c>
      <c r="I247" s="105">
        <v>20</v>
      </c>
      <c r="J247" s="105"/>
      <c r="K247" s="103">
        <f t="shared" si="53"/>
        <v>100000</v>
      </c>
      <c r="L247" s="106">
        <f t="shared" si="51"/>
        <v>35000</v>
      </c>
      <c r="M247" s="106">
        <f t="shared" si="52"/>
        <v>25000</v>
      </c>
    </row>
    <row r="248" spans="1:13" ht="18.75" x14ac:dyDescent="0.3">
      <c r="A248" s="130">
        <v>249</v>
      </c>
      <c r="B248" s="236" t="s">
        <v>546</v>
      </c>
      <c r="C248" s="236"/>
      <c r="D248" s="236"/>
      <c r="E248" s="236" t="s">
        <v>550</v>
      </c>
      <c r="F248" s="236"/>
      <c r="G248" s="253">
        <v>500000</v>
      </c>
      <c r="H248" s="104" t="s">
        <v>308</v>
      </c>
      <c r="I248" s="105">
        <v>20</v>
      </c>
      <c r="J248" s="105"/>
      <c r="K248" s="103">
        <f t="shared" si="53"/>
        <v>100000</v>
      </c>
      <c r="L248" s="106">
        <f t="shared" si="51"/>
        <v>35000</v>
      </c>
      <c r="M248" s="106">
        <f t="shared" si="52"/>
        <v>25000</v>
      </c>
    </row>
    <row r="249" spans="1:13" ht="37.5" x14ac:dyDescent="0.3">
      <c r="A249" s="130">
        <v>250</v>
      </c>
      <c r="B249" s="236" t="s">
        <v>564</v>
      </c>
      <c r="C249" s="236"/>
      <c r="D249" s="236"/>
      <c r="E249" s="236" t="s">
        <v>560</v>
      </c>
      <c r="F249" s="236" t="s">
        <v>428</v>
      </c>
      <c r="G249" s="253">
        <v>2000000</v>
      </c>
      <c r="H249" s="104" t="s">
        <v>238</v>
      </c>
      <c r="I249" s="105">
        <v>20</v>
      </c>
      <c r="J249" s="105">
        <f>Таблица3[[#This Row],[Столбец7]]*5%</f>
        <v>100000</v>
      </c>
      <c r="K249" s="103">
        <f t="shared" si="53"/>
        <v>400000</v>
      </c>
      <c r="L249" s="106">
        <f t="shared" ref="L249" si="55">G249*7%</f>
        <v>140000</v>
      </c>
      <c r="M249" s="106">
        <f t="shared" ref="M249" si="56">G249*5%</f>
        <v>100000</v>
      </c>
    </row>
    <row r="250" spans="1:13" ht="18.75" x14ac:dyDescent="0.3">
      <c r="A250" s="130">
        <v>251</v>
      </c>
      <c r="B250" s="236" t="s">
        <v>547</v>
      </c>
      <c r="C250" s="236"/>
      <c r="D250" s="236"/>
      <c r="E250" s="236" t="s">
        <v>550</v>
      </c>
      <c r="F250" s="236"/>
      <c r="G250" s="253">
        <v>300000</v>
      </c>
      <c r="H250" s="104" t="s">
        <v>308</v>
      </c>
      <c r="I250" s="105">
        <v>20</v>
      </c>
      <c r="J250" s="105"/>
      <c r="K250" s="103">
        <f t="shared" si="53"/>
        <v>60000</v>
      </c>
      <c r="L250" s="106">
        <f t="shared" si="51"/>
        <v>21000.000000000004</v>
      </c>
      <c r="M250" s="106">
        <f t="shared" si="52"/>
        <v>15000</v>
      </c>
    </row>
    <row r="251" spans="1:13" ht="18.75" x14ac:dyDescent="0.3">
      <c r="A251" s="130">
        <v>252</v>
      </c>
      <c r="B251" s="236"/>
      <c r="C251" s="236"/>
      <c r="D251" s="236"/>
      <c r="E251" s="236"/>
      <c r="F251" s="236"/>
      <c r="G251" s="253"/>
      <c r="H251" s="104"/>
      <c r="I251" s="105"/>
      <c r="J251" s="105"/>
      <c r="K251" s="103"/>
      <c r="L251" s="106"/>
      <c r="M251" s="106"/>
    </row>
    <row r="252" spans="1:13" ht="18.75" x14ac:dyDescent="0.3">
      <c r="A252" s="130">
        <v>253</v>
      </c>
      <c r="B252" s="236" t="s">
        <v>548</v>
      </c>
      <c r="C252" s="236"/>
      <c r="D252" s="236"/>
      <c r="E252" s="236" t="s">
        <v>550</v>
      </c>
      <c r="F252" s="236"/>
      <c r="G252" s="253">
        <v>1000000</v>
      </c>
      <c r="H252" s="104" t="s">
        <v>308</v>
      </c>
      <c r="I252" s="105">
        <v>20</v>
      </c>
      <c r="J252" s="105"/>
      <c r="K252" s="103">
        <f t="shared" ref="K252" si="57">G252*I252%</f>
        <v>200000</v>
      </c>
      <c r="L252" s="106">
        <f t="shared" si="51"/>
        <v>70000</v>
      </c>
      <c r="M252" s="106">
        <f t="shared" si="52"/>
        <v>50000</v>
      </c>
    </row>
    <row r="253" spans="1:13" ht="18.75" x14ac:dyDescent="0.3">
      <c r="A253" s="130">
        <v>254</v>
      </c>
      <c r="B253" s="133" t="s">
        <v>552</v>
      </c>
      <c r="C253" s="106">
        <v>312340250</v>
      </c>
      <c r="D253" s="106"/>
      <c r="E253" s="236" t="s">
        <v>550</v>
      </c>
      <c r="F253" s="236"/>
      <c r="G253" s="127">
        <v>500000</v>
      </c>
      <c r="H253" s="104" t="s">
        <v>308</v>
      </c>
      <c r="I253" s="105">
        <v>20</v>
      </c>
      <c r="J253" s="105"/>
      <c r="K253" s="103">
        <f t="shared" ref="K253" si="58">G253*I253%</f>
        <v>100000</v>
      </c>
      <c r="L253" s="106">
        <f t="shared" ref="L253" si="59">G253*7%</f>
        <v>35000</v>
      </c>
      <c r="M253" s="106">
        <f t="shared" ref="M253" si="60">G253*5%</f>
        <v>25000</v>
      </c>
    </row>
    <row r="254" spans="1:13" ht="18.75" x14ac:dyDescent="0.3">
      <c r="A254" s="130">
        <v>255</v>
      </c>
      <c r="B254" s="133" t="s">
        <v>553</v>
      </c>
      <c r="C254" s="106"/>
      <c r="D254" s="106"/>
      <c r="E254" s="236" t="s">
        <v>550</v>
      </c>
      <c r="F254" s="236"/>
      <c r="G254" s="127">
        <v>500000</v>
      </c>
      <c r="H254" s="104" t="s">
        <v>308</v>
      </c>
      <c r="I254" s="105">
        <v>20</v>
      </c>
      <c r="J254" s="105"/>
      <c r="K254" s="103">
        <f t="shared" ref="K254" si="61">G254*I254%</f>
        <v>100000</v>
      </c>
      <c r="L254" s="106">
        <f t="shared" ref="L254" si="62">G254*7%</f>
        <v>35000</v>
      </c>
      <c r="M254" s="106">
        <f t="shared" ref="M254" si="63">G254*5%</f>
        <v>25000</v>
      </c>
    </row>
    <row r="255" spans="1:13" ht="18.75" x14ac:dyDescent="0.3">
      <c r="A255" s="130">
        <v>256</v>
      </c>
      <c r="B255" s="133" t="s">
        <v>555</v>
      </c>
      <c r="C255" s="106"/>
      <c r="D255" s="106"/>
      <c r="E255" s="236" t="s">
        <v>238</v>
      </c>
      <c r="F255" s="236" t="s">
        <v>240</v>
      </c>
      <c r="G255" s="127">
        <v>1000000</v>
      </c>
      <c r="H255" s="104" t="s">
        <v>218</v>
      </c>
      <c r="I255" s="105">
        <v>20</v>
      </c>
      <c r="J255" s="105">
        <f>Таблица3[[#This Row],[Столбец7]]*5%</f>
        <v>50000</v>
      </c>
      <c r="K255" s="103">
        <f t="shared" ref="K255:K256" si="64">G255*I255%</f>
        <v>200000</v>
      </c>
      <c r="L255" s="106">
        <f t="shared" ref="L255:L256" si="65">G255*7%</f>
        <v>70000</v>
      </c>
      <c r="M255" s="106">
        <f t="shared" ref="M255:M256" si="66">G255*5%</f>
        <v>50000</v>
      </c>
    </row>
    <row r="256" spans="1:13" ht="18.75" x14ac:dyDescent="0.3">
      <c r="A256" s="130">
        <v>257</v>
      </c>
      <c r="B256" s="133" t="s">
        <v>554</v>
      </c>
      <c r="C256" s="106"/>
      <c r="D256" s="106"/>
      <c r="E256" s="104" t="s">
        <v>471</v>
      </c>
      <c r="F256" s="106" t="s">
        <v>240</v>
      </c>
      <c r="G256" s="127">
        <v>3500000</v>
      </c>
      <c r="H256" s="104" t="s">
        <v>238</v>
      </c>
      <c r="I256" s="105">
        <v>20</v>
      </c>
      <c r="J256" s="105">
        <f>Таблица3[[#This Row],[Столбец7]]*5%</f>
        <v>175000</v>
      </c>
      <c r="K256" s="103">
        <f t="shared" si="64"/>
        <v>700000</v>
      </c>
      <c r="L256" s="106">
        <f t="shared" si="65"/>
        <v>245000.00000000003</v>
      </c>
      <c r="M256" s="106">
        <f t="shared" si="66"/>
        <v>175000</v>
      </c>
    </row>
    <row r="257" spans="1:14" ht="18.75" x14ac:dyDescent="0.3">
      <c r="A257" s="130">
        <v>258</v>
      </c>
      <c r="B257" s="133" t="s">
        <v>556</v>
      </c>
      <c r="C257" s="106"/>
      <c r="D257" s="106"/>
      <c r="E257" s="104" t="s">
        <v>238</v>
      </c>
      <c r="F257" s="106"/>
      <c r="G257" s="127">
        <v>5000000</v>
      </c>
      <c r="H257" s="104" t="s">
        <v>218</v>
      </c>
      <c r="I257" s="105">
        <v>20</v>
      </c>
      <c r="J257" s="105"/>
      <c r="K257" s="103">
        <f t="shared" ref="K257:K277" si="67">G257*I257%</f>
        <v>1000000</v>
      </c>
      <c r="L257" s="106">
        <f t="shared" ref="L257:L277" si="68">G257*7%</f>
        <v>350000.00000000006</v>
      </c>
      <c r="M257" s="106">
        <f t="shared" ref="M257:M277" si="69">G257*5%</f>
        <v>250000</v>
      </c>
    </row>
    <row r="258" spans="1:14" ht="18.75" x14ac:dyDescent="0.3">
      <c r="A258" s="130">
        <v>259</v>
      </c>
      <c r="B258" s="133" t="s">
        <v>557</v>
      </c>
      <c r="C258" s="106"/>
      <c r="D258" s="106"/>
      <c r="E258" s="104" t="s">
        <v>303</v>
      </c>
      <c r="F258" s="106"/>
      <c r="G258" s="127">
        <v>700000</v>
      </c>
      <c r="H258" s="104" t="s">
        <v>218</v>
      </c>
      <c r="I258" s="105">
        <v>20</v>
      </c>
      <c r="J258" s="105"/>
      <c r="K258" s="103">
        <f t="shared" si="67"/>
        <v>140000</v>
      </c>
      <c r="L258" s="106">
        <f t="shared" si="68"/>
        <v>49000.000000000007</v>
      </c>
      <c r="M258" s="106">
        <f t="shared" si="69"/>
        <v>35000</v>
      </c>
    </row>
    <row r="259" spans="1:14" ht="18.75" x14ac:dyDescent="0.3">
      <c r="A259" s="130">
        <v>260</v>
      </c>
      <c r="B259" s="133" t="s">
        <v>558</v>
      </c>
      <c r="C259" s="106"/>
      <c r="D259" s="106"/>
      <c r="E259" s="104" t="s">
        <v>303</v>
      </c>
      <c r="F259" s="106"/>
      <c r="G259" s="127">
        <v>700000</v>
      </c>
      <c r="H259" s="104" t="s">
        <v>218</v>
      </c>
      <c r="I259" s="105">
        <v>20</v>
      </c>
      <c r="J259" s="105"/>
      <c r="K259" s="103">
        <f t="shared" si="67"/>
        <v>140000</v>
      </c>
      <c r="L259" s="106">
        <f t="shared" si="68"/>
        <v>49000.000000000007</v>
      </c>
      <c r="M259" s="106">
        <f t="shared" si="69"/>
        <v>35000</v>
      </c>
    </row>
    <row r="260" spans="1:14" ht="18.75" x14ac:dyDescent="0.3">
      <c r="A260" s="130">
        <v>261</v>
      </c>
      <c r="B260" s="133" t="s">
        <v>559</v>
      </c>
      <c r="C260" s="106"/>
      <c r="D260" s="106"/>
      <c r="E260" s="104" t="s">
        <v>303</v>
      </c>
      <c r="F260" s="106"/>
      <c r="G260" s="127">
        <v>1000000</v>
      </c>
      <c r="H260" s="104" t="s">
        <v>218</v>
      </c>
      <c r="I260" s="105">
        <v>20</v>
      </c>
      <c r="J260" s="105"/>
      <c r="K260" s="103">
        <f t="shared" si="67"/>
        <v>200000</v>
      </c>
      <c r="L260" s="106">
        <f t="shared" si="68"/>
        <v>70000</v>
      </c>
      <c r="M260" s="106">
        <f t="shared" si="69"/>
        <v>50000</v>
      </c>
    </row>
    <row r="261" spans="1:14" ht="18.75" x14ac:dyDescent="0.3">
      <c r="A261" s="130">
        <v>262</v>
      </c>
      <c r="B261" s="133" t="s">
        <v>561</v>
      </c>
      <c r="C261" s="106"/>
      <c r="D261" s="106"/>
      <c r="E261" s="104" t="s">
        <v>224</v>
      </c>
      <c r="F261" s="106"/>
      <c r="G261" s="127">
        <v>500000</v>
      </c>
      <c r="H261" s="104" t="s">
        <v>218</v>
      </c>
      <c r="I261" s="105">
        <v>20</v>
      </c>
      <c r="J261" s="105"/>
      <c r="K261" s="103">
        <f t="shared" si="67"/>
        <v>100000</v>
      </c>
      <c r="L261" s="106">
        <f t="shared" si="68"/>
        <v>35000</v>
      </c>
      <c r="M261" s="106">
        <f t="shared" si="69"/>
        <v>25000</v>
      </c>
    </row>
    <row r="262" spans="1:14" ht="18.75" x14ac:dyDescent="0.3">
      <c r="A262" s="130">
        <v>263</v>
      </c>
      <c r="B262" s="133" t="s">
        <v>562</v>
      </c>
      <c r="C262" s="106"/>
      <c r="D262" s="106"/>
      <c r="E262" s="104" t="s">
        <v>218</v>
      </c>
      <c r="F262" s="106"/>
      <c r="G262" s="127">
        <v>700000</v>
      </c>
      <c r="H262" s="104" t="s">
        <v>238</v>
      </c>
      <c r="I262" s="105">
        <v>20</v>
      </c>
      <c r="J262" s="105"/>
      <c r="K262" s="103">
        <f t="shared" si="67"/>
        <v>140000</v>
      </c>
      <c r="L262" s="106">
        <f t="shared" si="68"/>
        <v>49000.000000000007</v>
      </c>
      <c r="M262" s="106">
        <f t="shared" si="69"/>
        <v>35000</v>
      </c>
    </row>
    <row r="263" spans="1:14" ht="18.75" x14ac:dyDescent="0.3">
      <c r="A263" s="130">
        <v>264</v>
      </c>
      <c r="B263" s="133" t="s">
        <v>563</v>
      </c>
      <c r="C263" s="106"/>
      <c r="D263" s="106"/>
      <c r="E263" s="104" t="s">
        <v>218</v>
      </c>
      <c r="F263" s="106"/>
      <c r="G263" s="127">
        <v>1000000</v>
      </c>
      <c r="H263" s="104" t="s">
        <v>238</v>
      </c>
      <c r="I263" s="105">
        <v>20</v>
      </c>
      <c r="J263" s="105"/>
      <c r="K263" s="103">
        <f t="shared" si="67"/>
        <v>200000</v>
      </c>
      <c r="L263" s="106">
        <f t="shared" si="68"/>
        <v>70000</v>
      </c>
      <c r="M263" s="106">
        <f t="shared" si="69"/>
        <v>50000</v>
      </c>
    </row>
    <row r="264" spans="1:14" ht="18.75" x14ac:dyDescent="0.3">
      <c r="A264" s="130"/>
      <c r="B264" s="133" t="s">
        <v>584</v>
      </c>
      <c r="C264" s="106"/>
      <c r="D264" s="106"/>
      <c r="E264" s="104" t="s">
        <v>467</v>
      </c>
      <c r="F264" s="106"/>
      <c r="G264" s="127">
        <v>2000000</v>
      </c>
      <c r="H264" s="104" t="s">
        <v>218</v>
      </c>
      <c r="I264" s="105">
        <v>20</v>
      </c>
      <c r="J264" s="105"/>
      <c r="K264" s="103">
        <f t="shared" si="67"/>
        <v>400000</v>
      </c>
      <c r="L264" s="106">
        <f t="shared" si="68"/>
        <v>140000</v>
      </c>
      <c r="M264" s="106">
        <f t="shared" si="69"/>
        <v>100000</v>
      </c>
    </row>
    <row r="265" spans="1:14" ht="18.75" x14ac:dyDescent="0.3">
      <c r="A265" s="130"/>
      <c r="B265" s="133" t="s">
        <v>585</v>
      </c>
      <c r="C265" s="106"/>
      <c r="D265" s="106"/>
      <c r="E265" s="104" t="s">
        <v>589</v>
      </c>
      <c r="F265" s="106"/>
      <c r="G265" s="127">
        <v>1500000</v>
      </c>
      <c r="H265" s="104" t="s">
        <v>308</v>
      </c>
      <c r="I265" s="105">
        <v>20</v>
      </c>
      <c r="J265" s="105"/>
      <c r="K265" s="103">
        <f t="shared" si="67"/>
        <v>300000</v>
      </c>
      <c r="L265" s="106">
        <f t="shared" si="68"/>
        <v>105000.00000000001</v>
      </c>
      <c r="M265" s="106">
        <f t="shared" si="69"/>
        <v>75000</v>
      </c>
    </row>
    <row r="266" spans="1:14" ht="18.75" x14ac:dyDescent="0.3">
      <c r="A266" s="130"/>
      <c r="B266" s="133" t="s">
        <v>586</v>
      </c>
      <c r="C266" s="106"/>
      <c r="D266" s="106"/>
      <c r="E266" s="104" t="s">
        <v>589</v>
      </c>
      <c r="F266" s="106"/>
      <c r="G266" s="127">
        <v>1500000</v>
      </c>
      <c r="H266" s="104" t="s">
        <v>308</v>
      </c>
      <c r="I266" s="105">
        <v>20</v>
      </c>
      <c r="J266" s="105"/>
      <c r="K266" s="103">
        <f t="shared" si="67"/>
        <v>300000</v>
      </c>
      <c r="L266" s="106">
        <f t="shared" si="68"/>
        <v>105000.00000000001</v>
      </c>
      <c r="M266" s="106">
        <f t="shared" si="69"/>
        <v>75000</v>
      </c>
    </row>
    <row r="267" spans="1:14" ht="18.75" x14ac:dyDescent="0.3">
      <c r="A267" s="247"/>
      <c r="B267" s="236" t="s">
        <v>587</v>
      </c>
      <c r="C267" s="248"/>
      <c r="D267" s="248"/>
      <c r="E267" s="104" t="s">
        <v>589</v>
      </c>
      <c r="F267" s="248"/>
      <c r="G267" s="250">
        <v>0</v>
      </c>
      <c r="H267" s="104" t="s">
        <v>308</v>
      </c>
      <c r="I267" s="105">
        <v>20</v>
      </c>
      <c r="J267" s="252"/>
      <c r="K267" s="103">
        <f t="shared" si="67"/>
        <v>0</v>
      </c>
      <c r="L267" s="106">
        <f t="shared" si="68"/>
        <v>0</v>
      </c>
      <c r="M267" s="106">
        <f t="shared" si="69"/>
        <v>0</v>
      </c>
    </row>
    <row r="268" spans="1:14" ht="18.75" x14ac:dyDescent="0.3">
      <c r="A268" s="242"/>
      <c r="B268" s="236" t="s">
        <v>588</v>
      </c>
      <c r="C268" s="236"/>
      <c r="D268" s="236"/>
      <c r="E268" s="237" t="s">
        <v>590</v>
      </c>
      <c r="F268" s="236"/>
      <c r="G268" s="238">
        <v>1500000</v>
      </c>
      <c r="H268" s="104" t="s">
        <v>308</v>
      </c>
      <c r="I268" s="105">
        <v>20</v>
      </c>
      <c r="J268" s="239"/>
      <c r="K268" s="103">
        <f t="shared" si="67"/>
        <v>300000</v>
      </c>
      <c r="L268" s="106">
        <f t="shared" si="68"/>
        <v>105000.00000000001</v>
      </c>
      <c r="M268" s="106">
        <f t="shared" si="69"/>
        <v>75000</v>
      </c>
    </row>
    <row r="269" spans="1:14" ht="18.75" x14ac:dyDescent="0.3">
      <c r="A269" s="242"/>
      <c r="B269" s="236" t="s">
        <v>591</v>
      </c>
      <c r="C269" s="236"/>
      <c r="D269" s="236"/>
      <c r="E269" s="237" t="s">
        <v>560</v>
      </c>
      <c r="F269" s="236"/>
      <c r="G269" s="238"/>
      <c r="H269" s="239" t="s">
        <v>238</v>
      </c>
      <c r="I269" s="105">
        <v>20</v>
      </c>
      <c r="J269" s="239"/>
      <c r="K269" s="103">
        <f t="shared" si="67"/>
        <v>0</v>
      </c>
      <c r="L269" s="106">
        <f t="shared" si="68"/>
        <v>0</v>
      </c>
      <c r="M269" s="106">
        <f t="shared" si="69"/>
        <v>0</v>
      </c>
      <c r="N269" s="106"/>
    </row>
    <row r="270" spans="1:14" ht="18.75" x14ac:dyDescent="0.3">
      <c r="A270" s="242"/>
      <c r="B270" s="236" t="s">
        <v>592</v>
      </c>
      <c r="C270" s="236"/>
      <c r="D270" s="236"/>
      <c r="E270" s="237" t="s">
        <v>589</v>
      </c>
      <c r="F270" s="236"/>
      <c r="G270" s="238">
        <v>1500000</v>
      </c>
      <c r="H270" s="239" t="s">
        <v>308</v>
      </c>
      <c r="I270" s="105">
        <v>20</v>
      </c>
      <c r="J270" s="239"/>
      <c r="K270" s="103">
        <f t="shared" si="67"/>
        <v>300000</v>
      </c>
      <c r="L270" s="106">
        <f t="shared" si="68"/>
        <v>105000.00000000001</v>
      </c>
      <c r="M270" s="106">
        <f t="shared" si="69"/>
        <v>75000</v>
      </c>
      <c r="N270" s="106"/>
    </row>
    <row r="271" spans="1:14" ht="18.75" x14ac:dyDescent="0.3">
      <c r="A271" s="242"/>
      <c r="B271" s="236" t="s">
        <v>593</v>
      </c>
      <c r="C271" s="236"/>
      <c r="D271" s="236"/>
      <c r="E271" s="237" t="s">
        <v>583</v>
      </c>
      <c r="F271" s="236"/>
      <c r="G271" s="238"/>
      <c r="H271" s="239" t="s">
        <v>303</v>
      </c>
      <c r="I271" s="105">
        <v>20</v>
      </c>
      <c r="J271" s="239"/>
      <c r="K271" s="103">
        <f t="shared" si="67"/>
        <v>0</v>
      </c>
      <c r="L271" s="106">
        <f t="shared" si="68"/>
        <v>0</v>
      </c>
      <c r="M271" s="106">
        <f t="shared" si="69"/>
        <v>0</v>
      </c>
      <c r="N271" s="106"/>
    </row>
    <row r="272" spans="1:14" ht="18.75" x14ac:dyDescent="0.3">
      <c r="A272" s="242"/>
      <c r="B272" s="236" t="s">
        <v>594</v>
      </c>
      <c r="C272" s="236"/>
      <c r="D272" s="236"/>
      <c r="E272" s="237" t="s">
        <v>238</v>
      </c>
      <c r="F272" s="236"/>
      <c r="G272" s="238">
        <v>5000000</v>
      </c>
      <c r="H272" s="239" t="s">
        <v>218</v>
      </c>
      <c r="I272" s="105">
        <v>20</v>
      </c>
      <c r="J272" s="239"/>
      <c r="K272" s="103">
        <f t="shared" si="67"/>
        <v>1000000</v>
      </c>
      <c r="L272" s="106">
        <f t="shared" si="68"/>
        <v>350000.00000000006</v>
      </c>
      <c r="M272" s="106">
        <f t="shared" si="69"/>
        <v>250000</v>
      </c>
      <c r="N272" s="106"/>
    </row>
    <row r="273" spans="1:14" ht="18.75" x14ac:dyDescent="0.3">
      <c r="A273" s="242"/>
      <c r="B273" s="236" t="s">
        <v>595</v>
      </c>
      <c r="C273" s="236"/>
      <c r="D273" s="236"/>
      <c r="E273" s="237" t="s">
        <v>218</v>
      </c>
      <c r="F273" s="236"/>
      <c r="G273" s="238">
        <v>4000000</v>
      </c>
      <c r="H273" s="239" t="s">
        <v>238</v>
      </c>
      <c r="I273" s="105">
        <v>20</v>
      </c>
      <c r="J273" s="239"/>
      <c r="K273" s="103">
        <f t="shared" si="67"/>
        <v>800000</v>
      </c>
      <c r="L273" s="106">
        <f t="shared" si="68"/>
        <v>280000</v>
      </c>
      <c r="M273" s="106">
        <f t="shared" si="69"/>
        <v>200000</v>
      </c>
      <c r="N273" s="106"/>
    </row>
    <row r="274" spans="1:14" ht="18.75" x14ac:dyDescent="0.3">
      <c r="A274" s="242"/>
      <c r="B274" s="236" t="s">
        <v>596</v>
      </c>
      <c r="C274" s="236"/>
      <c r="D274" s="236"/>
      <c r="E274" s="237" t="s">
        <v>471</v>
      </c>
      <c r="F274" s="236"/>
      <c r="G274" s="238">
        <v>2000000</v>
      </c>
      <c r="H274" s="239" t="s">
        <v>218</v>
      </c>
      <c r="I274" s="105">
        <v>20</v>
      </c>
      <c r="J274" s="239"/>
      <c r="K274" s="103">
        <f t="shared" si="67"/>
        <v>400000</v>
      </c>
      <c r="L274" s="106">
        <f t="shared" si="68"/>
        <v>140000</v>
      </c>
      <c r="M274" s="106">
        <f t="shared" si="69"/>
        <v>100000</v>
      </c>
      <c r="N274" s="106"/>
    </row>
    <row r="275" spans="1:14" ht="18.75" x14ac:dyDescent="0.3">
      <c r="A275" s="242"/>
      <c r="B275" s="236" t="s">
        <v>597</v>
      </c>
      <c r="C275" s="236"/>
      <c r="D275" s="236"/>
      <c r="E275" s="237" t="s">
        <v>589</v>
      </c>
      <c r="F275" s="236"/>
      <c r="G275" s="238">
        <v>2000000</v>
      </c>
      <c r="H275" s="239" t="s">
        <v>308</v>
      </c>
      <c r="I275" s="105">
        <v>20</v>
      </c>
      <c r="J275" s="239"/>
      <c r="K275" s="103">
        <f t="shared" si="67"/>
        <v>400000</v>
      </c>
      <c r="L275" s="106">
        <f t="shared" si="68"/>
        <v>140000</v>
      </c>
      <c r="M275" s="106">
        <f t="shared" si="69"/>
        <v>100000</v>
      </c>
      <c r="N275" s="106"/>
    </row>
    <row r="276" spans="1:14" ht="37.5" x14ac:dyDescent="0.3">
      <c r="A276" s="242"/>
      <c r="B276" s="236" t="s">
        <v>581</v>
      </c>
      <c r="C276" s="236"/>
      <c r="D276" s="236"/>
      <c r="E276" s="237" t="s">
        <v>550</v>
      </c>
      <c r="F276" s="236"/>
      <c r="G276" s="238">
        <v>3000000</v>
      </c>
      <c r="H276" s="239" t="s">
        <v>308</v>
      </c>
      <c r="I276" s="105">
        <v>20</v>
      </c>
      <c r="J276" s="239"/>
      <c r="K276" s="103">
        <f t="shared" si="67"/>
        <v>600000</v>
      </c>
      <c r="L276" s="106">
        <f t="shared" si="68"/>
        <v>210000.00000000003</v>
      </c>
      <c r="M276" s="106">
        <f t="shared" si="69"/>
        <v>150000</v>
      </c>
      <c r="N276" s="106"/>
    </row>
    <row r="277" spans="1:14" ht="18.75" x14ac:dyDescent="0.3">
      <c r="A277" s="242"/>
      <c r="B277" s="236" t="s">
        <v>598</v>
      </c>
      <c r="C277" s="236"/>
      <c r="D277" s="236"/>
      <c r="E277" s="237" t="s">
        <v>468</v>
      </c>
      <c r="F277" s="236"/>
      <c r="G277" s="238">
        <v>1500000</v>
      </c>
      <c r="H277" s="239" t="s">
        <v>238</v>
      </c>
      <c r="I277" s="105">
        <v>20</v>
      </c>
      <c r="J277" s="239"/>
      <c r="K277" s="103">
        <f t="shared" si="67"/>
        <v>300000</v>
      </c>
      <c r="L277" s="106">
        <f t="shared" si="68"/>
        <v>105000.00000000001</v>
      </c>
      <c r="M277" s="106">
        <f t="shared" si="69"/>
        <v>75000</v>
      </c>
      <c r="N277" s="106"/>
    </row>
    <row r="278" spans="1:14" ht="18.75" x14ac:dyDescent="0.3">
      <c r="A278" s="242"/>
      <c r="B278" s="236" t="s">
        <v>600</v>
      </c>
      <c r="C278" s="236"/>
      <c r="D278" s="236"/>
      <c r="E278" s="237" t="s">
        <v>590</v>
      </c>
      <c r="F278" s="236"/>
      <c r="G278" s="238">
        <v>500000</v>
      </c>
      <c r="H278" s="239" t="s">
        <v>308</v>
      </c>
      <c r="I278" s="105">
        <v>20</v>
      </c>
      <c r="J278" s="239"/>
      <c r="K278" s="103">
        <f t="shared" ref="K278:K279" si="70">G278*I278%</f>
        <v>100000</v>
      </c>
      <c r="L278" s="106">
        <f t="shared" ref="L278:L279" si="71">G278*7%</f>
        <v>35000</v>
      </c>
      <c r="M278" s="106">
        <f t="shared" ref="M278:M279" si="72">G278*5%</f>
        <v>25000</v>
      </c>
      <c r="N278" s="106"/>
    </row>
    <row r="279" spans="1:14" ht="18.75" x14ac:dyDescent="0.3">
      <c r="A279" s="242"/>
      <c r="B279" s="236" t="s">
        <v>601</v>
      </c>
      <c r="C279" s="236"/>
      <c r="D279" s="236"/>
      <c r="E279" s="237" t="s">
        <v>590</v>
      </c>
      <c r="F279" s="236"/>
      <c r="G279" s="238">
        <v>500000</v>
      </c>
      <c r="H279" s="239" t="s">
        <v>308</v>
      </c>
      <c r="I279" s="105">
        <v>20</v>
      </c>
      <c r="J279" s="239"/>
      <c r="K279" s="103">
        <f t="shared" si="70"/>
        <v>100000</v>
      </c>
      <c r="L279" s="106">
        <f t="shared" si="71"/>
        <v>35000</v>
      </c>
      <c r="M279" s="106">
        <f t="shared" si="72"/>
        <v>25000</v>
      </c>
      <c r="N279" s="106"/>
    </row>
    <row r="280" spans="1:14" ht="18.75" x14ac:dyDescent="0.3">
      <c r="A280" s="242"/>
      <c r="B280" s="236"/>
      <c r="C280" s="236"/>
      <c r="D280" s="236"/>
      <c r="E280" s="237"/>
      <c r="F280" s="236"/>
      <c r="G280" s="238"/>
      <c r="H280" s="239"/>
      <c r="I280" s="239"/>
      <c r="J280" s="239"/>
      <c r="K280" s="251"/>
      <c r="L280" s="236"/>
      <c r="M280" s="236"/>
      <c r="N280" s="106"/>
    </row>
    <row r="281" spans="1:14" ht="18.75" x14ac:dyDescent="0.3">
      <c r="A281" s="242"/>
      <c r="B281" s="236"/>
      <c r="C281" s="236"/>
      <c r="D281" s="236"/>
      <c r="E281" s="237"/>
      <c r="F281" s="236"/>
      <c r="G281" s="238"/>
      <c r="H281" s="239"/>
      <c r="I281" s="239"/>
      <c r="J281" s="239"/>
      <c r="K281" s="251"/>
      <c r="L281" s="236"/>
      <c r="M281" s="236"/>
      <c r="N281" s="106"/>
    </row>
    <row r="282" spans="1:14" ht="18.75" x14ac:dyDescent="0.3">
      <c r="A282" s="242"/>
      <c r="B282" s="236"/>
      <c r="C282" s="236"/>
      <c r="D282" s="236"/>
      <c r="E282" s="237"/>
      <c r="F282" s="236"/>
      <c r="G282" s="238"/>
      <c r="H282" s="239"/>
      <c r="I282" s="239"/>
      <c r="J282" s="239"/>
      <c r="K282" s="251"/>
      <c r="L282" s="236"/>
      <c r="M282" s="236"/>
      <c r="N282" s="106"/>
    </row>
    <row r="283" spans="1:14" ht="18.75" x14ac:dyDescent="0.3">
      <c r="A283" s="242"/>
      <c r="B283" s="236"/>
      <c r="C283" s="236"/>
      <c r="D283" s="236"/>
      <c r="E283" s="237"/>
      <c r="F283" s="236"/>
      <c r="G283" s="238"/>
      <c r="H283" s="239"/>
      <c r="I283" s="239"/>
      <c r="J283" s="239"/>
      <c r="K283" s="251"/>
      <c r="L283" s="236"/>
      <c r="M283" s="236"/>
      <c r="N283" s="106"/>
    </row>
    <row r="284" spans="1:14" ht="18.75" x14ac:dyDescent="0.3">
      <c r="A284" s="103"/>
      <c r="B284" s="106"/>
      <c r="C284" s="106"/>
      <c r="D284" s="106"/>
      <c r="E284" s="106"/>
      <c r="F284" s="106"/>
      <c r="G284" s="147">
        <f>SUM(G3:G279)</f>
        <v>652820000</v>
      </c>
      <c r="H284" s="114"/>
      <c r="I284" s="113"/>
      <c r="J284" s="146">
        <f>SUM(J3:J270)</f>
        <v>19955000</v>
      </c>
      <c r="K284" s="146">
        <f>SUM(K3:K268)</f>
        <v>109674000</v>
      </c>
      <c r="L284" s="146">
        <f>SUM(L3:L279)</f>
        <v>44757400</v>
      </c>
      <c r="M284" s="146">
        <f>SUM(M3:M268)</f>
        <v>28791000</v>
      </c>
      <c r="N284" s="106"/>
    </row>
    <row r="285" spans="1:14" ht="18.75" x14ac:dyDescent="0.3">
      <c r="A285" s="103"/>
      <c r="B285" s="106"/>
      <c r="C285" s="106"/>
      <c r="D285" s="106"/>
      <c r="E285" s="106"/>
      <c r="F285" s="106"/>
      <c r="G285" s="147">
        <f>+G284-5000000-7500000-1300000</f>
        <v>639020000</v>
      </c>
      <c r="H285" s="114"/>
      <c r="I285" s="113"/>
      <c r="J285" s="146"/>
      <c r="K285" s="146"/>
      <c r="L285" s="146"/>
      <c r="M285" s="146"/>
      <c r="N285" s="106"/>
    </row>
    <row r="286" spans="1:14" ht="18.75" x14ac:dyDescent="0.3">
      <c r="A286" s="103"/>
      <c r="B286" s="106"/>
      <c r="C286" s="106"/>
      <c r="D286" s="106"/>
      <c r="E286" s="106"/>
      <c r="F286" s="106"/>
      <c r="G286" s="147"/>
      <c r="H286" s="114"/>
      <c r="I286" s="113"/>
      <c r="J286" s="146"/>
      <c r="K286" s="146"/>
      <c r="L286" s="146"/>
      <c r="M286" s="146"/>
      <c r="N286" s="106"/>
    </row>
    <row r="287" spans="1:14" ht="18.75" x14ac:dyDescent="0.3">
      <c r="A287" s="103"/>
      <c r="B287" s="106"/>
      <c r="C287" s="106"/>
      <c r="D287" s="106"/>
      <c r="E287" s="106"/>
      <c r="F287" s="106"/>
      <c r="G287" s="147"/>
      <c r="H287" s="114"/>
      <c r="I287" s="113"/>
      <c r="J287" s="146"/>
      <c r="K287" s="146"/>
      <c r="L287" s="146"/>
      <c r="M287" s="146"/>
      <c r="N287" s="106"/>
    </row>
    <row r="288" spans="1:14" ht="18.75" x14ac:dyDescent="0.3">
      <c r="A288" s="103"/>
      <c r="B288" s="106"/>
      <c r="C288" s="106"/>
      <c r="D288" s="106"/>
      <c r="E288" s="106"/>
      <c r="F288" s="106"/>
      <c r="G288" s="106"/>
      <c r="H288" s="106"/>
      <c r="I288" s="114"/>
      <c r="J288" s="114" t="s">
        <v>337</v>
      </c>
      <c r="K288" s="114"/>
      <c r="L288" s="115"/>
      <c r="M288" s="115"/>
      <c r="N288" s="106"/>
    </row>
    <row r="289" spans="1:14" ht="18.75" x14ac:dyDescent="0.3">
      <c r="A289" s="106"/>
      <c r="B289" s="106"/>
      <c r="C289" s="103" t="s">
        <v>260</v>
      </c>
      <c r="D289" s="103" t="s">
        <v>259</v>
      </c>
      <c r="E289" s="103" t="s">
        <v>352</v>
      </c>
      <c r="F289" s="103" t="s">
        <v>258</v>
      </c>
      <c r="G289" s="103" t="s">
        <v>257</v>
      </c>
      <c r="H289" s="103" t="s">
        <v>338</v>
      </c>
      <c r="I289" s="103" t="s">
        <v>373</v>
      </c>
      <c r="J289" s="114" t="s">
        <v>261</v>
      </c>
      <c r="K289" s="113"/>
      <c r="L289" s="113" t="s">
        <v>329</v>
      </c>
      <c r="M289" s="115"/>
      <c r="N289" s="106"/>
    </row>
    <row r="290" spans="1:14" ht="18.75" x14ac:dyDescent="0.3">
      <c r="A290" s="106">
        <v>1</v>
      </c>
      <c r="B290" s="106" t="s">
        <v>219</v>
      </c>
      <c r="C290" s="128">
        <f>GETPIVOTDATA("% бухгалтер",'bugalter oylik'!$A$3,"Бухгалтер","Abrorbek")</f>
        <v>7040000</v>
      </c>
      <c r="D290" s="128">
        <f>1000000</f>
        <v>1000000</v>
      </c>
      <c r="E290" s="128">
        <f>SUMIF(Таблица32[Бухгалтер],Royxat!B290,Таблица32[Buxgalter KPI])</f>
        <v>437850</v>
      </c>
      <c r="F290" s="116">
        <f>C290+D290+E290</f>
        <v>8477850</v>
      </c>
      <c r="G290" s="128"/>
      <c r="H290" s="128"/>
      <c r="I290" s="128"/>
      <c r="J290" s="113">
        <f>F290-G290-H290-I290</f>
        <v>8477850</v>
      </c>
      <c r="K290" s="127">
        <f>H322</f>
        <v>65866410</v>
      </c>
      <c r="L290" s="113" t="s">
        <v>313</v>
      </c>
      <c r="M290" s="117"/>
      <c r="N290" s="106"/>
    </row>
    <row r="291" spans="1:14" ht="18.75" x14ac:dyDescent="0.3">
      <c r="A291" s="106">
        <v>2</v>
      </c>
      <c r="B291" s="109" t="s">
        <v>308</v>
      </c>
      <c r="C291" s="128">
        <f>GETPIVOTDATA("% бухгалтер",'bugalter oylik'!$A$3,"Бухгалтер","Musobek")</f>
        <v>13210000</v>
      </c>
      <c r="D291" s="128"/>
      <c r="E291" s="128">
        <f>SUMIF(Таблица32[Бухгалтер],Royxat!B291,Таблица32[Buxgalter KPI])</f>
        <v>997700</v>
      </c>
      <c r="F291" s="116">
        <f t="shared" ref="F291:F320" si="73">C291+D291+E291</f>
        <v>14207700</v>
      </c>
      <c r="G291" s="128">
        <f>4000000+2000000</f>
        <v>6000000</v>
      </c>
      <c r="H291" s="128"/>
      <c r="I291" s="128"/>
      <c r="J291" s="113">
        <f t="shared" ref="J291:J320" si="74">F291-G291-H291-I291</f>
        <v>8207700</v>
      </c>
      <c r="K291" s="127">
        <f>K289-K290</f>
        <v>-65866410</v>
      </c>
      <c r="L291" s="113"/>
      <c r="M291" s="106"/>
      <c r="N291" s="106"/>
    </row>
    <row r="292" spans="1:14" ht="18.75" x14ac:dyDescent="0.3">
      <c r="A292" s="106">
        <v>3</v>
      </c>
      <c r="B292" s="106" t="s">
        <v>243</v>
      </c>
      <c r="C292" s="128">
        <f>GETPIVOTDATA("% бухгалтер",'bugalter oylik'!$A$3,"Бухгалтер","Axmadjon")</f>
        <v>0</v>
      </c>
      <c r="D292" s="128">
        <v>5000000</v>
      </c>
      <c r="E292" s="128">
        <f>SUMIF(Таблица32[Бухгалтер],Royxat!B292,Таблица32[Buxgalter KPI])</f>
        <v>422500</v>
      </c>
      <c r="F292" s="116">
        <f t="shared" si="73"/>
        <v>5422500</v>
      </c>
      <c r="G292" s="128">
        <v>1500000</v>
      </c>
      <c r="H292" s="128"/>
      <c r="I292" s="128">
        <v>5722500</v>
      </c>
      <c r="J292" s="113">
        <f t="shared" si="74"/>
        <v>-1800000</v>
      </c>
      <c r="K292" s="127"/>
      <c r="L292" s="113"/>
      <c r="M292" s="106"/>
      <c r="N292" s="106"/>
    </row>
    <row r="293" spans="1:14" ht="18.75" x14ac:dyDescent="0.3">
      <c r="A293" s="106">
        <v>4</v>
      </c>
      <c r="B293" s="106" t="s">
        <v>240</v>
      </c>
      <c r="C293" s="128">
        <v>0</v>
      </c>
      <c r="D293" s="116">
        <f>GETPIVOTDATA("% банк клиент",'bank klient oylik'!$A$3,"bank klient","Azizbek")</f>
        <v>8917500</v>
      </c>
      <c r="E293" s="128">
        <f>SUMIF(Таблица32[bank klient],Royxat!B293,Таблица32[Bank klient KPI])</f>
        <v>3539000</v>
      </c>
      <c r="F293" s="116">
        <f t="shared" si="73"/>
        <v>12456500</v>
      </c>
      <c r="G293" s="155"/>
      <c r="H293" s="155">
        <v>12486500</v>
      </c>
      <c r="I293" s="155"/>
      <c r="J293" s="113">
        <f t="shared" si="74"/>
        <v>-30000</v>
      </c>
      <c r="K293" s="127"/>
      <c r="L293" s="113"/>
      <c r="M293" s="106"/>
      <c r="N293" s="106"/>
    </row>
    <row r="294" spans="1:14" ht="18.75" x14ac:dyDescent="0.3">
      <c r="A294" s="106">
        <v>5</v>
      </c>
      <c r="B294" s="106" t="s">
        <v>467</v>
      </c>
      <c r="C294" s="128">
        <f>GETPIVOTDATA("% бухгалтер",'bugalter oylik'!$A$3,"Бухгалтер","Olloshukur")</f>
        <v>7600000</v>
      </c>
      <c r="D294" s="256">
        <v>2000000</v>
      </c>
      <c r="E294" s="128">
        <f>SUMIF(Таблица32[Бухгалтер],Royxat!B294,Таблица32[Buxgalter KPI])+SUMIF(Таблица32[Назоратчи],Royxat!B294,Таблица32[NazoratchiKPI])</f>
        <v>-84500</v>
      </c>
      <c r="F294" s="116">
        <f>C294+D294+E294</f>
        <v>9515500</v>
      </c>
      <c r="G294" s="128">
        <v>2000000</v>
      </c>
      <c r="H294" s="128"/>
      <c r="I294" s="128">
        <v>7915500</v>
      </c>
      <c r="J294" s="113">
        <f t="shared" si="74"/>
        <v>-400000</v>
      </c>
      <c r="K294" s="127"/>
      <c r="L294" s="113"/>
      <c r="M294" s="106"/>
      <c r="N294" s="106"/>
    </row>
    <row r="295" spans="1:14" ht="18.75" x14ac:dyDescent="0.3">
      <c r="A295" s="106">
        <v>6</v>
      </c>
      <c r="B295" s="106" t="s">
        <v>312</v>
      </c>
      <c r="C295" s="128">
        <v>0</v>
      </c>
      <c r="D295" s="128">
        <v>9000000</v>
      </c>
      <c r="E295" s="128">
        <f>SUMIF(Таблица32[Бухгалтер],Royxat!B295,Таблица32[Buxgalter KPI])</f>
        <v>0</v>
      </c>
      <c r="F295" s="116">
        <f t="shared" si="73"/>
        <v>9000000</v>
      </c>
      <c r="G295" s="128">
        <v>1000000</v>
      </c>
      <c r="H295" s="128"/>
      <c r="I295" s="128">
        <v>8000000</v>
      </c>
      <c r="J295" s="113">
        <f t="shared" si="74"/>
        <v>0</v>
      </c>
      <c r="K295" s="127"/>
      <c r="L295" s="113"/>
      <c r="M295" s="106"/>
      <c r="N295" s="106"/>
    </row>
    <row r="296" spans="1:14" ht="18.75" x14ac:dyDescent="0.3">
      <c r="A296" s="106">
        <v>7</v>
      </c>
      <c r="B296" s="106" t="s">
        <v>326</v>
      </c>
      <c r="C296" s="128">
        <v>0</v>
      </c>
      <c r="D296" s="116">
        <f>GETPIVOTDATA("% банк клиент",'bank klient oylik'!$A$3,"bank klient","Bekzod")+4000000</f>
        <v>6750000</v>
      </c>
      <c r="E296" s="128">
        <f>SUMIF(Таблица32[bank klient],Royxat!B296,Таблица32[Bank klient KPI])</f>
        <v>860000</v>
      </c>
      <c r="F296" s="116">
        <f t="shared" si="73"/>
        <v>7610000</v>
      </c>
      <c r="G296" s="155">
        <v>2000000</v>
      </c>
      <c r="H296" s="155"/>
      <c r="I296" s="155">
        <v>5610000</v>
      </c>
      <c r="J296" s="113">
        <f t="shared" si="74"/>
        <v>0</v>
      </c>
      <c r="K296" s="127"/>
      <c r="L296" s="113"/>
      <c r="M296" s="106"/>
      <c r="N296" s="106"/>
    </row>
    <row r="297" spans="1:14" ht="18.75" x14ac:dyDescent="0.3">
      <c r="A297" s="106">
        <v>8</v>
      </c>
      <c r="B297" s="106" t="s">
        <v>468</v>
      </c>
      <c r="C297" s="128">
        <f>GETPIVOTDATA("% бухгалтер",'bugalter oylik'!$A$3,"Бухгалтер","Otabek")</f>
        <v>2645000</v>
      </c>
      <c r="D297" s="116"/>
      <c r="E297" s="128">
        <f>SUMIF(Таблица32[Бухгалтер],Royxat!B297,Таблица32[Buxgalter KPI])+SUMIF(Таблица32[Назоратчи],Royxat!B297,Таблица32[NazoratchiKPI])</f>
        <v>299575</v>
      </c>
      <c r="F297" s="116">
        <f>C297+D297+E297</f>
        <v>2944575</v>
      </c>
      <c r="G297" s="155"/>
      <c r="H297" s="155">
        <v>2669575</v>
      </c>
      <c r="I297" s="155"/>
      <c r="J297" s="113">
        <f t="shared" si="74"/>
        <v>275000</v>
      </c>
      <c r="K297" s="127"/>
      <c r="L297" s="113"/>
      <c r="M297" s="106"/>
      <c r="N297" s="106"/>
    </row>
    <row r="298" spans="1:14" ht="18.75" x14ac:dyDescent="0.3">
      <c r="A298" s="106">
        <v>9</v>
      </c>
      <c r="B298" s="106" t="s">
        <v>218</v>
      </c>
      <c r="C298" s="128">
        <f>GETPIVOTDATA("% бухгалтер",'bugalter oylik'!$A$3,"Бухгалтер","Go'zaloy")</f>
        <v>8134000</v>
      </c>
      <c r="D298" s="128">
        <f>GETPIVOTDATA("Назоратчи  %",nazoratchi!$A$3,"Назоратчи","Go'zaloy")+2750000</f>
        <v>22072500</v>
      </c>
      <c r="E298" s="128">
        <f>SUMIF(Таблица32[Бухгалтер],Royxat!B298,Таблица32[Buxgalter KPI])+SUMIF(Таблица32[Назоратчи],Royxat!B298,Таблица32[NazoratchiKPI])</f>
        <v>1633785</v>
      </c>
      <c r="F298" s="128">
        <f t="shared" si="73"/>
        <v>31840285</v>
      </c>
      <c r="G298" s="155">
        <v>2000000</v>
      </c>
      <c r="H298" s="155">
        <v>26180285</v>
      </c>
      <c r="I298" s="155"/>
      <c r="J298" s="113">
        <f t="shared" si="74"/>
        <v>3660000</v>
      </c>
      <c r="K298" s="127"/>
      <c r="L298" s="113"/>
      <c r="M298" s="106"/>
      <c r="N298" s="106"/>
    </row>
    <row r="299" spans="1:14" ht="18.75" x14ac:dyDescent="0.3">
      <c r="A299" s="106">
        <v>10</v>
      </c>
      <c r="B299" s="106" t="s">
        <v>471</v>
      </c>
      <c r="C299" s="128">
        <f>GETPIVOTDATA("% бухгалтер",'bugalter oylik'!$A$3,"Бухгалтер","Mirahmad")+744000</f>
        <v>7644000</v>
      </c>
      <c r="D299" s="116"/>
      <c r="E299" s="128">
        <f>SUMIF(Таблица32[Бухгалтер],Royxat!B299,Таблица32[Buxgalter KPI])+SUMIF(Таблица32[Назоратчи],Royxat!B299,Таблица32[NazoratchiKPI])</f>
        <v>897500</v>
      </c>
      <c r="F299" s="116">
        <f>C299+D299+E299</f>
        <v>8541500</v>
      </c>
      <c r="G299" s="155">
        <v>2000000</v>
      </c>
      <c r="H299" s="155"/>
      <c r="I299" s="155"/>
      <c r="J299" s="113">
        <f t="shared" si="74"/>
        <v>6541500</v>
      </c>
      <c r="K299" s="127"/>
      <c r="L299" s="113"/>
      <c r="M299" s="106"/>
      <c r="N299" s="106"/>
    </row>
    <row r="300" spans="1:14" ht="18.75" x14ac:dyDescent="0.3">
      <c r="A300" s="106">
        <v>11</v>
      </c>
      <c r="B300" s="106" t="s">
        <v>428</v>
      </c>
      <c r="C300" s="128">
        <f>GETPIVOTDATA("% бухгалтер",'bugalter oylik'!$A$3,"Бухгалтер","Ruslan")+140000</f>
        <v>1340000</v>
      </c>
      <c r="D300" s="128">
        <f>GETPIVOTDATA("% банк клиент",'bank klient oylik'!$A$3,"bank klient","Ruslan")</f>
        <v>6257500</v>
      </c>
      <c r="E300" s="128">
        <f>SUMIF(Таблица32[bank klient],Royxat!B300,Таблица32[Bank klient KPI])</f>
        <v>2572500</v>
      </c>
      <c r="F300" s="116">
        <f t="shared" si="73"/>
        <v>10170000</v>
      </c>
      <c r="G300" s="155">
        <f>8000000+1000000</f>
        <v>9000000</v>
      </c>
      <c r="H300" s="155">
        <v>1170000</v>
      </c>
      <c r="I300" s="155"/>
      <c r="J300" s="113">
        <f t="shared" si="74"/>
        <v>0</v>
      </c>
      <c r="K300" s="127"/>
      <c r="L300" s="113"/>
      <c r="M300" s="106"/>
      <c r="N300" s="106"/>
    </row>
    <row r="301" spans="1:14" ht="18.75" x14ac:dyDescent="0.3">
      <c r="A301" s="106">
        <v>12</v>
      </c>
      <c r="B301" s="106" t="s">
        <v>224</v>
      </c>
      <c r="C301" s="128">
        <f>GETPIVOTDATA("% бухгалтер",'bugalter oylik'!$A$3,"Бухгалтер","Maxmuda")</f>
        <v>7320000</v>
      </c>
      <c r="D301" s="128">
        <f>6000000</f>
        <v>6000000</v>
      </c>
      <c r="E301" s="128">
        <f>SUMIF(Таблица32[Бухгалтер],Royxat!B301,Таблица32[Buxgalter KPI])+SUMIF(Таблица32[Назоратчи],Royxat!B301,Таблица32[NazoratchiKPI])</f>
        <v>640900</v>
      </c>
      <c r="F301" s="116">
        <f t="shared" si="73"/>
        <v>13960900</v>
      </c>
      <c r="G301" s="155">
        <v>2000000</v>
      </c>
      <c r="H301" s="155"/>
      <c r="I301" s="155">
        <v>11960900</v>
      </c>
      <c r="J301" s="113">
        <f t="shared" si="74"/>
        <v>0</v>
      </c>
      <c r="K301" s="128"/>
      <c r="L301" s="116"/>
      <c r="M301" s="106"/>
      <c r="N301" s="106"/>
    </row>
    <row r="302" spans="1:14" ht="18.75" x14ac:dyDescent="0.3">
      <c r="A302" s="106">
        <v>13</v>
      </c>
      <c r="B302" s="106" t="s">
        <v>217</v>
      </c>
      <c r="C302" s="128">
        <f>GETPIVOTDATA("% бухгалтер",'bugalter oylik'!$A$3,"Бухгалтер","Mirabbos")</f>
        <v>5080000</v>
      </c>
      <c r="D302" s="256">
        <v>800000</v>
      </c>
      <c r="E302" s="128">
        <f>SUMIF(Таблица32[Бухгалтер],Royxat!B302,Таблица32[Buxgalter KPI])</f>
        <v>389600</v>
      </c>
      <c r="F302" s="116">
        <f t="shared" si="73"/>
        <v>6269600</v>
      </c>
      <c r="G302" s="155"/>
      <c r="H302" s="128"/>
      <c r="I302" s="128"/>
      <c r="J302" s="113">
        <f t="shared" si="74"/>
        <v>6269600</v>
      </c>
      <c r="K302" s="127"/>
      <c r="L302" s="113"/>
      <c r="M302" s="106"/>
      <c r="N302" s="106"/>
    </row>
    <row r="303" spans="1:14" ht="18.75" x14ac:dyDescent="0.3">
      <c r="A303" s="106">
        <v>14</v>
      </c>
      <c r="B303" s="106" t="s">
        <v>238</v>
      </c>
      <c r="C303" s="128">
        <f>GETPIVOTDATA("% бухгалтер",'bugalter oylik'!$A$3,"Бухгалтер","Muslimbek")</f>
        <v>9740000</v>
      </c>
      <c r="D303" s="128">
        <f>GETPIVOTDATA("Назоратчи  %",nazoratchi!$A$3,"Назоратчи","Muslimbek")+1250000</f>
        <v>9318500</v>
      </c>
      <c r="E303" s="128">
        <f>SUMIF(Таблица32[Бухгалтер],Royxat!B303,Таблица32[Buxgalter KPI])+SUMIF(Таблица32[Назоратчи],Royxat!B303,Таблица32[NazoratchiKPI])</f>
        <v>1269800</v>
      </c>
      <c r="F303" s="116">
        <f t="shared" si="73"/>
        <v>20328300</v>
      </c>
      <c r="G303" s="128">
        <f>2500000+2000000</f>
        <v>4500000</v>
      </c>
      <c r="H303" s="128">
        <v>12783300</v>
      </c>
      <c r="I303" s="128"/>
      <c r="J303" s="113">
        <f t="shared" si="74"/>
        <v>3045000</v>
      </c>
      <c r="K303" s="127" t="s">
        <v>48</v>
      </c>
      <c r="L303" s="113"/>
      <c r="M303" s="106"/>
      <c r="N303" s="106"/>
    </row>
    <row r="304" spans="1:14" ht="18.75" x14ac:dyDescent="0.3">
      <c r="A304" s="106">
        <v>15</v>
      </c>
      <c r="B304" s="106" t="s">
        <v>335</v>
      </c>
      <c r="C304" s="128">
        <f>GETPIVOTDATA("% бухгалтер",'bugalter oylik'!$A$3,"Бухгалтер","Humora")-744000</f>
        <v>7096000</v>
      </c>
      <c r="D304" s="256">
        <v>400000</v>
      </c>
      <c r="E304" s="128">
        <f>SUMIF(Таблица32[Бухгалтер],Royxat!B304,Таблица32[Buxgalter KPI])</f>
        <v>1091800</v>
      </c>
      <c r="F304" s="116">
        <f t="shared" si="73"/>
        <v>8587800</v>
      </c>
      <c r="G304" s="128"/>
      <c r="H304" s="128">
        <v>7787800</v>
      </c>
      <c r="I304" s="128"/>
      <c r="J304" s="113">
        <f t="shared" si="74"/>
        <v>800000</v>
      </c>
      <c r="K304" s="127"/>
      <c r="L304" s="113"/>
      <c r="M304" s="106"/>
      <c r="N304" s="106"/>
    </row>
    <row r="305" spans="1:14" ht="18.75" x14ac:dyDescent="0.3">
      <c r="A305" s="106">
        <v>16</v>
      </c>
      <c r="B305" s="106" t="s">
        <v>303</v>
      </c>
      <c r="C305" s="128">
        <f>GETPIVOTDATA("% бухгалтер",'bugalter oylik'!$A$3,"Бухгалтер","Zamira")</f>
        <v>8280000</v>
      </c>
      <c r="D305" s="116"/>
      <c r="E305" s="128">
        <f>SUMIF(Таблица32[Бухгалтер],Royxat!B305,Таблица32[Buxgalter KPI])</f>
        <v>825000</v>
      </c>
      <c r="F305" s="116">
        <f t="shared" si="73"/>
        <v>9105000</v>
      </c>
      <c r="G305" s="128">
        <f>1750000+500000</f>
        <v>2250000</v>
      </c>
      <c r="H305" s="128"/>
      <c r="I305" s="128">
        <v>6855000</v>
      </c>
      <c r="J305" s="113">
        <f t="shared" si="74"/>
        <v>0</v>
      </c>
      <c r="K305" s="127"/>
      <c r="L305" s="113"/>
      <c r="M305" s="106"/>
      <c r="N305" s="106"/>
    </row>
    <row r="306" spans="1:14" ht="18.75" x14ac:dyDescent="0.3">
      <c r="A306" s="106">
        <v>17</v>
      </c>
      <c r="B306" s="106" t="s">
        <v>235</v>
      </c>
      <c r="C306" s="128">
        <f>GETPIVOTDATA("% бухгалтер",'bugalter oylik'!$A$3,"Бухгалтер","Sherzod")+100000</f>
        <v>200000</v>
      </c>
      <c r="D306" s="116">
        <v>2000000</v>
      </c>
      <c r="E306" s="128">
        <f>SUMIF(Таблица32[Бухгалтер],Royxat!B306,Таблица32[Buxgalter KPI])</f>
        <v>0</v>
      </c>
      <c r="F306" s="116">
        <f t="shared" si="73"/>
        <v>2200000</v>
      </c>
      <c r="G306" s="128"/>
      <c r="H306" s="128">
        <v>2200000</v>
      </c>
      <c r="I306" s="128"/>
      <c r="J306" s="113">
        <f t="shared" si="74"/>
        <v>0</v>
      </c>
      <c r="K306" s="127"/>
      <c r="L306" s="113"/>
      <c r="M306" s="106"/>
      <c r="N306" s="106"/>
    </row>
    <row r="307" spans="1:14" ht="18.75" x14ac:dyDescent="0.3">
      <c r="A307" s="106">
        <v>18</v>
      </c>
      <c r="B307" s="106" t="s">
        <v>394</v>
      </c>
      <c r="C307" s="128">
        <f>GETPIVOTDATA("% бухгалтер",'bugalter oylik'!$A$3,"Бухгалтер","Dilhush")</f>
        <v>1420000</v>
      </c>
      <c r="D307" s="128">
        <v>7000000</v>
      </c>
      <c r="E307" s="128">
        <f>SUMIF(Таблица32[Бухгалтер],Royxat!B307,Таблица32[Buxgalter KPI])</f>
        <v>168950</v>
      </c>
      <c r="F307" s="116">
        <f>C307+D307+E307</f>
        <v>8588950</v>
      </c>
      <c r="G307" s="128">
        <f>5000000+3000000</f>
        <v>8000000</v>
      </c>
      <c r="H307" s="128">
        <v>588950</v>
      </c>
      <c r="I307" s="128"/>
      <c r="J307" s="113">
        <f t="shared" si="74"/>
        <v>0</v>
      </c>
      <c r="K307" s="127"/>
      <c r="L307" s="113"/>
      <c r="M307" s="106"/>
    </row>
    <row r="308" spans="1:14" ht="18.75" x14ac:dyDescent="0.3">
      <c r="A308" s="106">
        <v>19</v>
      </c>
      <c r="B308" s="106" t="s">
        <v>309</v>
      </c>
      <c r="C308" s="128">
        <f>GETPIVOTDATA("% бухгалтер",'bugalter oylik'!$A$3,"Бухгалтер","Abdugani")</f>
        <v>7140000</v>
      </c>
      <c r="D308" s="116"/>
      <c r="E308" s="128">
        <f>SUMIF(Таблица32[Бухгалтер],Royxat!B308,Таблица32[Buxgalter KPI])</f>
        <v>355900</v>
      </c>
      <c r="F308" s="116">
        <f t="shared" si="73"/>
        <v>7495900</v>
      </c>
      <c r="G308" s="128"/>
      <c r="H308" s="128"/>
      <c r="I308" s="128">
        <v>6095900</v>
      </c>
      <c r="J308" s="113">
        <f t="shared" si="74"/>
        <v>1400000</v>
      </c>
      <c r="K308" s="127"/>
      <c r="L308" s="113"/>
      <c r="M308" s="106"/>
    </row>
    <row r="309" spans="1:14" ht="18.75" x14ac:dyDescent="0.3">
      <c r="A309" s="106">
        <v>20</v>
      </c>
      <c r="B309" s="106" t="s">
        <v>310</v>
      </c>
      <c r="C309" s="128">
        <f>GETPIVOTDATA("% бухгалтер",'bugalter oylik'!$A$3,"Бухгалтер","Adxam")+1400000</f>
        <v>3800000</v>
      </c>
      <c r="D309" s="116">
        <v>6500000</v>
      </c>
      <c r="E309" s="128">
        <f>SUMIF(Таблица32[Бухгалтер],Royxat!B309,Таблица32[Buxgalter KPI])</f>
        <v>477600</v>
      </c>
      <c r="F309" s="116">
        <f t="shared" si="73"/>
        <v>10777600</v>
      </c>
      <c r="G309" s="128">
        <f>1500000+1000000</f>
        <v>2500000</v>
      </c>
      <c r="H309" s="128"/>
      <c r="I309" s="128">
        <v>8277600</v>
      </c>
      <c r="J309" s="113">
        <f t="shared" si="74"/>
        <v>0</v>
      </c>
      <c r="K309" s="127"/>
      <c r="L309" s="113"/>
      <c r="M309" s="106"/>
    </row>
    <row r="310" spans="1:14" ht="18.75" x14ac:dyDescent="0.3">
      <c r="A310" s="106">
        <v>21</v>
      </c>
      <c r="B310" s="106" t="s">
        <v>378</v>
      </c>
      <c r="C310" s="128">
        <f>GETPIVOTDATA("% бухгалтер",'bugalter oylik'!$A$3,"Бухгалтер","Ilhom")</f>
        <v>3000000</v>
      </c>
      <c r="D310" s="116">
        <v>6000000</v>
      </c>
      <c r="E310" s="128"/>
      <c r="F310" s="116">
        <f t="shared" si="73"/>
        <v>9000000</v>
      </c>
      <c r="G310" s="128"/>
      <c r="H310" s="128"/>
      <c r="I310" s="128">
        <v>9000000</v>
      </c>
      <c r="J310" s="127">
        <f t="shared" si="74"/>
        <v>0</v>
      </c>
      <c r="K310" s="127"/>
      <c r="L310" s="113"/>
      <c r="M310" s="106"/>
    </row>
    <row r="311" spans="1:14" ht="18.75" x14ac:dyDescent="0.3">
      <c r="A311" s="106">
        <v>22</v>
      </c>
      <c r="B311" s="106" t="s">
        <v>434</v>
      </c>
      <c r="C311" s="128">
        <f>GETPIVOTDATA("% бухгалтер",'bugalter oylik'!$A$3,"Бухгалтер","Javohir")</f>
        <v>1850000</v>
      </c>
      <c r="D311" s="256">
        <v>2100000</v>
      </c>
      <c r="E311" s="128">
        <f>SUMIF(Таблица32[Бухгалтер],Royxat!B311,Таблица32[Buxgalter KPI])</f>
        <v>368550</v>
      </c>
      <c r="F311" s="116">
        <f t="shared" si="73"/>
        <v>4318550</v>
      </c>
      <c r="G311" s="128">
        <f>2325000+1500000</f>
        <v>3825000</v>
      </c>
      <c r="H311" s="128"/>
      <c r="I311" s="128">
        <v>3403550</v>
      </c>
      <c r="J311" s="127">
        <f>F311-G311-H311-I311</f>
        <v>-2910000</v>
      </c>
      <c r="K311" s="127"/>
      <c r="L311" s="113"/>
      <c r="M311" s="106"/>
    </row>
    <row r="312" spans="1:14" ht="18.75" x14ac:dyDescent="0.3">
      <c r="A312" s="106">
        <v>23</v>
      </c>
      <c r="B312" s="106" t="s">
        <v>550</v>
      </c>
      <c r="C312" s="128">
        <f>GETPIVOTDATA("% бухгалтер",'bugalter oylik'!$A$3,"Бухгалтер","Kamron")</f>
        <v>4400000</v>
      </c>
      <c r="D312" s="256">
        <v>940000</v>
      </c>
      <c r="E312" s="128">
        <f>SUMIF(Таблица32[Бухгалтер],Royxat!B312,Таблица32[Buxgalter KPI])</f>
        <v>-128700</v>
      </c>
      <c r="F312" s="116">
        <f>C312+D312+E312</f>
        <v>5211300</v>
      </c>
      <c r="G312" s="128"/>
      <c r="H312" s="128"/>
      <c r="I312" s="128">
        <v>3331300</v>
      </c>
      <c r="J312" s="127">
        <f t="shared" si="74"/>
        <v>1880000</v>
      </c>
      <c r="K312" s="127"/>
      <c r="L312" s="113"/>
      <c r="M312" s="106"/>
    </row>
    <row r="313" spans="1:14" ht="18.75" x14ac:dyDescent="0.3">
      <c r="A313" s="106">
        <v>24</v>
      </c>
      <c r="B313" s="106" t="s">
        <v>549</v>
      </c>
      <c r="C313" s="128">
        <f>GETPIVOTDATA("% бухгалтер",'bugalter oylik'!$A$3,"Бухгалтер","Elbek")</f>
        <v>3040000</v>
      </c>
      <c r="D313" s="256">
        <v>1536000</v>
      </c>
      <c r="E313" s="128">
        <f>SUMIF(Таблица32[Бухгалтер],Royxat!B313,Таблица32[Buxgalter KPI])</f>
        <v>-478450</v>
      </c>
      <c r="F313" s="116">
        <f>C313+D313+E313</f>
        <v>4097550</v>
      </c>
      <c r="G313" s="128">
        <v>700000</v>
      </c>
      <c r="H313" s="128"/>
      <c r="I313" s="128"/>
      <c r="J313" s="127">
        <f t="shared" si="74"/>
        <v>3397550</v>
      </c>
      <c r="K313" s="127"/>
      <c r="L313" s="113"/>
      <c r="M313" s="106"/>
    </row>
    <row r="314" spans="1:14" ht="18.75" x14ac:dyDescent="0.3">
      <c r="A314" s="106">
        <v>25</v>
      </c>
      <c r="B314" s="106" t="s">
        <v>551</v>
      </c>
      <c r="C314" s="128"/>
      <c r="D314" s="116">
        <f>GETPIVOTDATA("% банк клиент",'bank klient oylik'!$A$3,"bank klient","Abdulaziz")</f>
        <v>2030000</v>
      </c>
      <c r="E314" s="128">
        <f>SUMIF(Таблица32[bank klient],Royxat!B314,Таблица32[Bank klient KPI])</f>
        <v>322000</v>
      </c>
      <c r="F314" s="116">
        <f>C314+D314+E314</f>
        <v>2352000</v>
      </c>
      <c r="G314" s="128">
        <f>800000+500000</f>
        <v>1300000</v>
      </c>
      <c r="H314" s="128"/>
      <c r="I314" s="128">
        <v>1052000</v>
      </c>
      <c r="J314" s="127">
        <f t="shared" si="74"/>
        <v>0</v>
      </c>
      <c r="K314" s="127"/>
      <c r="L314" s="113"/>
      <c r="M314" s="106"/>
    </row>
    <row r="315" spans="1:14" ht="18.75" x14ac:dyDescent="0.3">
      <c r="A315" s="106">
        <v>26</v>
      </c>
      <c r="B315" s="106" t="s">
        <v>560</v>
      </c>
      <c r="C315" s="128">
        <f>GETPIVOTDATA("% бухгалтер",'bugalter oylik'!$A$3,"Бухгалтер","Hasan")</f>
        <v>1460000</v>
      </c>
      <c r="D315" s="116"/>
      <c r="E315" s="128">
        <f>SUMIF(Таблица32[Бухгалтер],Royxat!B315,Таблица32[Buxgalter KPI])</f>
        <v>-346000</v>
      </c>
      <c r="F315" s="116">
        <f>C315+D315+E315</f>
        <v>1114000</v>
      </c>
      <c r="G315" s="128"/>
      <c r="H315" s="128"/>
      <c r="I315" s="128">
        <v>1114000</v>
      </c>
      <c r="J315" s="127">
        <f t="shared" si="74"/>
        <v>0</v>
      </c>
      <c r="K315" s="127"/>
      <c r="L315" s="113"/>
      <c r="M315" s="106"/>
    </row>
    <row r="316" spans="1:14" ht="18.75" x14ac:dyDescent="0.3">
      <c r="A316" s="106"/>
      <c r="B316" s="106" t="s">
        <v>589</v>
      </c>
      <c r="C316" s="128">
        <f>GETPIVOTDATA("% бухгалтер",'bugalter oylik'!$A$3,"Бухгалтер","Alisher")</f>
        <v>1620000</v>
      </c>
      <c r="D316" s="116"/>
      <c r="E316" s="128"/>
      <c r="F316" s="116"/>
      <c r="G316" s="128"/>
      <c r="H316" s="128"/>
      <c r="I316" s="128"/>
      <c r="J316" s="127"/>
      <c r="K316" s="127"/>
      <c r="L316" s="113"/>
      <c r="M316" s="106"/>
    </row>
    <row r="317" spans="1:14" ht="18.75" x14ac:dyDescent="0.3">
      <c r="A317" s="106"/>
      <c r="B317" s="106" t="s">
        <v>590</v>
      </c>
      <c r="C317" s="128">
        <f>GETPIVOTDATA("% бухгалтер",'bugalter oylik'!$A$3,"Бухгалтер","Mohirbek")</f>
        <v>940000</v>
      </c>
      <c r="D317" s="116"/>
      <c r="E317" s="128"/>
      <c r="F317" s="116"/>
      <c r="G317" s="128"/>
      <c r="H317" s="128"/>
      <c r="I317" s="128"/>
      <c r="J317" s="127"/>
      <c r="K317" s="127"/>
      <c r="L317" s="113"/>
      <c r="M317" s="106"/>
    </row>
    <row r="318" spans="1:14" ht="18.75" x14ac:dyDescent="0.3">
      <c r="A318" s="106"/>
      <c r="B318" s="106" t="s">
        <v>583</v>
      </c>
      <c r="C318" s="128">
        <f>GETPIVOTDATA("% бухгалтер",'bugalter oylik'!$A$3,"Бухгалтер","Sevara")</f>
        <v>750000</v>
      </c>
      <c r="D318" s="116"/>
      <c r="E318" s="128"/>
      <c r="F318" s="116"/>
      <c r="G318" s="128"/>
      <c r="H318" s="128"/>
      <c r="I318" s="128"/>
      <c r="J318" s="127"/>
      <c r="K318" s="127"/>
      <c r="L318" s="113"/>
      <c r="M318" s="106"/>
    </row>
    <row r="319" spans="1:14" ht="18.75" x14ac:dyDescent="0.3">
      <c r="A319" s="106"/>
      <c r="B319" s="106" t="s">
        <v>599</v>
      </c>
      <c r="C319" s="128">
        <f>GETPIVOTDATA("% бухгалтер",'bugalter oylik'!$A$3,"Бухгалтер","Aziz shogird")</f>
        <v>565000</v>
      </c>
      <c r="D319" s="116"/>
      <c r="E319" s="128"/>
      <c r="F319" s="116"/>
      <c r="G319" s="128"/>
      <c r="H319" s="128"/>
      <c r="I319" s="128"/>
      <c r="J319" s="127"/>
      <c r="K319" s="127"/>
      <c r="L319" s="113"/>
      <c r="M319" s="106"/>
    </row>
    <row r="320" spans="1:14" ht="18.75" x14ac:dyDescent="0.3">
      <c r="A320" s="106">
        <v>27</v>
      </c>
      <c r="B320" s="106"/>
      <c r="C320" s="116">
        <f>L284</f>
        <v>44757400</v>
      </c>
      <c r="D320" s="128">
        <f>50000+300000</f>
        <v>350000</v>
      </c>
      <c r="E320" s="128">
        <f>SUMIF(Таблица32[Бухгалтер],Royxat!B320,Таблица32[Buxgalter KPI])</f>
        <v>0</v>
      </c>
      <c r="F320" s="116">
        <f t="shared" si="73"/>
        <v>45107400</v>
      </c>
      <c r="G320" s="128"/>
      <c r="H320" s="128"/>
      <c r="I320" s="128"/>
      <c r="J320" s="127">
        <f t="shared" si="74"/>
        <v>45107400</v>
      </c>
      <c r="K320" s="127"/>
      <c r="L320" s="113"/>
      <c r="M320" s="106"/>
    </row>
    <row r="321" spans="1:13" ht="18.75" x14ac:dyDescent="0.3">
      <c r="A321" s="106"/>
      <c r="B321" s="106"/>
      <c r="C321" s="116"/>
      <c r="D321" s="116"/>
      <c r="E321" s="116"/>
      <c r="F321" s="116"/>
      <c r="G321" s="116"/>
      <c r="H321" s="116"/>
      <c r="I321" s="127"/>
      <c r="J321" s="127"/>
      <c r="K321" s="113"/>
      <c r="L321" s="106"/>
      <c r="M321" s="106"/>
    </row>
    <row r="322" spans="1:13" ht="18.75" x14ac:dyDescent="0.3">
      <c r="A322" s="106"/>
      <c r="B322" s="124" t="s">
        <v>262</v>
      </c>
      <c r="C322" s="125">
        <f t="shared" ref="C322:I322" si="75">SUM(C290:C321)</f>
        <v>160071400</v>
      </c>
      <c r="D322" s="125">
        <f t="shared" si="75"/>
        <v>105972000</v>
      </c>
      <c r="E322" s="125">
        <f t="shared" si="75"/>
        <v>16532860</v>
      </c>
      <c r="F322" s="125">
        <f t="shared" si="75"/>
        <v>278701260</v>
      </c>
      <c r="G322" s="125">
        <f t="shared" si="75"/>
        <v>50575000</v>
      </c>
      <c r="H322" s="125">
        <f t="shared" si="75"/>
        <v>65866410</v>
      </c>
      <c r="I322" s="125">
        <f t="shared" si="75"/>
        <v>78338250</v>
      </c>
      <c r="J322" s="127">
        <f>SUM(J290:J321)</f>
        <v>83921600</v>
      </c>
      <c r="K322" s="113"/>
      <c r="L322" s="106"/>
      <c r="M322" s="106"/>
    </row>
    <row r="323" spans="1:13" ht="18.75" x14ac:dyDescent="0.3">
      <c r="A323" s="106"/>
      <c r="B323" s="106"/>
      <c r="C323" s="106"/>
      <c r="D323" s="106"/>
      <c r="E323" s="106"/>
      <c r="F323" s="106"/>
      <c r="G323" s="113"/>
      <c r="H323" s="113"/>
      <c r="I323" s="113"/>
      <c r="J323" s="113"/>
      <c r="K323" s="106"/>
      <c r="L323" s="106"/>
      <c r="M323" s="106"/>
    </row>
    <row r="324" spans="1:13" ht="18.75" x14ac:dyDescent="0.3">
      <c r="A324" s="106"/>
      <c r="B324" s="117" t="e">
        <f>E322+#REF!</f>
        <v>#REF!</v>
      </c>
      <c r="C324" s="117"/>
      <c r="D324" s="106"/>
      <c r="E324" s="104"/>
      <c r="F324" s="106"/>
      <c r="G324" s="126"/>
      <c r="H324" s="113"/>
      <c r="I324" s="113"/>
      <c r="J324" s="113"/>
      <c r="K324" s="106"/>
      <c r="L324" s="106"/>
      <c r="M324" s="106"/>
    </row>
    <row r="325" spans="1:13" ht="18.75" x14ac:dyDescent="0.3">
      <c r="A325" s="106"/>
      <c r="B325" s="113">
        <v>22000000</v>
      </c>
      <c r="C325" s="113" t="s">
        <v>263</v>
      </c>
      <c r="D325" s="106"/>
      <c r="E325" s="106"/>
      <c r="F325" s="106"/>
      <c r="G325" s="113"/>
      <c r="H325" s="113"/>
      <c r="I325" s="113"/>
      <c r="J325" s="113"/>
      <c r="K325" s="106"/>
      <c r="L325" s="106"/>
      <c r="M325" s="106"/>
    </row>
    <row r="326" spans="1:13" ht="18.75" x14ac:dyDescent="0.3">
      <c r="A326" s="106"/>
      <c r="B326" s="113">
        <v>8000000</v>
      </c>
      <c r="C326" s="113" t="s">
        <v>264</v>
      </c>
      <c r="D326" s="106"/>
      <c r="E326" s="106"/>
      <c r="F326" s="106"/>
      <c r="G326" s="113"/>
      <c r="H326" s="113"/>
      <c r="I326" s="113"/>
      <c r="J326" s="113"/>
      <c r="K326" s="106"/>
      <c r="L326" s="106"/>
      <c r="M326" s="106"/>
    </row>
    <row r="327" spans="1:13" ht="18.75" x14ac:dyDescent="0.3">
      <c r="A327" s="106"/>
      <c r="B327" s="113">
        <v>3000000</v>
      </c>
      <c r="C327" s="113" t="s">
        <v>265</v>
      </c>
      <c r="D327" s="106"/>
      <c r="E327" s="106"/>
      <c r="F327" s="106"/>
      <c r="G327" s="113"/>
      <c r="H327" s="113"/>
      <c r="I327" s="113"/>
      <c r="J327" s="113"/>
      <c r="K327" s="106"/>
      <c r="L327" s="106"/>
      <c r="M327" s="106"/>
    </row>
    <row r="328" spans="1:13" ht="37.5" x14ac:dyDescent="0.3">
      <c r="A328" s="106"/>
      <c r="B328" s="113">
        <v>2000000</v>
      </c>
      <c r="C328" s="113" t="s">
        <v>266</v>
      </c>
      <c r="D328" s="106"/>
      <c r="E328" s="104"/>
      <c r="F328" s="106"/>
      <c r="G328" s="113"/>
      <c r="H328" s="113"/>
      <c r="I328" s="113"/>
      <c r="J328" s="113"/>
      <c r="K328" s="106"/>
      <c r="L328" s="106"/>
      <c r="M328" s="106"/>
    </row>
    <row r="329" spans="1:13" ht="18.75" x14ac:dyDescent="0.3">
      <c r="A329" s="106"/>
      <c r="B329" s="113">
        <v>1000000</v>
      </c>
      <c r="C329" s="113" t="s">
        <v>267</v>
      </c>
      <c r="D329" s="106"/>
      <c r="E329" s="106"/>
      <c r="F329" s="106"/>
      <c r="G329" s="113"/>
      <c r="H329" s="113"/>
      <c r="I329" s="113"/>
      <c r="J329" s="113"/>
      <c r="K329" s="106"/>
      <c r="L329" s="106"/>
      <c r="M329" s="106"/>
    </row>
    <row r="330" spans="1:13" ht="18.75" x14ac:dyDescent="0.3">
      <c r="A330" s="106"/>
      <c r="B330" s="113" t="e">
        <f>+B324*1%</f>
        <v>#REF!</v>
      </c>
      <c r="C330" s="113" t="s">
        <v>268</v>
      </c>
      <c r="D330" s="106"/>
      <c r="E330" s="106"/>
      <c r="F330" s="106"/>
      <c r="G330" s="113"/>
      <c r="H330" s="113"/>
      <c r="I330" s="113"/>
      <c r="J330" s="113"/>
      <c r="K330" s="106"/>
      <c r="L330" s="106"/>
      <c r="M330" s="106"/>
    </row>
    <row r="331" spans="1:13" ht="18.75" x14ac:dyDescent="0.3">
      <c r="A331" s="106"/>
      <c r="B331" s="113" t="e">
        <f>+B324*4%</f>
        <v>#REF!</v>
      </c>
      <c r="C331" s="113" t="s">
        <v>269</v>
      </c>
      <c r="D331" s="106"/>
      <c r="E331" s="106"/>
      <c r="F331" s="106"/>
      <c r="G331" s="113"/>
      <c r="H331" s="113"/>
      <c r="I331" s="113"/>
      <c r="J331" s="113"/>
      <c r="K331" s="106"/>
      <c r="L331" s="106"/>
      <c r="M331" s="106"/>
    </row>
    <row r="332" spans="1:13" ht="18.75" x14ac:dyDescent="0.3">
      <c r="A332" s="106"/>
      <c r="B332" s="113">
        <v>1500000</v>
      </c>
      <c r="C332" s="113" t="s">
        <v>270</v>
      </c>
      <c r="D332" s="106"/>
      <c r="E332" s="106"/>
      <c r="F332" s="106"/>
      <c r="G332" s="113"/>
      <c r="H332" s="113"/>
      <c r="I332" s="113"/>
      <c r="J332" s="113"/>
      <c r="K332" s="106"/>
      <c r="L332" s="106"/>
      <c r="M332" s="106"/>
    </row>
    <row r="333" spans="1:13" ht="18.75" x14ac:dyDescent="0.3">
      <c r="A333" s="106"/>
      <c r="B333" s="117" t="e">
        <f>SUM(B324:B332)</f>
        <v>#REF!</v>
      </c>
      <c r="C333" s="117"/>
      <c r="D333" s="106"/>
      <c r="E333" s="106"/>
      <c r="F333" s="106"/>
      <c r="G333" s="113"/>
      <c r="H333" s="113"/>
      <c r="I333" s="113"/>
      <c r="J333" s="113"/>
      <c r="K333" s="106"/>
      <c r="L333" s="106"/>
      <c r="M333" s="106"/>
    </row>
    <row r="334" spans="1:13" ht="18.75" x14ac:dyDescent="0.3">
      <c r="A334" s="106"/>
      <c r="B334" s="106"/>
      <c r="C334" s="106"/>
      <c r="D334" s="106"/>
      <c r="E334" s="106"/>
      <c r="F334" s="106"/>
      <c r="G334" s="113"/>
      <c r="H334" s="113"/>
      <c r="I334" s="113"/>
      <c r="J334" s="113"/>
      <c r="K334" s="106"/>
      <c r="L334" s="106"/>
      <c r="M334" s="106"/>
    </row>
    <row r="335" spans="1:13" ht="18.75" x14ac:dyDescent="0.3">
      <c r="A335" s="106"/>
      <c r="B335" s="106"/>
      <c r="C335" s="106"/>
      <c r="D335" s="106"/>
      <c r="E335" s="106"/>
      <c r="F335" s="106"/>
      <c r="G335" s="113"/>
      <c r="H335" s="113"/>
      <c r="I335" s="113"/>
      <c r="J335" s="113"/>
      <c r="K335" s="106"/>
      <c r="L335" s="106"/>
      <c r="M335" s="106"/>
    </row>
    <row r="336" spans="1:13" ht="18.75" x14ac:dyDescent="0.3">
      <c r="A336" s="106"/>
      <c r="B336" s="106"/>
      <c r="C336" s="106"/>
      <c r="D336" s="106"/>
      <c r="E336" s="106"/>
      <c r="F336" s="106"/>
      <c r="G336" s="113"/>
      <c r="H336" s="113"/>
      <c r="I336" s="113"/>
      <c r="J336" s="113"/>
      <c r="K336" s="106"/>
      <c r="L336" s="106"/>
      <c r="M336" s="106"/>
    </row>
    <row r="337" spans="1:13" ht="18.75" x14ac:dyDescent="0.3">
      <c r="A337" s="106"/>
      <c r="B337" s="106"/>
      <c r="C337" s="106"/>
      <c r="D337" s="106"/>
      <c r="E337" s="106"/>
      <c r="F337" s="106"/>
      <c r="G337" s="113"/>
      <c r="H337" s="113"/>
      <c r="I337" s="113"/>
      <c r="J337" s="113"/>
      <c r="K337" s="106"/>
      <c r="L337" s="106"/>
      <c r="M337" s="106"/>
    </row>
    <row r="338" spans="1:13" ht="18.75" x14ac:dyDescent="0.3">
      <c r="A338" s="106"/>
      <c r="B338" s="106"/>
      <c r="C338" s="106"/>
      <c r="D338" s="106"/>
      <c r="E338" s="106"/>
      <c r="F338" s="106"/>
      <c r="G338" s="113"/>
      <c r="H338" s="113"/>
      <c r="I338" s="113"/>
      <c r="J338" s="113"/>
      <c r="K338" s="106"/>
      <c r="L338" s="106"/>
      <c r="M338" s="106"/>
    </row>
    <row r="339" spans="1:13" ht="18.75" x14ac:dyDescent="0.3">
      <c r="A339" s="106"/>
      <c r="B339" s="106"/>
      <c r="C339" s="106"/>
      <c r="D339" s="106"/>
      <c r="E339" s="106"/>
      <c r="F339" s="106"/>
      <c r="G339" s="113"/>
      <c r="H339" s="113"/>
      <c r="I339" s="113"/>
      <c r="J339" s="113"/>
      <c r="K339" s="106"/>
      <c r="L339" s="106"/>
      <c r="M339" s="106"/>
    </row>
    <row r="340" spans="1:13" ht="18.75" x14ac:dyDescent="0.3">
      <c r="A340" s="106"/>
      <c r="B340" s="106"/>
      <c r="C340" s="106"/>
      <c r="D340" s="106"/>
      <c r="E340" s="106"/>
      <c r="F340" s="106"/>
      <c r="G340" s="113"/>
      <c r="H340" s="113"/>
      <c r="I340" s="113"/>
      <c r="J340" s="113"/>
      <c r="K340" s="106"/>
      <c r="L340" s="106"/>
      <c r="M340" s="106"/>
    </row>
    <row r="341" spans="1:13" ht="18.75" x14ac:dyDescent="0.3">
      <c r="A341" s="106"/>
      <c r="B341" s="106"/>
      <c r="C341" s="106"/>
      <c r="D341" s="106"/>
      <c r="E341" s="106"/>
      <c r="F341" s="106"/>
      <c r="G341" s="113"/>
      <c r="H341" s="113"/>
      <c r="I341" s="113"/>
      <c r="J341" s="113"/>
      <c r="K341" s="106"/>
      <c r="L341" s="106"/>
      <c r="M341" s="106"/>
    </row>
    <row r="342" spans="1:13" ht="18.75" x14ac:dyDescent="0.3">
      <c r="A342" s="106"/>
      <c r="B342" s="106"/>
      <c r="C342" s="106"/>
      <c r="D342" s="106"/>
      <c r="E342" s="106"/>
      <c r="F342" s="106"/>
      <c r="G342" s="113"/>
      <c r="H342" s="113"/>
      <c r="I342" s="113"/>
      <c r="J342" s="113"/>
      <c r="K342" s="106"/>
      <c r="L342" s="106"/>
      <c r="M342" s="106"/>
    </row>
    <row r="343" spans="1:13" ht="18.75" x14ac:dyDescent="0.3">
      <c r="A343" s="106"/>
      <c r="B343" s="106"/>
      <c r="C343" s="106"/>
      <c r="D343" s="106"/>
      <c r="E343" s="106"/>
      <c r="F343" s="106"/>
      <c r="G343" s="113"/>
      <c r="H343" s="113"/>
      <c r="I343" s="113"/>
      <c r="J343" s="113"/>
      <c r="K343" s="106"/>
      <c r="L343" s="106"/>
      <c r="M343" s="106"/>
    </row>
    <row r="344" spans="1:13" ht="18.75" x14ac:dyDescent="0.3">
      <c r="A344" s="106"/>
      <c r="B344" s="106"/>
      <c r="C344" s="106"/>
      <c r="D344" s="106"/>
      <c r="E344" s="106"/>
      <c r="F344" s="106"/>
      <c r="G344" s="113"/>
      <c r="H344" s="113"/>
      <c r="I344" s="113"/>
      <c r="J344" s="113"/>
      <c r="K344" s="106"/>
      <c r="L344" s="106"/>
      <c r="M344" s="106"/>
    </row>
    <row r="345" spans="1:13" ht="18.75" x14ac:dyDescent="0.3">
      <c r="A345" s="106"/>
      <c r="B345" s="106"/>
      <c r="C345" s="106"/>
      <c r="D345" s="106"/>
      <c r="E345" s="106"/>
      <c r="F345" s="106"/>
      <c r="G345" s="113"/>
      <c r="H345" s="113"/>
      <c r="I345" s="113"/>
      <c r="J345" s="113"/>
      <c r="K345" s="106"/>
      <c r="L345" s="106"/>
      <c r="M345" s="106"/>
    </row>
    <row r="346" spans="1:13" ht="18.75" x14ac:dyDescent="0.3">
      <c r="A346" s="106"/>
      <c r="B346" s="106"/>
      <c r="C346" s="106"/>
      <c r="D346" s="106"/>
      <c r="E346" s="106"/>
      <c r="F346" s="106"/>
      <c r="G346" s="113"/>
      <c r="H346" s="113"/>
      <c r="I346" s="113"/>
      <c r="J346" s="113"/>
      <c r="K346" s="106"/>
      <c r="L346" s="106"/>
      <c r="M346" s="106"/>
    </row>
    <row r="347" spans="1:13" ht="18.75" x14ac:dyDescent="0.3">
      <c r="A347" s="106"/>
      <c r="B347" s="106"/>
      <c r="C347" s="106"/>
      <c r="D347" s="106"/>
      <c r="E347" s="106"/>
      <c r="F347" s="106"/>
      <c r="G347" s="113"/>
      <c r="H347" s="113"/>
      <c r="I347" s="113"/>
      <c r="J347" s="113"/>
      <c r="K347" s="106"/>
      <c r="L347" s="106"/>
      <c r="M347" s="106"/>
    </row>
    <row r="348" spans="1:13" ht="18.75" x14ac:dyDescent="0.3">
      <c r="A348" s="106"/>
      <c r="B348" s="106"/>
      <c r="C348" s="106"/>
      <c r="D348" s="106"/>
      <c r="E348" s="106"/>
      <c r="F348" s="106"/>
      <c r="G348" s="113"/>
      <c r="H348" s="113"/>
      <c r="I348" s="113"/>
      <c r="J348" s="113"/>
      <c r="K348" s="106"/>
      <c r="L348" s="106"/>
      <c r="M348" s="106"/>
    </row>
    <row r="349" spans="1:13" ht="18.75" x14ac:dyDescent="0.3">
      <c r="A349" s="106"/>
      <c r="B349" s="106"/>
      <c r="C349" s="106"/>
      <c r="D349" s="106"/>
      <c r="E349" s="106"/>
      <c r="F349" s="106"/>
      <c r="G349" s="113"/>
      <c r="H349" s="113"/>
      <c r="I349" s="113"/>
      <c r="J349" s="113"/>
      <c r="K349" s="106"/>
      <c r="L349" s="106"/>
      <c r="M349" s="106"/>
    </row>
    <row r="350" spans="1:13" ht="18.75" x14ac:dyDescent="0.3">
      <c r="A350" s="106"/>
      <c r="B350" s="106"/>
      <c r="C350" s="106"/>
      <c r="D350" s="106"/>
      <c r="E350" s="106"/>
      <c r="F350" s="106"/>
      <c r="G350" s="113"/>
      <c r="H350" s="113"/>
      <c r="I350" s="113"/>
      <c r="J350" s="113"/>
      <c r="K350" s="106"/>
      <c r="L350" s="106"/>
      <c r="M350" s="106"/>
    </row>
    <row r="351" spans="1:13" ht="18.75" x14ac:dyDescent="0.3">
      <c r="A351" s="106"/>
      <c r="B351" s="106"/>
      <c r="C351" s="106"/>
      <c r="D351" s="106"/>
      <c r="E351" s="106"/>
      <c r="F351" s="106"/>
      <c r="G351" s="113"/>
      <c r="H351" s="113"/>
      <c r="I351" s="113"/>
      <c r="J351" s="113"/>
      <c r="K351" s="106"/>
      <c r="L351" s="106"/>
      <c r="M351" s="106"/>
    </row>
    <row r="352" spans="1:13" ht="18.75" x14ac:dyDescent="0.3">
      <c r="A352" s="106"/>
      <c r="B352" s="106"/>
      <c r="C352" s="106"/>
      <c r="D352" s="106"/>
      <c r="E352" s="106"/>
      <c r="F352" s="106"/>
      <c r="G352" s="113"/>
      <c r="H352" s="113"/>
      <c r="I352" s="113"/>
      <c r="J352" s="113"/>
      <c r="K352" s="106"/>
      <c r="L352" s="106"/>
      <c r="M352" s="106"/>
    </row>
    <row r="353" spans="1:13" ht="18.75" x14ac:dyDescent="0.3">
      <c r="A353" s="106"/>
      <c r="B353" s="106"/>
      <c r="C353" s="106"/>
      <c r="D353" s="106"/>
      <c r="E353" s="106"/>
      <c r="F353" s="106"/>
      <c r="G353" s="113"/>
      <c r="H353" s="113"/>
      <c r="I353" s="113"/>
      <c r="J353" s="113"/>
      <c r="K353" s="106"/>
      <c r="L353" s="106"/>
      <c r="M353" s="106"/>
    </row>
    <row r="354" spans="1:13" ht="18.75" x14ac:dyDescent="0.3">
      <c r="A354" s="106"/>
      <c r="B354" s="106"/>
      <c r="C354" s="106"/>
      <c r="D354" s="106"/>
      <c r="E354" s="106"/>
      <c r="F354" s="106"/>
      <c r="G354" s="113"/>
      <c r="H354" s="113"/>
      <c r="I354" s="113"/>
      <c r="J354" s="113"/>
      <c r="K354" s="106"/>
      <c r="L354" s="106"/>
      <c r="M354" s="106"/>
    </row>
    <row r="355" spans="1:13" ht="18.75" x14ac:dyDescent="0.3">
      <c r="A355" s="106"/>
      <c r="B355" s="106"/>
      <c r="C355" s="106"/>
      <c r="D355" s="106"/>
      <c r="E355" s="106"/>
      <c r="F355" s="106"/>
      <c r="G355" s="113"/>
      <c r="H355" s="113"/>
      <c r="I355" s="113"/>
      <c r="J355" s="113"/>
      <c r="K355" s="106"/>
      <c r="L355" s="106"/>
      <c r="M355" s="106"/>
    </row>
    <row r="356" spans="1:13" ht="18.75" x14ac:dyDescent="0.3">
      <c r="A356" s="106"/>
      <c r="B356" s="106"/>
      <c r="C356" s="106"/>
      <c r="D356" s="106"/>
      <c r="E356" s="106"/>
      <c r="F356" s="106"/>
      <c r="G356" s="113"/>
      <c r="H356" s="113"/>
      <c r="I356" s="113"/>
      <c r="J356" s="113"/>
      <c r="K356" s="106"/>
      <c r="L356" s="106"/>
      <c r="M356" s="106"/>
    </row>
    <row r="357" spans="1:13" ht="18.75" x14ac:dyDescent="0.3">
      <c r="A357" s="106"/>
      <c r="B357" s="106"/>
      <c r="C357" s="106"/>
      <c r="D357" s="106"/>
      <c r="E357" s="106"/>
      <c r="F357" s="106"/>
      <c r="G357" s="113"/>
      <c r="H357" s="113"/>
      <c r="I357" s="113"/>
      <c r="J357" s="113"/>
      <c r="K357" s="106"/>
      <c r="L357" s="106"/>
      <c r="M357" s="106"/>
    </row>
    <row r="358" spans="1:13" ht="18.75" x14ac:dyDescent="0.3">
      <c r="A358" s="106"/>
      <c r="B358" s="106"/>
      <c r="C358" s="106"/>
      <c r="D358" s="106"/>
      <c r="E358" s="106"/>
      <c r="F358" s="106"/>
      <c r="G358" s="113"/>
      <c r="H358" s="113"/>
      <c r="I358" s="113"/>
      <c r="J358" s="113"/>
      <c r="K358" s="106"/>
      <c r="L358" s="106"/>
      <c r="M358" s="106"/>
    </row>
    <row r="359" spans="1:13" ht="18.75" x14ac:dyDescent="0.3">
      <c r="A359" s="106"/>
      <c r="B359" s="106"/>
      <c r="C359" s="106"/>
      <c r="D359" s="106"/>
      <c r="E359" s="106"/>
      <c r="F359" s="106"/>
      <c r="G359" s="113"/>
      <c r="H359" s="113"/>
      <c r="I359" s="113"/>
      <c r="J359" s="113"/>
      <c r="K359" s="106"/>
      <c r="L359" s="106"/>
      <c r="M359" s="106"/>
    </row>
    <row r="360" spans="1:13" ht="18.75" x14ac:dyDescent="0.3">
      <c r="A360" s="106"/>
      <c r="B360" s="106"/>
      <c r="C360" s="106"/>
      <c r="D360" s="106"/>
      <c r="E360" s="106"/>
      <c r="F360" s="106"/>
      <c r="G360" s="113"/>
      <c r="H360" s="113"/>
      <c r="I360" s="113"/>
      <c r="J360" s="113"/>
      <c r="K360" s="106"/>
      <c r="L360" s="106"/>
      <c r="M360" s="106"/>
    </row>
    <row r="361" spans="1:13" ht="18.75" x14ac:dyDescent="0.3">
      <c r="A361" s="106"/>
      <c r="B361" s="106"/>
      <c r="C361" s="106"/>
      <c r="D361" s="106"/>
      <c r="E361" s="106"/>
      <c r="F361" s="106"/>
      <c r="G361" s="113"/>
      <c r="H361" s="113"/>
      <c r="I361" s="113"/>
      <c r="J361" s="113"/>
      <c r="K361" s="106"/>
      <c r="L361" s="106"/>
      <c r="M361" s="106"/>
    </row>
    <row r="362" spans="1:13" ht="18.75" x14ac:dyDescent="0.3">
      <c r="A362" s="106"/>
      <c r="B362" s="106"/>
      <c r="C362" s="106"/>
      <c r="D362" s="106"/>
      <c r="E362" s="106"/>
      <c r="F362" s="106"/>
      <c r="G362" s="113"/>
      <c r="H362" s="113"/>
      <c r="I362" s="113"/>
      <c r="J362" s="113"/>
      <c r="K362" s="106"/>
      <c r="L362" s="106"/>
      <c r="M362" s="106"/>
    </row>
    <row r="363" spans="1:13" ht="18.75" x14ac:dyDescent="0.3">
      <c r="A363" s="106"/>
      <c r="B363" s="106"/>
      <c r="C363" s="106"/>
      <c r="D363" s="106"/>
      <c r="E363" s="106"/>
      <c r="F363" s="106"/>
      <c r="G363" s="113"/>
      <c r="H363" s="113"/>
      <c r="I363" s="113"/>
      <c r="J363" s="113"/>
      <c r="K363" s="106"/>
      <c r="L363" s="106"/>
      <c r="M363" s="106"/>
    </row>
    <row r="364" spans="1:13" ht="18.75" x14ac:dyDescent="0.3">
      <c r="A364" s="106"/>
      <c r="B364" s="106"/>
      <c r="C364" s="106"/>
      <c r="D364" s="106"/>
      <c r="E364" s="106"/>
      <c r="F364" s="106"/>
      <c r="G364" s="113"/>
      <c r="H364" s="113"/>
      <c r="I364" s="113"/>
      <c r="J364" s="113"/>
      <c r="K364" s="106"/>
      <c r="L364" s="106"/>
      <c r="M364" s="106"/>
    </row>
    <row r="365" spans="1:13" ht="18.75" x14ac:dyDescent="0.3">
      <c r="A365" s="106"/>
      <c r="B365" s="106"/>
      <c r="C365" s="106"/>
      <c r="D365" s="106"/>
      <c r="E365" s="106"/>
      <c r="F365" s="106"/>
      <c r="G365" s="113"/>
      <c r="H365" s="113"/>
      <c r="I365" s="113"/>
      <c r="J365" s="113"/>
      <c r="K365" s="106"/>
      <c r="L365" s="106"/>
      <c r="M365" s="106"/>
    </row>
    <row r="366" spans="1:13" ht="18.75" x14ac:dyDescent="0.3">
      <c r="A366" s="106"/>
      <c r="B366" s="106"/>
      <c r="C366" s="106"/>
      <c r="D366" s="106"/>
      <c r="E366" s="106"/>
      <c r="F366" s="106"/>
      <c r="G366" s="113"/>
      <c r="H366" s="113"/>
      <c r="I366" s="113"/>
      <c r="J366" s="113"/>
      <c r="K366" s="106"/>
      <c r="L366" s="106"/>
      <c r="M366" s="106"/>
    </row>
    <row r="367" spans="1:13" ht="18.75" x14ac:dyDescent="0.3">
      <c r="A367" s="106"/>
      <c r="B367" s="106"/>
      <c r="C367" s="106"/>
      <c r="D367" s="106"/>
      <c r="E367" s="106"/>
      <c r="F367" s="106"/>
      <c r="G367" s="113"/>
      <c r="H367" s="113"/>
      <c r="I367" s="113"/>
      <c r="J367" s="113"/>
      <c r="K367" s="106"/>
      <c r="L367" s="106"/>
      <c r="M367" s="106"/>
    </row>
    <row r="368" spans="1:13" ht="18.75" x14ac:dyDescent="0.3">
      <c r="A368" s="106"/>
      <c r="B368" s="106"/>
      <c r="C368" s="106"/>
      <c r="D368" s="106"/>
      <c r="E368" s="106"/>
      <c r="F368" s="106"/>
      <c r="G368" s="113"/>
      <c r="H368" s="113"/>
      <c r="I368" s="113"/>
      <c r="J368" s="113"/>
      <c r="K368" s="106"/>
      <c r="L368" s="106"/>
      <c r="M368" s="106"/>
    </row>
    <row r="369" spans="1:13" ht="18.75" x14ac:dyDescent="0.3">
      <c r="A369" s="106"/>
      <c r="B369" s="106"/>
      <c r="C369" s="106"/>
      <c r="D369" s="106"/>
      <c r="E369" s="106"/>
      <c r="F369" s="106"/>
      <c r="G369" s="113"/>
      <c r="H369" s="113"/>
      <c r="I369" s="113"/>
      <c r="J369" s="113"/>
      <c r="K369" s="106"/>
      <c r="L369" s="106"/>
      <c r="M369" s="106"/>
    </row>
    <row r="370" spans="1:13" ht="18.75" x14ac:dyDescent="0.3">
      <c r="A370" s="106"/>
      <c r="B370" s="106"/>
      <c r="C370" s="106"/>
      <c r="D370" s="106"/>
      <c r="E370" s="106"/>
      <c r="F370" s="106"/>
      <c r="G370" s="113"/>
      <c r="H370" s="113"/>
      <c r="I370" s="113"/>
      <c r="J370" s="113"/>
      <c r="K370" s="106"/>
      <c r="L370" s="106"/>
      <c r="M370" s="106"/>
    </row>
    <row r="371" spans="1:13" ht="18.75" x14ac:dyDescent="0.3">
      <c r="A371" s="106"/>
      <c r="B371" s="106"/>
      <c r="C371" s="106"/>
      <c r="D371" s="106"/>
      <c r="E371" s="106"/>
      <c r="F371" s="106"/>
      <c r="G371" s="113"/>
      <c r="H371" s="113"/>
      <c r="I371" s="113"/>
      <c r="J371" s="113"/>
      <c r="K371" s="106"/>
      <c r="L371" s="106"/>
      <c r="M371" s="106"/>
    </row>
    <row r="372" spans="1:13" ht="18.75" x14ac:dyDescent="0.3">
      <c r="A372" s="106"/>
      <c r="B372" s="106"/>
      <c r="C372" s="106"/>
      <c r="D372" s="106"/>
      <c r="E372" s="106"/>
      <c r="F372" s="106"/>
      <c r="G372" s="113"/>
      <c r="H372" s="113"/>
      <c r="I372" s="113"/>
      <c r="J372" s="113"/>
      <c r="K372" s="106"/>
      <c r="L372" s="106"/>
      <c r="M372" s="106"/>
    </row>
    <row r="373" spans="1:13" ht="18.75" x14ac:dyDescent="0.3">
      <c r="A373" s="106"/>
      <c r="B373" s="106"/>
      <c r="C373" s="106"/>
      <c r="D373" s="106"/>
      <c r="E373" s="106"/>
      <c r="F373" s="106"/>
      <c r="G373" s="113"/>
      <c r="H373" s="113"/>
      <c r="I373" s="113"/>
      <c r="J373" s="113"/>
      <c r="K373" s="106"/>
      <c r="L373" s="106"/>
      <c r="M373" s="106"/>
    </row>
    <row r="374" spans="1:13" ht="18.75" x14ac:dyDescent="0.3">
      <c r="A374" s="106"/>
      <c r="B374" s="106"/>
      <c r="C374" s="106"/>
      <c r="D374" s="106"/>
      <c r="E374" s="106"/>
      <c r="F374" s="106"/>
      <c r="G374" s="113"/>
      <c r="H374" s="113"/>
      <c r="I374" s="113"/>
      <c r="J374" s="113"/>
      <c r="K374" s="106"/>
      <c r="L374" s="106"/>
      <c r="M374" s="106"/>
    </row>
    <row r="375" spans="1:13" ht="18.75" x14ac:dyDescent="0.3">
      <c r="A375" s="106"/>
      <c r="B375" s="106"/>
      <c r="C375" s="106"/>
      <c r="D375" s="106"/>
      <c r="E375" s="106"/>
      <c r="F375" s="106"/>
      <c r="G375" s="113"/>
      <c r="H375" s="113"/>
      <c r="I375" s="113"/>
      <c r="J375" s="113"/>
      <c r="K375" s="106"/>
      <c r="L375" s="106"/>
      <c r="M375" s="106"/>
    </row>
    <row r="376" spans="1:13" ht="18.75" x14ac:dyDescent="0.3">
      <c r="A376" s="106"/>
      <c r="B376" s="106"/>
      <c r="C376" s="106"/>
      <c r="D376" s="106"/>
      <c r="E376" s="106"/>
      <c r="F376" s="106"/>
      <c r="G376" s="113"/>
      <c r="H376" s="113"/>
      <c r="I376" s="113"/>
      <c r="J376" s="113"/>
      <c r="K376" s="106"/>
      <c r="L376" s="106"/>
      <c r="M376" s="106"/>
    </row>
    <row r="377" spans="1:13" ht="18.75" x14ac:dyDescent="0.3">
      <c r="A377" s="106"/>
      <c r="B377" s="106"/>
      <c r="C377" s="106"/>
      <c r="D377" s="106"/>
      <c r="E377" s="106"/>
      <c r="F377" s="106"/>
      <c r="G377" s="113"/>
      <c r="H377" s="113"/>
      <c r="I377" s="113"/>
      <c r="J377" s="113"/>
      <c r="K377" s="106"/>
      <c r="L377" s="106"/>
      <c r="M377" s="106"/>
    </row>
    <row r="378" spans="1:13" ht="18.75" x14ac:dyDescent="0.3">
      <c r="A378" s="106"/>
      <c r="B378" s="106"/>
      <c r="C378" s="106"/>
      <c r="D378" s="106"/>
      <c r="E378" s="106"/>
      <c r="F378" s="106"/>
      <c r="G378" s="113"/>
      <c r="H378" s="113"/>
      <c r="I378" s="113"/>
      <c r="J378" s="113"/>
      <c r="K378" s="106"/>
      <c r="L378" s="106"/>
      <c r="M378" s="106"/>
    </row>
    <row r="379" spans="1:13" ht="18.75" x14ac:dyDescent="0.3">
      <c r="A379" s="106"/>
      <c r="B379" s="106"/>
      <c r="C379" s="106"/>
      <c r="D379" s="106"/>
      <c r="E379" s="106"/>
      <c r="F379" s="106"/>
      <c r="G379" s="113"/>
      <c r="H379" s="113"/>
      <c r="I379" s="113"/>
      <c r="J379" s="113"/>
      <c r="K379" s="106"/>
      <c r="L379" s="106"/>
      <c r="M379" s="106"/>
    </row>
    <row r="380" spans="1:13" ht="18.75" x14ac:dyDescent="0.3">
      <c r="A380" s="106"/>
      <c r="B380" s="106"/>
      <c r="C380" s="106"/>
      <c r="D380" s="106"/>
      <c r="E380" s="106"/>
      <c r="F380" s="106"/>
      <c r="G380" s="113"/>
      <c r="H380" s="113"/>
      <c r="I380" s="113"/>
      <c r="J380" s="113"/>
      <c r="K380" s="106"/>
      <c r="L380" s="106"/>
      <c r="M380" s="106"/>
    </row>
    <row r="381" spans="1:13" ht="18.75" x14ac:dyDescent="0.3">
      <c r="A381" s="106"/>
      <c r="B381" s="106"/>
      <c r="C381" s="106"/>
      <c r="D381" s="106"/>
      <c r="E381" s="106"/>
      <c r="F381" s="106"/>
      <c r="G381" s="113"/>
      <c r="H381" s="113"/>
      <c r="I381" s="113"/>
      <c r="J381" s="113"/>
      <c r="K381" s="106"/>
      <c r="L381" s="106"/>
      <c r="M381" s="106"/>
    </row>
    <row r="382" spans="1:13" ht="18.75" x14ac:dyDescent="0.3">
      <c r="A382" s="106"/>
      <c r="B382" s="106"/>
      <c r="C382" s="106"/>
      <c r="D382" s="106"/>
      <c r="E382" s="106"/>
      <c r="F382" s="106"/>
      <c r="G382" s="113"/>
      <c r="H382" s="113"/>
      <c r="I382" s="113"/>
      <c r="J382" s="113"/>
      <c r="K382" s="106"/>
      <c r="L382" s="106"/>
      <c r="M382" s="106"/>
    </row>
    <row r="383" spans="1:13" ht="18.75" x14ac:dyDescent="0.3">
      <c r="A383" s="106"/>
      <c r="B383" s="106"/>
      <c r="C383" s="106"/>
      <c r="D383" s="106"/>
      <c r="E383" s="106"/>
      <c r="F383" s="106"/>
      <c r="G383" s="113"/>
      <c r="H383" s="113"/>
      <c r="I383" s="113"/>
      <c r="J383" s="113"/>
      <c r="K383" s="106"/>
      <c r="L383" s="106"/>
      <c r="M383" s="106"/>
    </row>
    <row r="384" spans="1:13" ht="18.75" x14ac:dyDescent="0.3">
      <c r="A384" s="106"/>
      <c r="B384" s="106"/>
      <c r="C384" s="106"/>
      <c r="D384" s="106"/>
      <c r="E384" s="106"/>
      <c r="F384" s="106"/>
      <c r="G384" s="113"/>
      <c r="H384" s="113"/>
      <c r="I384" s="113"/>
      <c r="J384" s="113"/>
      <c r="K384" s="106"/>
      <c r="L384" s="106"/>
      <c r="M384" s="106"/>
    </row>
    <row r="385" spans="1:13" ht="18.75" x14ac:dyDescent="0.3">
      <c r="A385" s="106"/>
      <c r="B385" s="106"/>
      <c r="C385" s="106"/>
      <c r="D385" s="106"/>
      <c r="E385" s="106"/>
      <c r="F385" s="106"/>
      <c r="G385" s="113"/>
      <c r="H385" s="113"/>
      <c r="I385" s="113"/>
      <c r="J385" s="113"/>
      <c r="K385" s="106"/>
      <c r="L385" s="106"/>
      <c r="M385" s="106"/>
    </row>
    <row r="386" spans="1:13" ht="18.75" x14ac:dyDescent="0.3">
      <c r="A386" s="106"/>
      <c r="B386" s="106"/>
      <c r="C386" s="106"/>
      <c r="D386" s="106"/>
      <c r="E386" s="106"/>
      <c r="F386" s="106"/>
      <c r="G386" s="113"/>
      <c r="H386" s="113"/>
      <c r="I386" s="113"/>
      <c r="J386" s="113"/>
      <c r="K386" s="106"/>
      <c r="L386" s="106"/>
      <c r="M386" s="106"/>
    </row>
    <row r="387" spans="1:13" ht="18.75" x14ac:dyDescent="0.3">
      <c r="A387" s="106"/>
      <c r="B387" s="106"/>
      <c r="C387" s="106"/>
      <c r="D387" s="106"/>
      <c r="E387" s="106"/>
      <c r="F387" s="106"/>
      <c r="G387" s="113"/>
      <c r="H387" s="113"/>
      <c r="I387" s="113"/>
      <c r="J387" s="113"/>
      <c r="K387" s="106"/>
      <c r="L387" s="106"/>
      <c r="M387" s="106"/>
    </row>
    <row r="388" spans="1:13" ht="18.75" x14ac:dyDescent="0.3">
      <c r="A388" s="106"/>
      <c r="B388" s="106"/>
      <c r="C388" s="106"/>
      <c r="D388" s="106"/>
      <c r="E388" s="106"/>
      <c r="F388" s="106"/>
      <c r="G388" s="113"/>
      <c r="H388" s="113"/>
      <c r="I388" s="113"/>
      <c r="J388" s="113"/>
      <c r="K388" s="106"/>
      <c r="L388" s="106"/>
      <c r="M388" s="106"/>
    </row>
    <row r="389" spans="1:13" ht="18.75" x14ac:dyDescent="0.3">
      <c r="A389" s="106"/>
      <c r="B389" s="106"/>
      <c r="C389" s="106"/>
      <c r="D389" s="106"/>
      <c r="E389" s="106"/>
      <c r="F389" s="106"/>
      <c r="G389" s="113"/>
      <c r="H389" s="113"/>
      <c r="I389" s="113"/>
      <c r="J389" s="113"/>
      <c r="K389" s="106"/>
      <c r="L389" s="106"/>
      <c r="M389" s="106"/>
    </row>
    <row r="390" spans="1:13" ht="18.75" x14ac:dyDescent="0.3">
      <c r="A390" s="106"/>
      <c r="B390" s="106"/>
      <c r="C390" s="106"/>
      <c r="D390" s="106"/>
      <c r="E390" s="106"/>
      <c r="F390" s="106"/>
      <c r="G390" s="113"/>
      <c r="H390" s="113"/>
      <c r="I390" s="113"/>
      <c r="J390" s="113"/>
      <c r="K390" s="106"/>
      <c r="L390" s="106"/>
      <c r="M390" s="106"/>
    </row>
    <row r="391" spans="1:13" ht="18.75" x14ac:dyDescent="0.3">
      <c r="A391" s="106"/>
      <c r="B391" s="106"/>
      <c r="C391" s="106"/>
      <c r="D391" s="106"/>
      <c r="E391" s="106"/>
      <c r="F391" s="106"/>
      <c r="G391" s="113"/>
      <c r="H391" s="113"/>
      <c r="I391" s="113"/>
      <c r="J391" s="113"/>
      <c r="K391" s="106"/>
      <c r="L391" s="106"/>
      <c r="M391" s="106"/>
    </row>
    <row r="392" spans="1:13" ht="18.75" x14ac:dyDescent="0.3">
      <c r="A392" s="106"/>
      <c r="B392" s="106"/>
      <c r="C392" s="106"/>
      <c r="D392" s="106"/>
      <c r="E392" s="106"/>
      <c r="F392" s="106"/>
      <c r="G392" s="113"/>
      <c r="H392" s="113"/>
      <c r="I392" s="113"/>
      <c r="J392" s="113"/>
      <c r="K392" s="106"/>
      <c r="L392" s="106"/>
      <c r="M392" s="106"/>
    </row>
    <row r="393" spans="1:13" ht="18.75" x14ac:dyDescent="0.3">
      <c r="A393" s="106"/>
      <c r="B393" s="106"/>
      <c r="C393" s="106"/>
      <c r="D393" s="106"/>
      <c r="E393" s="106"/>
      <c r="F393" s="106"/>
      <c r="G393" s="113"/>
      <c r="H393" s="113"/>
      <c r="I393" s="113"/>
      <c r="J393" s="113"/>
      <c r="K393" s="106"/>
      <c r="L393" s="106"/>
      <c r="M393" s="106"/>
    </row>
    <row r="394" spans="1:13" ht="18.75" x14ac:dyDescent="0.3">
      <c r="A394" s="106"/>
      <c r="B394" s="106"/>
      <c r="C394" s="106"/>
      <c r="D394" s="106"/>
      <c r="E394" s="106"/>
      <c r="F394" s="106"/>
      <c r="G394" s="113"/>
      <c r="H394" s="113"/>
      <c r="I394" s="113"/>
      <c r="J394" s="113"/>
      <c r="K394" s="106"/>
      <c r="L394" s="106"/>
      <c r="M394" s="106"/>
    </row>
    <row r="395" spans="1:13" ht="18.75" x14ac:dyDescent="0.3">
      <c r="A395" s="106"/>
      <c r="B395" s="106"/>
      <c r="C395" s="106"/>
      <c r="D395" s="106"/>
      <c r="E395" s="106"/>
      <c r="F395" s="106"/>
      <c r="G395" s="113"/>
      <c r="H395" s="113"/>
      <c r="I395" s="113"/>
      <c r="J395" s="113"/>
      <c r="K395" s="106"/>
      <c r="L395" s="106"/>
      <c r="M395" s="106"/>
    </row>
    <row r="396" spans="1:13" ht="18.75" x14ac:dyDescent="0.3">
      <c r="A396" s="106"/>
      <c r="B396" s="106"/>
      <c r="C396" s="106"/>
      <c r="D396" s="106"/>
      <c r="E396" s="106"/>
      <c r="F396" s="106"/>
      <c r="G396" s="113"/>
      <c r="H396" s="113"/>
      <c r="I396" s="113"/>
      <c r="J396" s="113"/>
      <c r="K396" s="106"/>
      <c r="L396" s="106"/>
      <c r="M396" s="106"/>
    </row>
    <row r="397" spans="1:13" ht="18.75" x14ac:dyDescent="0.3">
      <c r="A397" s="106"/>
      <c r="B397" s="106"/>
      <c r="C397" s="106"/>
      <c r="D397" s="106"/>
      <c r="E397" s="106"/>
      <c r="F397" s="106"/>
      <c r="G397" s="113"/>
      <c r="H397" s="113"/>
      <c r="I397" s="113"/>
      <c r="J397" s="113"/>
      <c r="K397" s="106"/>
      <c r="L397" s="106"/>
      <c r="M397" s="106"/>
    </row>
    <row r="398" spans="1:13" ht="18.75" x14ac:dyDescent="0.3">
      <c r="A398" s="106"/>
      <c r="B398" s="106"/>
      <c r="C398" s="106"/>
      <c r="D398" s="106"/>
      <c r="E398" s="106"/>
      <c r="F398" s="106"/>
      <c r="G398" s="113"/>
      <c r="H398" s="113"/>
      <c r="I398" s="113"/>
      <c r="J398" s="113"/>
      <c r="K398" s="106"/>
      <c r="L398" s="106"/>
      <c r="M398" s="106"/>
    </row>
    <row r="399" spans="1:13" ht="18.75" x14ac:dyDescent="0.3">
      <c r="A399" s="106"/>
      <c r="B399" s="106"/>
      <c r="C399" s="106"/>
      <c r="D399" s="106"/>
      <c r="E399" s="106"/>
      <c r="F399" s="106"/>
      <c r="G399" s="113"/>
      <c r="H399" s="113"/>
      <c r="I399" s="113"/>
      <c r="J399" s="113"/>
      <c r="K399" s="106"/>
      <c r="L399" s="106"/>
      <c r="M399" s="106"/>
    </row>
    <row r="400" spans="1:13" ht="18.75" x14ac:dyDescent="0.3">
      <c r="A400" s="106"/>
      <c r="B400" s="106"/>
      <c r="C400" s="106"/>
      <c r="D400" s="106"/>
      <c r="E400" s="106"/>
      <c r="F400" s="106"/>
      <c r="G400" s="113"/>
      <c r="H400" s="113"/>
      <c r="I400" s="113"/>
      <c r="J400" s="113"/>
      <c r="K400" s="106"/>
      <c r="L400" s="106"/>
      <c r="M400" s="106"/>
    </row>
    <row r="401" spans="1:13" ht="18.75" x14ac:dyDescent="0.3">
      <c r="A401" s="106"/>
      <c r="B401" s="106"/>
      <c r="C401" s="106"/>
      <c r="D401" s="106"/>
      <c r="E401" s="106"/>
      <c r="F401" s="106"/>
      <c r="G401" s="113"/>
      <c r="H401" s="113"/>
      <c r="I401" s="113"/>
      <c r="J401" s="113"/>
      <c r="K401" s="106"/>
      <c r="L401" s="106"/>
      <c r="M401" s="106"/>
    </row>
    <row r="402" spans="1:13" ht="18.75" x14ac:dyDescent="0.3">
      <c r="A402" s="106"/>
      <c r="B402" s="106"/>
      <c r="C402" s="106"/>
      <c r="D402" s="106"/>
      <c r="E402" s="106"/>
      <c r="F402" s="106"/>
      <c r="G402" s="113"/>
      <c r="H402" s="113"/>
      <c r="I402" s="113"/>
      <c r="J402" s="113"/>
      <c r="K402" s="106"/>
      <c r="L402" s="106"/>
      <c r="M402" s="106"/>
    </row>
    <row r="403" spans="1:13" ht="18.75" x14ac:dyDescent="0.3">
      <c r="A403" s="106"/>
      <c r="B403" s="106"/>
      <c r="C403" s="106"/>
      <c r="D403" s="106"/>
      <c r="E403" s="106"/>
      <c r="F403" s="106"/>
      <c r="G403" s="113"/>
      <c r="H403" s="113"/>
      <c r="I403" s="113"/>
      <c r="J403" s="113"/>
      <c r="K403" s="106"/>
      <c r="L403" s="106"/>
      <c r="M403" s="106"/>
    </row>
    <row r="404" spans="1:13" ht="18.75" x14ac:dyDescent="0.3">
      <c r="A404" s="106"/>
      <c r="B404" s="106"/>
      <c r="C404" s="106"/>
      <c r="D404" s="106"/>
      <c r="E404" s="106"/>
      <c r="F404" s="106"/>
      <c r="G404" s="113"/>
      <c r="H404" s="113"/>
      <c r="I404" s="113"/>
      <c r="J404" s="113"/>
      <c r="K404" s="106"/>
      <c r="L404" s="106"/>
      <c r="M404" s="106"/>
    </row>
    <row r="405" spans="1:13" ht="18.75" x14ac:dyDescent="0.3">
      <c r="A405" s="106"/>
      <c r="B405" s="106"/>
      <c r="C405" s="106"/>
      <c r="D405" s="106"/>
      <c r="E405" s="106"/>
      <c r="F405" s="106"/>
      <c r="G405" s="113"/>
      <c r="H405" s="113"/>
      <c r="I405" s="113"/>
      <c r="J405" s="113"/>
      <c r="K405" s="106"/>
      <c r="L405" s="106"/>
      <c r="M405" s="106"/>
    </row>
    <row r="406" spans="1:13" ht="18.75" x14ac:dyDescent="0.3">
      <c r="A406" s="106"/>
      <c r="B406" s="106"/>
      <c r="C406" s="106"/>
      <c r="D406" s="106"/>
      <c r="E406" s="106"/>
      <c r="F406" s="106"/>
      <c r="G406" s="113"/>
      <c r="H406" s="113"/>
      <c r="I406" s="113"/>
      <c r="J406" s="113"/>
      <c r="K406" s="106"/>
      <c r="L406" s="106"/>
      <c r="M406" s="106"/>
    </row>
    <row r="407" spans="1:13" ht="18.75" x14ac:dyDescent="0.3">
      <c r="A407" s="106"/>
      <c r="B407" s="106"/>
      <c r="C407" s="106"/>
      <c r="D407" s="106"/>
      <c r="E407" s="106"/>
      <c r="F407" s="106"/>
      <c r="G407" s="113"/>
      <c r="H407" s="113" t="s">
        <v>48</v>
      </c>
      <c r="I407" s="113"/>
      <c r="J407" s="113"/>
      <c r="K407" s="106"/>
      <c r="L407" s="106"/>
      <c r="M407" s="106"/>
    </row>
    <row r="408" spans="1:13" ht="18.75" x14ac:dyDescent="0.3">
      <c r="A408" s="106"/>
      <c r="B408" s="106"/>
      <c r="C408" s="106"/>
      <c r="D408" s="106"/>
      <c r="E408" s="106"/>
      <c r="F408" s="106"/>
      <c r="G408" s="113"/>
      <c r="H408" s="113"/>
      <c r="I408" s="113"/>
      <c r="J408" s="113"/>
      <c r="K408" s="106"/>
      <c r="L408" s="106"/>
      <c r="M408" s="106"/>
    </row>
    <row r="409" spans="1:13" ht="18.75" x14ac:dyDescent="0.3">
      <c r="A409" s="106"/>
      <c r="B409" s="106"/>
      <c r="C409" s="106"/>
      <c r="D409" s="106"/>
      <c r="E409" s="106"/>
      <c r="F409" s="106"/>
      <c r="G409" s="113"/>
      <c r="H409" s="113"/>
      <c r="I409" s="113"/>
      <c r="J409" s="113"/>
      <c r="K409" s="106"/>
      <c r="L409" s="106"/>
      <c r="M409" s="106"/>
    </row>
    <row r="410" spans="1:13" ht="18.75" x14ac:dyDescent="0.3">
      <c r="A410" s="106"/>
      <c r="B410" s="106"/>
      <c r="C410" s="106"/>
      <c r="D410" s="106"/>
      <c r="E410" s="106"/>
      <c r="F410" s="106"/>
      <c r="G410" s="113"/>
      <c r="H410" s="113"/>
      <c r="I410" s="113"/>
      <c r="J410" s="113"/>
      <c r="K410" s="106"/>
      <c r="L410" s="106"/>
      <c r="M410" s="106"/>
    </row>
    <row r="411" spans="1:13" ht="18.75" x14ac:dyDescent="0.3">
      <c r="A411" s="106"/>
      <c r="B411" s="106"/>
      <c r="C411" s="106"/>
      <c r="D411" s="106"/>
      <c r="E411" s="106"/>
      <c r="F411" s="106"/>
      <c r="G411" s="113"/>
      <c r="H411" s="113"/>
      <c r="I411" s="113"/>
      <c r="J411" s="113"/>
      <c r="K411" s="106"/>
      <c r="L411" s="106"/>
      <c r="M411" s="106"/>
    </row>
    <row r="412" spans="1:13" ht="18.75" x14ac:dyDescent="0.3">
      <c r="A412" s="106"/>
      <c r="B412" s="106"/>
      <c r="C412" s="106"/>
      <c r="D412" s="106"/>
      <c r="E412" s="106"/>
      <c r="F412" s="106"/>
      <c r="G412" s="113"/>
      <c r="H412" s="113"/>
      <c r="I412" s="113"/>
      <c r="J412" s="113"/>
      <c r="K412" s="106"/>
      <c r="L412" s="106"/>
      <c r="M412" s="106"/>
    </row>
    <row r="413" spans="1:13" ht="18.75" x14ac:dyDescent="0.3">
      <c r="A413" s="106"/>
      <c r="B413" s="106"/>
      <c r="C413" s="106"/>
      <c r="D413" s="106"/>
      <c r="E413" s="106"/>
      <c r="F413" s="106"/>
      <c r="G413" s="113"/>
      <c r="H413" s="113"/>
      <c r="I413" s="113"/>
      <c r="J413" s="113"/>
      <c r="K413" s="106"/>
      <c r="L413" s="106"/>
      <c r="M413" s="106"/>
    </row>
    <row r="414" spans="1:13" ht="18.75" x14ac:dyDescent="0.3">
      <c r="A414" s="106"/>
      <c r="B414" s="106"/>
      <c r="C414" s="106"/>
      <c r="D414" s="106"/>
      <c r="E414" s="106"/>
      <c r="F414" s="106"/>
      <c r="G414" s="113"/>
      <c r="H414" s="113"/>
      <c r="I414" s="113"/>
      <c r="J414" s="113"/>
      <c r="K414" s="106"/>
      <c r="L414" s="106"/>
      <c r="M414" s="106"/>
    </row>
    <row r="415" spans="1:13" ht="18.75" x14ac:dyDescent="0.3">
      <c r="A415" s="106"/>
      <c r="B415" s="106"/>
      <c r="C415" s="106"/>
      <c r="D415" s="106"/>
      <c r="E415" s="106"/>
      <c r="F415" s="106"/>
      <c r="G415" s="113"/>
      <c r="H415" s="113"/>
      <c r="I415" s="113"/>
      <c r="J415" s="113"/>
      <c r="K415" s="106"/>
      <c r="L415" s="106"/>
      <c r="M415" s="106"/>
    </row>
    <row r="416" spans="1:13" ht="18.75" x14ac:dyDescent="0.3">
      <c r="A416" s="106"/>
      <c r="B416" s="106"/>
      <c r="C416" s="106"/>
      <c r="D416" s="106"/>
      <c r="E416" s="106"/>
      <c r="F416" s="106"/>
      <c r="G416" s="113"/>
      <c r="H416" s="113"/>
      <c r="I416" s="113"/>
      <c r="J416" s="113"/>
      <c r="K416" s="106"/>
      <c r="L416" s="106"/>
      <c r="M416" s="106"/>
    </row>
    <row r="417" spans="1:13" ht="18.75" x14ac:dyDescent="0.3">
      <c r="A417" s="106"/>
      <c r="B417" s="106"/>
      <c r="C417" s="106"/>
      <c r="D417" s="106"/>
      <c r="E417" s="106"/>
      <c r="F417" s="106"/>
      <c r="G417" s="113"/>
      <c r="H417" s="113"/>
      <c r="I417" s="113"/>
      <c r="J417" s="113"/>
      <c r="K417" s="106"/>
      <c r="L417" s="106"/>
      <c r="M417" s="106"/>
    </row>
    <row r="418" spans="1:13" ht="18.75" x14ac:dyDescent="0.3">
      <c r="A418" s="106"/>
      <c r="B418" s="106"/>
      <c r="C418" s="106"/>
      <c r="D418" s="106"/>
      <c r="E418" s="106"/>
      <c r="F418" s="106"/>
      <c r="G418" s="113"/>
      <c r="H418" s="113"/>
      <c r="I418" s="113"/>
      <c r="J418" s="113"/>
      <c r="K418" s="106"/>
      <c r="L418" s="106"/>
      <c r="M418" s="106"/>
    </row>
    <row r="419" spans="1:13" ht="18.75" x14ac:dyDescent="0.3">
      <c r="A419" s="106"/>
      <c r="B419" s="106"/>
      <c r="C419" s="106"/>
      <c r="D419" s="106"/>
      <c r="E419" s="106"/>
      <c r="F419" s="106"/>
      <c r="G419" s="113"/>
      <c r="H419" s="113"/>
      <c r="I419" s="113"/>
      <c r="J419" s="113"/>
      <c r="K419" s="106"/>
      <c r="L419" s="106"/>
      <c r="M419" s="106"/>
    </row>
    <row r="420" spans="1:13" ht="18.75" x14ac:dyDescent="0.3">
      <c r="A420" s="106"/>
      <c r="B420" s="106"/>
      <c r="C420" s="106"/>
      <c r="D420" s="106"/>
      <c r="E420" s="106"/>
      <c r="F420" s="106"/>
      <c r="G420" s="113"/>
      <c r="H420" s="113"/>
      <c r="I420" s="113"/>
      <c r="J420" s="113"/>
      <c r="K420" s="106"/>
      <c r="L420" s="106"/>
      <c r="M420" s="106"/>
    </row>
    <row r="421" spans="1:13" ht="18.75" x14ac:dyDescent="0.3">
      <c r="A421" s="106"/>
      <c r="B421" s="106"/>
      <c r="C421" s="106"/>
      <c r="D421" s="106"/>
      <c r="E421" s="106"/>
      <c r="F421" s="106"/>
      <c r="G421" s="113"/>
      <c r="H421" s="113"/>
      <c r="I421" s="113"/>
      <c r="J421" s="113"/>
      <c r="K421" s="106"/>
      <c r="L421" s="106"/>
      <c r="M421" s="106"/>
    </row>
    <row r="422" spans="1:13" ht="18.75" x14ac:dyDescent="0.3">
      <c r="A422" s="106"/>
      <c r="B422" s="106"/>
      <c r="C422" s="106"/>
      <c r="D422" s="106"/>
      <c r="E422" s="106"/>
      <c r="F422" s="106"/>
      <c r="G422" s="113"/>
      <c r="H422" s="113"/>
      <c r="I422" s="113"/>
      <c r="J422" s="113"/>
      <c r="K422" s="106"/>
      <c r="L422" s="106"/>
      <c r="M422" s="106"/>
    </row>
    <row r="423" spans="1:13" ht="18.75" x14ac:dyDescent="0.3">
      <c r="A423" s="106"/>
      <c r="B423" s="106"/>
      <c r="C423" s="106"/>
      <c r="D423" s="106"/>
      <c r="E423" s="106"/>
      <c r="F423" s="106"/>
      <c r="G423" s="113"/>
      <c r="H423" s="113"/>
      <c r="I423" s="113"/>
      <c r="J423" s="113"/>
      <c r="K423" s="106"/>
      <c r="L423" s="106"/>
      <c r="M423" s="106"/>
    </row>
    <row r="424" spans="1:13" ht="18.75" x14ac:dyDescent="0.3">
      <c r="A424" s="106"/>
      <c r="B424" s="106"/>
      <c r="C424" s="106"/>
      <c r="D424" s="106"/>
      <c r="E424" s="106"/>
      <c r="F424" s="106"/>
      <c r="G424" s="113"/>
      <c r="H424" s="113"/>
      <c r="I424" s="113"/>
      <c r="J424" s="113"/>
      <c r="K424" s="106"/>
      <c r="L424" s="106"/>
      <c r="M424" s="106"/>
    </row>
    <row r="425" spans="1:13" ht="18.75" x14ac:dyDescent="0.3">
      <c r="A425" s="106"/>
      <c r="B425" s="106"/>
      <c r="C425" s="106"/>
      <c r="D425" s="106"/>
      <c r="E425" s="106"/>
      <c r="F425" s="106"/>
      <c r="G425" s="113"/>
      <c r="H425" s="113"/>
      <c r="I425" s="113"/>
      <c r="J425" s="113"/>
      <c r="K425" s="106"/>
      <c r="L425" s="106"/>
      <c r="M425" s="106"/>
    </row>
    <row r="426" spans="1:13" ht="18.75" x14ac:dyDescent="0.3">
      <c r="A426" s="106"/>
      <c r="B426" s="106"/>
      <c r="C426" s="106"/>
      <c r="D426" s="106"/>
      <c r="E426" s="106"/>
      <c r="F426" s="106"/>
      <c r="G426" s="113"/>
      <c r="H426" s="113"/>
      <c r="I426" s="113"/>
      <c r="J426" s="113"/>
      <c r="K426" s="106"/>
      <c r="L426" s="106"/>
      <c r="M426" s="106"/>
    </row>
    <row r="427" spans="1:13" ht="18.75" x14ac:dyDescent="0.3">
      <c r="A427" s="106"/>
      <c r="B427" s="106"/>
      <c r="C427" s="106"/>
      <c r="D427" s="106"/>
      <c r="E427" s="106"/>
      <c r="F427" s="106"/>
      <c r="G427" s="113"/>
      <c r="H427" s="113"/>
      <c r="I427" s="113"/>
      <c r="J427" s="113"/>
      <c r="K427" s="106"/>
      <c r="L427" s="106"/>
      <c r="M427" s="106"/>
    </row>
    <row r="428" spans="1:13" ht="18.75" x14ac:dyDescent="0.3">
      <c r="A428" s="106"/>
      <c r="B428" s="106"/>
      <c r="C428" s="106"/>
      <c r="D428" s="106"/>
      <c r="E428" s="106"/>
      <c r="F428" s="106"/>
      <c r="G428" s="113"/>
      <c r="H428" s="113"/>
      <c r="I428" s="113"/>
      <c r="J428" s="113"/>
      <c r="K428" s="106"/>
      <c r="L428" s="106"/>
      <c r="M428" s="106"/>
    </row>
    <row r="429" spans="1:13" ht="18.75" x14ac:dyDescent="0.3">
      <c r="A429" s="106"/>
      <c r="B429" s="106"/>
      <c r="C429" s="106"/>
      <c r="D429" s="106"/>
      <c r="E429" s="106"/>
      <c r="F429" s="106"/>
      <c r="G429" s="113"/>
      <c r="H429" s="113"/>
      <c r="I429" s="113"/>
      <c r="J429" s="113"/>
      <c r="K429" s="106"/>
      <c r="L429" s="106"/>
      <c r="M429" s="106"/>
    </row>
    <row r="430" spans="1:13" ht="18.75" x14ac:dyDescent="0.3">
      <c r="A430" s="106"/>
      <c r="B430" s="106"/>
      <c r="C430" s="106"/>
      <c r="D430" s="106"/>
      <c r="E430" s="106"/>
      <c r="F430" s="106"/>
      <c r="G430" s="113"/>
      <c r="H430" s="113"/>
      <c r="I430" s="113"/>
      <c r="J430" s="113"/>
      <c r="K430" s="106"/>
      <c r="L430" s="106"/>
      <c r="M430" s="106"/>
    </row>
    <row r="431" spans="1:13" ht="18.75" x14ac:dyDescent="0.3">
      <c r="A431" s="106"/>
      <c r="B431" s="106"/>
      <c r="C431" s="106"/>
      <c r="D431" s="106"/>
      <c r="E431" s="106"/>
      <c r="F431" s="106"/>
      <c r="G431" s="113"/>
      <c r="H431" s="113"/>
      <c r="I431" s="113"/>
      <c r="J431" s="113"/>
      <c r="K431" s="106"/>
      <c r="L431" s="106"/>
      <c r="M431" s="106"/>
    </row>
    <row r="432" spans="1:13" ht="18.75" x14ac:dyDescent="0.3">
      <c r="A432" s="106"/>
      <c r="B432" s="106"/>
      <c r="C432" s="106"/>
      <c r="D432" s="106"/>
      <c r="E432" s="106"/>
      <c r="F432" s="106"/>
      <c r="G432" s="113"/>
      <c r="H432" s="113"/>
      <c r="I432" s="113"/>
      <c r="J432" s="113"/>
      <c r="K432" s="106"/>
      <c r="L432" s="106"/>
      <c r="M432" s="106"/>
    </row>
    <row r="433" spans="1:13" ht="18.75" x14ac:dyDescent="0.3">
      <c r="A433" s="106"/>
      <c r="B433" s="106"/>
      <c r="C433" s="106"/>
      <c r="D433" s="106"/>
      <c r="E433" s="106"/>
      <c r="F433" s="106"/>
      <c r="G433" s="113"/>
      <c r="H433" s="113"/>
      <c r="I433" s="113"/>
      <c r="J433" s="113"/>
      <c r="K433" s="106"/>
      <c r="L433" s="106"/>
      <c r="M433" s="106"/>
    </row>
    <row r="434" spans="1:13" ht="18.75" x14ac:dyDescent="0.3">
      <c r="A434" s="106"/>
      <c r="B434" s="106"/>
      <c r="C434" s="106"/>
      <c r="D434" s="106"/>
      <c r="E434" s="106"/>
      <c r="F434" s="106"/>
      <c r="G434" s="113"/>
      <c r="H434" s="113"/>
      <c r="I434" s="113"/>
      <c r="J434" s="113"/>
      <c r="K434" s="106"/>
      <c r="L434" s="106"/>
      <c r="M434" s="106"/>
    </row>
    <row r="435" spans="1:13" ht="18.75" x14ac:dyDescent="0.3">
      <c r="A435" s="106"/>
      <c r="B435" s="106"/>
      <c r="C435" s="106"/>
      <c r="D435" s="106"/>
      <c r="E435" s="106"/>
      <c r="F435" s="106"/>
      <c r="G435" s="113"/>
      <c r="H435" s="113"/>
      <c r="I435" s="113"/>
      <c r="J435" s="113"/>
      <c r="K435" s="106"/>
      <c r="L435" s="106"/>
      <c r="M435" s="106"/>
    </row>
    <row r="436" spans="1:13" ht="18.75" x14ac:dyDescent="0.3">
      <c r="A436" s="106"/>
      <c r="B436" s="106"/>
      <c r="C436" s="106"/>
      <c r="D436" s="106"/>
      <c r="E436" s="106"/>
      <c r="F436" s="106"/>
      <c r="G436" s="113"/>
      <c r="H436" s="113"/>
      <c r="I436" s="113"/>
      <c r="J436" s="113"/>
      <c r="K436" s="106"/>
      <c r="L436" s="106"/>
      <c r="M436" s="106"/>
    </row>
    <row r="437" spans="1:13" ht="18.75" x14ac:dyDescent="0.3">
      <c r="A437" s="106"/>
      <c r="B437" s="106"/>
      <c r="C437" s="106"/>
      <c r="D437" s="106"/>
      <c r="E437" s="106"/>
      <c r="F437" s="106"/>
      <c r="G437" s="113"/>
      <c r="H437" s="113"/>
      <c r="I437" s="113"/>
      <c r="J437" s="113"/>
      <c r="K437" s="106"/>
      <c r="L437" s="106"/>
      <c r="M437" s="106"/>
    </row>
    <row r="438" spans="1:13" ht="18.75" x14ac:dyDescent="0.3">
      <c r="A438" s="106"/>
      <c r="B438" s="106"/>
      <c r="C438" s="106"/>
      <c r="D438" s="106"/>
      <c r="E438" s="106"/>
      <c r="F438" s="106"/>
      <c r="G438" s="113"/>
      <c r="H438" s="113"/>
      <c r="I438" s="113"/>
      <c r="J438" s="113"/>
      <c r="K438" s="106"/>
      <c r="L438" s="106"/>
      <c r="M438" s="106"/>
    </row>
    <row r="439" spans="1:13" ht="18.75" x14ac:dyDescent="0.3">
      <c r="A439" s="106"/>
      <c r="B439" s="106"/>
      <c r="C439" s="106"/>
      <c r="D439" s="106"/>
      <c r="E439" s="106"/>
      <c r="F439" s="106"/>
      <c r="G439" s="113"/>
      <c r="H439" s="113"/>
      <c r="I439" s="113"/>
      <c r="J439" s="113"/>
      <c r="K439" s="106"/>
      <c r="L439" s="106"/>
      <c r="M439" s="106"/>
    </row>
    <row r="440" spans="1:13" ht="18.75" x14ac:dyDescent="0.3">
      <c r="A440" s="106"/>
      <c r="B440" s="106"/>
      <c r="C440" s="106"/>
      <c r="D440" s="106"/>
      <c r="E440" s="106"/>
      <c r="F440" s="106"/>
      <c r="G440" s="113"/>
      <c r="H440" s="113"/>
      <c r="I440" s="113"/>
      <c r="J440" s="113"/>
      <c r="K440" s="106"/>
      <c r="L440" s="106"/>
      <c r="M440" s="106"/>
    </row>
    <row r="441" spans="1:13" ht="18.75" x14ac:dyDescent="0.3">
      <c r="A441" s="106"/>
      <c r="B441" s="106"/>
      <c r="C441" s="106"/>
      <c r="D441" s="106"/>
      <c r="E441" s="106"/>
      <c r="F441" s="106"/>
      <c r="G441" s="113"/>
      <c r="H441" s="113"/>
      <c r="I441" s="113"/>
      <c r="J441" s="113"/>
      <c r="K441" s="106"/>
      <c r="L441" s="106"/>
      <c r="M441" s="106"/>
    </row>
    <row r="442" spans="1:13" ht="18.75" x14ac:dyDescent="0.3">
      <c r="A442" s="106"/>
      <c r="B442" s="106"/>
      <c r="C442" s="106"/>
      <c r="D442" s="106"/>
      <c r="E442" s="106"/>
      <c r="F442" s="106"/>
      <c r="G442" s="113"/>
      <c r="H442" s="113"/>
      <c r="I442" s="113"/>
      <c r="J442" s="113"/>
      <c r="K442" s="106"/>
      <c r="L442" s="106"/>
      <c r="M442" s="106"/>
    </row>
    <row r="443" spans="1:13" ht="18.75" x14ac:dyDescent="0.3">
      <c r="A443" s="106"/>
      <c r="B443" s="106"/>
      <c r="C443" s="106"/>
      <c r="D443" s="106"/>
      <c r="E443" s="106"/>
      <c r="F443" s="106"/>
      <c r="G443" s="113"/>
      <c r="H443" s="113"/>
      <c r="I443" s="113"/>
      <c r="J443" s="113"/>
      <c r="K443" s="106"/>
      <c r="L443" s="106"/>
      <c r="M443" s="106"/>
    </row>
    <row r="444" spans="1:13" ht="18.75" x14ac:dyDescent="0.3">
      <c r="A444" s="106"/>
      <c r="B444" s="106"/>
      <c r="C444" s="106"/>
      <c r="D444" s="106"/>
      <c r="E444" s="106"/>
      <c r="F444" s="106"/>
      <c r="G444" s="113"/>
      <c r="H444" s="113"/>
      <c r="I444" s="113"/>
      <c r="J444" s="113"/>
      <c r="K444" s="106"/>
      <c r="L444" s="106"/>
      <c r="M444" s="106"/>
    </row>
    <row r="445" spans="1:13" ht="18.75" x14ac:dyDescent="0.3">
      <c r="A445" s="106"/>
      <c r="B445" s="106"/>
      <c r="C445" s="106"/>
      <c r="D445" s="106"/>
      <c r="E445" s="106"/>
      <c r="F445" s="106"/>
      <c r="G445" s="113"/>
      <c r="H445" s="113"/>
      <c r="I445" s="113"/>
      <c r="J445" s="113"/>
      <c r="K445" s="106"/>
      <c r="L445" s="106"/>
      <c r="M445" s="106"/>
    </row>
    <row r="446" spans="1:13" ht="18.75" x14ac:dyDescent="0.3">
      <c r="A446" s="106"/>
      <c r="B446" s="106"/>
      <c r="C446" s="106"/>
      <c r="D446" s="106"/>
      <c r="E446" s="106"/>
      <c r="F446" s="106"/>
      <c r="G446" s="113"/>
      <c r="H446" s="113"/>
      <c r="I446" s="113"/>
      <c r="J446" s="113"/>
      <c r="K446" s="106"/>
      <c r="L446" s="106"/>
      <c r="M446" s="106"/>
    </row>
    <row r="447" spans="1:13" ht="18.75" x14ac:dyDescent="0.3">
      <c r="A447" s="106"/>
      <c r="B447" s="106"/>
      <c r="C447" s="106"/>
      <c r="D447" s="106"/>
      <c r="E447" s="106"/>
      <c r="F447" s="106"/>
      <c r="G447" s="113"/>
      <c r="H447" s="113"/>
      <c r="I447" s="113"/>
      <c r="J447" s="113"/>
      <c r="K447" s="106"/>
      <c r="L447" s="106"/>
      <c r="M447" s="106"/>
    </row>
    <row r="448" spans="1:13" ht="18.75" x14ac:dyDescent="0.3">
      <c r="A448" s="106"/>
      <c r="B448" s="106"/>
      <c r="C448" s="106"/>
      <c r="D448" s="106"/>
      <c r="E448" s="106"/>
      <c r="F448" s="106"/>
      <c r="G448" s="113"/>
      <c r="H448" s="113"/>
      <c r="I448" s="113"/>
      <c r="J448" s="113"/>
      <c r="K448" s="106"/>
      <c r="L448" s="106"/>
      <c r="M448" s="106"/>
    </row>
    <row r="449" spans="1:13" ht="18.75" x14ac:dyDescent="0.3">
      <c r="A449" s="106"/>
      <c r="B449" s="106"/>
      <c r="C449" s="106"/>
      <c r="D449" s="106"/>
      <c r="E449" s="106"/>
      <c r="F449" s="106"/>
      <c r="G449" s="113"/>
      <c r="H449" s="113"/>
      <c r="I449" s="113"/>
      <c r="J449" s="113"/>
      <c r="K449" s="106"/>
      <c r="L449" s="106"/>
      <c r="M449" s="106"/>
    </row>
    <row r="450" spans="1:13" ht="18.75" x14ac:dyDescent="0.3">
      <c r="A450" s="106"/>
      <c r="B450" s="106"/>
      <c r="C450" s="106"/>
      <c r="D450" s="106"/>
      <c r="E450" s="106"/>
      <c r="F450" s="106"/>
      <c r="G450" s="113"/>
      <c r="H450" s="113"/>
      <c r="I450" s="113"/>
      <c r="J450" s="113"/>
      <c r="K450" s="106"/>
      <c r="L450" s="106"/>
      <c r="M450" s="106"/>
    </row>
    <row r="451" spans="1:13" ht="18.75" x14ac:dyDescent="0.3">
      <c r="A451" s="106"/>
      <c r="B451" s="106"/>
      <c r="C451" s="106"/>
      <c r="D451" s="106"/>
      <c r="E451" s="106"/>
      <c r="F451" s="106"/>
      <c r="G451" s="113"/>
      <c r="H451" s="113"/>
      <c r="I451" s="113"/>
      <c r="J451" s="113"/>
      <c r="K451" s="106"/>
      <c r="L451" s="106"/>
      <c r="M451" s="106"/>
    </row>
    <row r="452" spans="1:13" ht="18.75" x14ac:dyDescent="0.3">
      <c r="A452" s="106"/>
      <c r="B452" s="106"/>
      <c r="C452" s="106"/>
      <c r="D452" s="106"/>
      <c r="E452" s="106"/>
      <c r="F452" s="106"/>
      <c r="G452" s="113"/>
      <c r="H452" s="113"/>
      <c r="I452" s="113"/>
      <c r="J452" s="113"/>
      <c r="K452" s="106"/>
      <c r="L452" s="106"/>
      <c r="M452" s="106"/>
    </row>
    <row r="453" spans="1:13" ht="18.75" x14ac:dyDescent="0.3">
      <c r="A453" s="106"/>
      <c r="B453" s="106"/>
      <c r="C453" s="106"/>
      <c r="D453" s="106"/>
      <c r="E453" s="106"/>
      <c r="F453" s="106"/>
      <c r="G453" s="113"/>
      <c r="H453" s="113"/>
      <c r="I453" s="113"/>
      <c r="J453" s="113"/>
      <c r="K453" s="106"/>
      <c r="L453" s="106"/>
      <c r="M453" s="106"/>
    </row>
    <row r="454" spans="1:13" ht="18.75" x14ac:dyDescent="0.3">
      <c r="A454" s="106"/>
      <c r="B454" s="106"/>
      <c r="C454" s="106"/>
      <c r="D454" s="106"/>
      <c r="E454" s="106"/>
      <c r="F454" s="106"/>
      <c r="G454" s="113"/>
      <c r="H454" s="113"/>
      <c r="I454" s="113"/>
      <c r="J454" s="113"/>
      <c r="K454" s="106"/>
      <c r="L454" s="106"/>
      <c r="M454" s="106"/>
    </row>
    <row r="455" spans="1:13" ht="18.75" x14ac:dyDescent="0.3">
      <c r="A455" s="106"/>
      <c r="B455" s="106"/>
      <c r="C455" s="106"/>
      <c r="D455" s="106"/>
      <c r="E455" s="106"/>
      <c r="F455" s="106"/>
      <c r="G455" s="113"/>
      <c r="H455" s="113"/>
      <c r="I455" s="113"/>
      <c r="J455" s="113"/>
      <c r="K455" s="106"/>
      <c r="L455" s="106"/>
      <c r="M455" s="106"/>
    </row>
    <row r="456" spans="1:13" ht="18.75" x14ac:dyDescent="0.3">
      <c r="A456" s="106"/>
      <c r="B456" s="106"/>
      <c r="C456" s="106"/>
      <c r="D456" s="106"/>
      <c r="E456" s="106"/>
      <c r="F456" s="106"/>
      <c r="G456" s="113"/>
      <c r="H456" s="113"/>
      <c r="I456" s="113"/>
      <c r="J456" s="113"/>
      <c r="K456" s="106"/>
      <c r="L456" s="106"/>
      <c r="M456" s="106"/>
    </row>
    <row r="457" spans="1:13" ht="18.75" x14ac:dyDescent="0.3">
      <c r="A457" s="106"/>
      <c r="B457" s="106"/>
      <c r="C457" s="106"/>
      <c r="D457" s="106"/>
      <c r="E457" s="106"/>
      <c r="F457" s="106"/>
      <c r="G457" s="113"/>
      <c r="H457" s="113"/>
      <c r="I457" s="113"/>
      <c r="J457" s="113"/>
      <c r="K457" s="106"/>
      <c r="L457" s="106"/>
      <c r="M457" s="106"/>
    </row>
    <row r="458" spans="1:13" ht="18.75" x14ac:dyDescent="0.3">
      <c r="A458" s="106"/>
      <c r="B458" s="106"/>
      <c r="C458" s="106"/>
      <c r="D458" s="106"/>
      <c r="E458" s="106"/>
      <c r="F458" s="106"/>
      <c r="G458" s="113"/>
      <c r="H458" s="113"/>
      <c r="I458" s="113"/>
      <c r="J458" s="113"/>
      <c r="K458" s="106"/>
      <c r="L458" s="106"/>
      <c r="M458" s="106"/>
    </row>
    <row r="459" spans="1:13" ht="18.75" x14ac:dyDescent="0.3">
      <c r="A459" s="106"/>
      <c r="B459" s="106"/>
      <c r="C459" s="106"/>
      <c r="D459" s="106"/>
      <c r="E459" s="106"/>
      <c r="F459" s="106"/>
      <c r="G459" s="113"/>
      <c r="H459" s="113"/>
      <c r="I459" s="113"/>
      <c r="J459" s="113"/>
      <c r="K459" s="106"/>
      <c r="L459" s="106"/>
      <c r="M459" s="106"/>
    </row>
    <row r="460" spans="1:13" ht="18.75" x14ac:dyDescent="0.3">
      <c r="A460" s="106"/>
      <c r="B460" s="106"/>
      <c r="C460" s="106"/>
      <c r="D460" s="106"/>
      <c r="E460" s="106"/>
      <c r="F460" s="106"/>
      <c r="G460" s="113"/>
      <c r="H460" s="113"/>
      <c r="I460" s="113"/>
      <c r="J460" s="113"/>
      <c r="K460" s="106"/>
      <c r="L460" s="106"/>
      <c r="M460" s="106"/>
    </row>
    <row r="461" spans="1:13" ht="18.75" x14ac:dyDescent="0.3">
      <c r="A461" s="106"/>
      <c r="B461" s="106"/>
      <c r="C461" s="106"/>
      <c r="D461" s="106"/>
      <c r="E461" s="106"/>
      <c r="F461" s="106"/>
      <c r="G461" s="113"/>
      <c r="H461" s="113"/>
      <c r="I461" s="113"/>
      <c r="J461" s="113"/>
      <c r="K461" s="106"/>
      <c r="L461" s="106"/>
      <c r="M461" s="106"/>
    </row>
    <row r="462" spans="1:13" ht="18.75" x14ac:dyDescent="0.3">
      <c r="A462" s="106"/>
      <c r="B462" s="106"/>
      <c r="C462" s="106"/>
      <c r="D462" s="106"/>
      <c r="E462" s="106"/>
      <c r="F462" s="106"/>
      <c r="G462" s="113"/>
      <c r="H462" s="113"/>
      <c r="I462" s="113"/>
      <c r="J462" s="113"/>
      <c r="K462" s="106"/>
      <c r="L462" s="106"/>
      <c r="M462" s="106"/>
    </row>
    <row r="463" spans="1:13" ht="18.75" x14ac:dyDescent="0.3">
      <c r="A463" s="106"/>
      <c r="B463" s="106"/>
      <c r="C463" s="106"/>
      <c r="D463" s="106"/>
      <c r="E463" s="106"/>
      <c r="F463" s="106"/>
      <c r="G463" s="113"/>
      <c r="H463" s="113"/>
      <c r="I463" s="113"/>
      <c r="J463" s="113"/>
      <c r="K463" s="106"/>
      <c r="L463" s="106"/>
      <c r="M463" s="106"/>
    </row>
    <row r="464" spans="1:13" ht="18.75" x14ac:dyDescent="0.3">
      <c r="A464" s="106"/>
      <c r="B464" s="106"/>
      <c r="C464" s="106"/>
      <c r="D464" s="106"/>
      <c r="E464" s="106"/>
      <c r="F464" s="106"/>
      <c r="G464" s="113"/>
      <c r="H464" s="113"/>
      <c r="I464" s="113"/>
      <c r="J464" s="113"/>
      <c r="K464" s="106"/>
      <c r="L464" s="106"/>
      <c r="M464" s="106"/>
    </row>
    <row r="465" spans="1:13" ht="18.75" x14ac:dyDescent="0.3">
      <c r="A465" s="106"/>
      <c r="B465" s="106"/>
      <c r="C465" s="106"/>
      <c r="D465" s="106"/>
      <c r="E465" s="106"/>
      <c r="F465" s="106"/>
      <c r="G465" s="113"/>
      <c r="H465" s="113"/>
      <c r="I465" s="113"/>
      <c r="J465" s="113"/>
      <c r="K465" s="106"/>
      <c r="L465" s="106"/>
      <c r="M465" s="106"/>
    </row>
    <row r="466" spans="1:13" ht="18.75" x14ac:dyDescent="0.3">
      <c r="A466" s="106"/>
      <c r="B466" s="106"/>
      <c r="C466" s="106"/>
      <c r="D466" s="106"/>
      <c r="E466" s="106"/>
      <c r="F466" s="106"/>
      <c r="G466" s="113"/>
      <c r="H466" s="113"/>
      <c r="I466" s="113"/>
      <c r="J466" s="113"/>
      <c r="K466" s="106"/>
      <c r="L466" s="106"/>
      <c r="M466" s="106"/>
    </row>
    <row r="467" spans="1:13" ht="18.75" x14ac:dyDescent="0.3">
      <c r="A467" s="106"/>
      <c r="B467" s="106"/>
      <c r="C467" s="106"/>
      <c r="D467" s="106"/>
      <c r="E467" s="106"/>
      <c r="F467" s="106"/>
      <c r="G467" s="113"/>
      <c r="H467" s="113"/>
      <c r="I467" s="113"/>
      <c r="J467" s="113"/>
      <c r="K467" s="106"/>
      <c r="L467" s="106"/>
      <c r="M467" s="106"/>
    </row>
    <row r="468" spans="1:13" ht="18.75" x14ac:dyDescent="0.3">
      <c r="A468" s="106"/>
      <c r="B468" s="106"/>
      <c r="C468" s="106"/>
      <c r="D468" s="106"/>
      <c r="E468" s="106"/>
      <c r="F468" s="106"/>
      <c r="G468" s="113"/>
      <c r="H468" s="113"/>
      <c r="I468" s="113"/>
      <c r="J468" s="113"/>
      <c r="K468" s="106"/>
      <c r="L468" s="106"/>
      <c r="M468" s="106"/>
    </row>
    <row r="469" spans="1:13" ht="18.75" x14ac:dyDescent="0.3">
      <c r="A469" s="106"/>
      <c r="B469" s="106"/>
      <c r="C469" s="106"/>
      <c r="D469" s="106"/>
      <c r="E469" s="106"/>
      <c r="F469" s="106"/>
      <c r="G469" s="113"/>
      <c r="H469" s="113"/>
      <c r="I469" s="113"/>
      <c r="J469" s="113"/>
      <c r="K469" s="106"/>
      <c r="L469" s="106"/>
      <c r="M469" s="106"/>
    </row>
    <row r="470" spans="1:13" ht="18.75" x14ac:dyDescent="0.3">
      <c r="A470" s="106"/>
      <c r="B470" s="106"/>
      <c r="C470" s="106"/>
      <c r="D470" s="106"/>
      <c r="E470" s="106"/>
      <c r="F470" s="106"/>
      <c r="G470" s="113"/>
      <c r="H470" s="113"/>
      <c r="I470" s="113"/>
      <c r="J470" s="113"/>
      <c r="K470" s="106"/>
      <c r="L470" s="106"/>
      <c r="M470" s="106"/>
    </row>
    <row r="471" spans="1:13" ht="18.75" x14ac:dyDescent="0.3">
      <c r="A471" s="106"/>
      <c r="B471" s="106"/>
      <c r="C471" s="106"/>
      <c r="D471" s="106"/>
      <c r="E471" s="106"/>
      <c r="F471" s="106"/>
      <c r="G471" s="113"/>
      <c r="H471" s="113"/>
      <c r="I471" s="113"/>
      <c r="J471" s="113"/>
      <c r="K471" s="106"/>
      <c r="L471" s="106"/>
      <c r="M471" s="106"/>
    </row>
    <row r="472" spans="1:13" ht="18.75" x14ac:dyDescent="0.3">
      <c r="A472" s="106"/>
      <c r="B472" s="106"/>
      <c r="C472" s="106"/>
      <c r="D472" s="106"/>
      <c r="E472" s="106"/>
      <c r="F472" s="106"/>
      <c r="G472" s="113"/>
      <c r="H472" s="113"/>
      <c r="I472" s="113"/>
      <c r="J472" s="113"/>
      <c r="K472" s="106"/>
      <c r="L472" s="106"/>
      <c r="M472" s="106"/>
    </row>
    <row r="473" spans="1:13" ht="18.75" x14ac:dyDescent="0.3">
      <c r="A473" s="106"/>
      <c r="B473" s="106"/>
      <c r="C473" s="106"/>
      <c r="D473" s="106"/>
      <c r="E473" s="106"/>
      <c r="F473" s="106"/>
      <c r="G473" s="113"/>
      <c r="H473" s="113"/>
      <c r="I473" s="113"/>
      <c r="J473" s="113"/>
      <c r="K473" s="106"/>
      <c r="L473" s="106"/>
      <c r="M473" s="106"/>
    </row>
    <row r="474" spans="1:13" ht="18.75" x14ac:dyDescent="0.3">
      <c r="A474" s="106"/>
      <c r="B474" s="106"/>
      <c r="C474" s="106"/>
      <c r="D474" s="106"/>
      <c r="E474" s="106"/>
      <c r="F474" s="106"/>
      <c r="G474" s="113"/>
      <c r="H474" s="113"/>
      <c r="I474" s="113"/>
      <c r="J474" s="113"/>
      <c r="K474" s="106"/>
      <c r="L474" s="106"/>
      <c r="M474" s="106"/>
    </row>
    <row r="475" spans="1:13" ht="18.75" x14ac:dyDescent="0.3">
      <c r="A475" s="106"/>
      <c r="B475" s="106"/>
      <c r="C475" s="106"/>
      <c r="D475" s="106"/>
      <c r="E475" s="106"/>
      <c r="F475" s="106"/>
      <c r="G475" s="113"/>
      <c r="H475" s="113"/>
      <c r="I475" s="113"/>
      <c r="J475" s="113"/>
      <c r="K475" s="106"/>
      <c r="L475" s="106"/>
      <c r="M475" s="106"/>
    </row>
    <row r="476" spans="1:13" ht="18.75" x14ac:dyDescent="0.3">
      <c r="A476" s="106"/>
      <c r="B476" s="106"/>
      <c r="C476" s="106"/>
      <c r="D476" s="106"/>
      <c r="E476" s="106"/>
      <c r="F476" s="106"/>
      <c r="G476" s="113"/>
      <c r="H476" s="113"/>
      <c r="I476" s="113"/>
      <c r="J476" s="113"/>
      <c r="K476" s="106"/>
      <c r="L476" s="106"/>
      <c r="M476" s="106"/>
    </row>
    <row r="477" spans="1:13" ht="18.75" x14ac:dyDescent="0.3">
      <c r="A477" s="106"/>
      <c r="B477" s="106"/>
      <c r="C477" s="106"/>
      <c r="D477" s="106"/>
      <c r="E477" s="106"/>
      <c r="F477" s="106"/>
      <c r="G477" s="113"/>
      <c r="H477" s="113"/>
      <c r="I477" s="113"/>
      <c r="J477" s="113"/>
      <c r="K477" s="106"/>
      <c r="L477" s="106"/>
      <c r="M477" s="106"/>
    </row>
    <row r="478" spans="1:13" ht="18.75" x14ac:dyDescent="0.3">
      <c r="A478" s="106"/>
      <c r="B478" s="106"/>
      <c r="C478" s="106"/>
      <c r="D478" s="106"/>
      <c r="E478" s="106"/>
      <c r="F478" s="106"/>
      <c r="G478" s="113"/>
      <c r="H478" s="113"/>
      <c r="I478" s="113"/>
      <c r="J478" s="113"/>
      <c r="K478" s="106"/>
      <c r="L478" s="106"/>
      <c r="M478" s="106"/>
    </row>
    <row r="479" spans="1:13" ht="18.75" x14ac:dyDescent="0.3">
      <c r="A479" s="106"/>
      <c r="B479" s="106"/>
      <c r="C479" s="106"/>
      <c r="D479" s="106"/>
      <c r="E479" s="106"/>
      <c r="F479" s="106"/>
      <c r="G479" s="113"/>
      <c r="H479" s="113"/>
      <c r="I479" s="113"/>
      <c r="J479" s="113"/>
      <c r="K479" s="106"/>
      <c r="L479" s="106"/>
      <c r="M479" s="106"/>
    </row>
    <row r="480" spans="1:13" ht="18.75" x14ac:dyDescent="0.3">
      <c r="A480" s="106"/>
      <c r="B480" s="106"/>
      <c r="C480" s="106"/>
      <c r="D480" s="106"/>
      <c r="E480" s="106"/>
      <c r="F480" s="106"/>
      <c r="G480" s="113"/>
      <c r="H480" s="113"/>
      <c r="I480" s="113"/>
      <c r="J480" s="113"/>
      <c r="K480" s="106"/>
      <c r="L480" s="106"/>
      <c r="M480" s="106"/>
    </row>
    <row r="481" spans="1:13" ht="18.75" x14ac:dyDescent="0.3">
      <c r="A481" s="106"/>
      <c r="B481" s="106"/>
      <c r="C481" s="106"/>
      <c r="D481" s="106"/>
      <c r="E481" s="106"/>
      <c r="F481" s="106"/>
      <c r="G481" s="113"/>
      <c r="H481" s="113"/>
      <c r="I481" s="113"/>
      <c r="J481" s="113"/>
      <c r="K481" s="106"/>
      <c r="L481" s="106"/>
      <c r="M481" s="106"/>
    </row>
    <row r="482" spans="1:13" ht="18.75" x14ac:dyDescent="0.3">
      <c r="A482" s="106"/>
      <c r="B482" s="106"/>
      <c r="C482" s="106"/>
      <c r="D482" s="106"/>
      <c r="E482" s="106"/>
      <c r="F482" s="106"/>
      <c r="G482" s="113"/>
      <c r="H482" s="113"/>
      <c r="I482" s="113"/>
      <c r="J482" s="113"/>
      <c r="K482" s="106"/>
      <c r="L482" s="106"/>
      <c r="M482" s="106"/>
    </row>
    <row r="483" spans="1:13" ht="18.75" x14ac:dyDescent="0.3">
      <c r="A483" s="106"/>
      <c r="B483" s="106"/>
      <c r="C483" s="106"/>
      <c r="D483" s="106"/>
      <c r="E483" s="106"/>
      <c r="F483" s="106"/>
      <c r="G483" s="113"/>
      <c r="H483" s="113"/>
      <c r="I483" s="113"/>
      <c r="J483" s="113"/>
      <c r="K483" s="106"/>
      <c r="L483" s="106"/>
      <c r="M483" s="106"/>
    </row>
    <row r="484" spans="1:13" ht="18.75" x14ac:dyDescent="0.3">
      <c r="A484" s="106"/>
      <c r="B484" s="106"/>
      <c r="C484" s="106"/>
      <c r="D484" s="106"/>
      <c r="E484" s="106"/>
      <c r="F484" s="106"/>
      <c r="G484" s="113"/>
      <c r="H484" s="113"/>
      <c r="I484" s="113"/>
      <c r="J484" s="113"/>
      <c r="K484" s="106"/>
      <c r="L484" s="106"/>
      <c r="M484" s="106"/>
    </row>
    <row r="485" spans="1:13" ht="18.75" x14ac:dyDescent="0.3">
      <c r="A485" s="106"/>
      <c r="B485" s="106"/>
      <c r="C485" s="106"/>
      <c r="D485" s="106"/>
      <c r="E485" s="106"/>
      <c r="F485" s="106"/>
      <c r="G485" s="113"/>
      <c r="H485" s="113"/>
      <c r="I485" s="113"/>
      <c r="J485" s="113"/>
      <c r="K485" s="106"/>
      <c r="L485" s="106"/>
      <c r="M485" s="106"/>
    </row>
    <row r="486" spans="1:13" ht="18.75" x14ac:dyDescent="0.3">
      <c r="A486" s="106"/>
      <c r="B486" s="106"/>
      <c r="C486" s="106"/>
      <c r="D486" s="106"/>
      <c r="E486" s="106"/>
      <c r="F486" s="106"/>
      <c r="G486" s="113"/>
      <c r="H486" s="113"/>
      <c r="I486" s="113"/>
      <c r="J486" s="113"/>
      <c r="K486" s="106"/>
      <c r="L486" s="106"/>
      <c r="M486" s="106"/>
    </row>
    <row r="487" spans="1:13" ht="18.75" x14ac:dyDescent="0.3">
      <c r="A487" s="106"/>
      <c r="B487" s="106"/>
      <c r="C487" s="106"/>
      <c r="D487" s="106"/>
      <c r="E487" s="106"/>
      <c r="F487" s="106"/>
      <c r="G487" s="113"/>
      <c r="H487" s="113"/>
      <c r="I487" s="113"/>
      <c r="J487" s="113"/>
      <c r="K487" s="106"/>
      <c r="L487" s="106"/>
      <c r="M487" s="106"/>
    </row>
    <row r="488" spans="1:13" ht="18.75" x14ac:dyDescent="0.3">
      <c r="A488" s="106"/>
      <c r="B488" s="106"/>
      <c r="C488" s="106"/>
      <c r="D488" s="106"/>
      <c r="E488" s="106"/>
      <c r="F488" s="106"/>
      <c r="G488" s="113"/>
      <c r="H488" s="113"/>
      <c r="I488" s="113"/>
      <c r="J488" s="113"/>
      <c r="K488" s="106"/>
      <c r="L488" s="106"/>
      <c r="M488" s="106"/>
    </row>
    <row r="489" spans="1:13" ht="18.75" x14ac:dyDescent="0.3">
      <c r="A489" s="106"/>
      <c r="B489" s="106"/>
      <c r="C489" s="106"/>
      <c r="D489" s="106"/>
      <c r="E489" s="106"/>
      <c r="F489" s="106"/>
      <c r="G489" s="113"/>
      <c r="H489" s="113"/>
      <c r="I489" s="113"/>
      <c r="J489" s="113"/>
      <c r="K489" s="106"/>
      <c r="L489" s="106"/>
      <c r="M489" s="106"/>
    </row>
    <row r="490" spans="1:13" ht="18.75" x14ac:dyDescent="0.3">
      <c r="A490" s="106"/>
      <c r="B490" s="106"/>
      <c r="C490" s="106"/>
      <c r="D490" s="106"/>
      <c r="E490" s="106"/>
      <c r="F490" s="106"/>
      <c r="G490" s="113"/>
      <c r="H490" s="113"/>
      <c r="I490" s="113"/>
      <c r="J490" s="113"/>
      <c r="K490" s="106"/>
      <c r="L490" s="106"/>
      <c r="M490" s="106"/>
    </row>
    <row r="491" spans="1:13" ht="18.75" x14ac:dyDescent="0.3">
      <c r="A491" s="106"/>
      <c r="B491" s="106"/>
      <c r="C491" s="106"/>
      <c r="D491" s="106"/>
      <c r="E491" s="106"/>
      <c r="F491" s="106"/>
      <c r="G491" s="113"/>
      <c r="H491" s="113"/>
      <c r="I491" s="113"/>
      <c r="J491" s="113"/>
      <c r="K491" s="106"/>
      <c r="L491" s="106"/>
      <c r="M491" s="106"/>
    </row>
    <row r="492" spans="1:13" ht="18.75" x14ac:dyDescent="0.3">
      <c r="A492" s="106"/>
      <c r="B492" s="106"/>
      <c r="C492" s="106"/>
      <c r="D492" s="106"/>
      <c r="E492" s="106"/>
      <c r="F492" s="106"/>
      <c r="G492" s="113"/>
      <c r="H492" s="113"/>
      <c r="I492" s="113"/>
      <c r="J492" s="113"/>
      <c r="K492" s="106"/>
      <c r="L492" s="106"/>
      <c r="M492" s="106"/>
    </row>
    <row r="493" spans="1:13" ht="18.75" x14ac:dyDescent="0.3">
      <c r="A493" s="106"/>
      <c r="B493" s="106"/>
      <c r="C493" s="106"/>
      <c r="D493" s="106"/>
      <c r="E493" s="106"/>
      <c r="F493" s="106"/>
      <c r="G493" s="113"/>
      <c r="H493" s="113"/>
      <c r="I493" s="113"/>
      <c r="J493" s="113"/>
      <c r="K493" s="106"/>
      <c r="L493" s="106"/>
      <c r="M493" s="106"/>
    </row>
    <row r="494" spans="1:13" ht="18.75" x14ac:dyDescent="0.3">
      <c r="A494" s="106"/>
      <c r="B494" s="106"/>
      <c r="C494" s="106"/>
      <c r="D494" s="106"/>
      <c r="E494" s="106"/>
      <c r="F494" s="106"/>
      <c r="G494" s="113"/>
      <c r="H494" s="113"/>
      <c r="I494" s="113"/>
      <c r="J494" s="113"/>
      <c r="K494" s="106"/>
      <c r="L494" s="106"/>
      <c r="M494" s="106"/>
    </row>
    <row r="495" spans="1:13" ht="18.75" x14ac:dyDescent="0.3">
      <c r="A495" s="106"/>
      <c r="B495" s="106"/>
      <c r="C495" s="106"/>
      <c r="D495" s="106"/>
      <c r="E495" s="106"/>
      <c r="F495" s="106"/>
      <c r="G495" s="113"/>
      <c r="H495" s="113"/>
      <c r="I495" s="113"/>
      <c r="J495" s="113"/>
      <c r="K495" s="106"/>
      <c r="L495" s="106"/>
      <c r="M495" s="106"/>
    </row>
    <row r="496" spans="1:13" ht="18.75" x14ac:dyDescent="0.3">
      <c r="A496" s="106"/>
      <c r="B496" s="106"/>
      <c r="C496" s="106"/>
      <c r="D496" s="106"/>
      <c r="E496" s="106"/>
      <c r="F496" s="106"/>
      <c r="G496" s="113"/>
      <c r="H496" s="113"/>
      <c r="I496" s="113"/>
      <c r="J496" s="113"/>
      <c r="K496" s="106"/>
      <c r="L496" s="106"/>
      <c r="M496" s="106"/>
    </row>
    <row r="497" spans="1:13" ht="18.75" x14ac:dyDescent="0.3">
      <c r="A497" s="106"/>
      <c r="B497" s="106"/>
      <c r="C497" s="106"/>
      <c r="D497" s="106"/>
      <c r="E497" s="106"/>
      <c r="F497" s="106"/>
      <c r="G497" s="113"/>
      <c r="H497" s="113"/>
      <c r="I497" s="113"/>
      <c r="J497" s="113"/>
      <c r="K497" s="106"/>
      <c r="L497" s="106"/>
      <c r="M497" s="106"/>
    </row>
    <row r="498" spans="1:13" ht="18.75" x14ac:dyDescent="0.3">
      <c r="A498" s="106"/>
      <c r="B498" s="106"/>
      <c r="C498" s="106"/>
      <c r="D498" s="106"/>
      <c r="E498" s="106"/>
      <c r="F498" s="106"/>
      <c r="G498" s="113"/>
      <c r="H498" s="113"/>
      <c r="I498" s="113"/>
      <c r="J498" s="113"/>
      <c r="K498" s="106"/>
      <c r="L498" s="106"/>
      <c r="M498" s="106"/>
    </row>
    <row r="499" spans="1:13" ht="18.75" x14ac:dyDescent="0.3">
      <c r="A499" s="106"/>
      <c r="B499" s="106"/>
      <c r="C499" s="106"/>
      <c r="D499" s="106"/>
      <c r="E499" s="106"/>
      <c r="F499" s="106"/>
      <c r="G499" s="113"/>
      <c r="H499" s="113"/>
      <c r="I499" s="113"/>
      <c r="J499" s="113"/>
      <c r="K499" s="106"/>
      <c r="L499" s="106"/>
      <c r="M499" s="106"/>
    </row>
    <row r="500" spans="1:13" ht="18.75" x14ac:dyDescent="0.3">
      <c r="A500" s="106"/>
      <c r="B500" s="106"/>
      <c r="C500" s="106"/>
      <c r="D500" s="106"/>
      <c r="E500" s="106"/>
      <c r="F500" s="106"/>
      <c r="G500" s="113"/>
      <c r="H500" s="113"/>
      <c r="I500" s="113"/>
      <c r="J500" s="113"/>
      <c r="K500" s="106"/>
      <c r="L500" s="106"/>
      <c r="M500" s="106"/>
    </row>
    <row r="501" spans="1:13" ht="18.75" x14ac:dyDescent="0.3">
      <c r="A501" s="106"/>
      <c r="B501" s="106"/>
      <c r="C501" s="106"/>
      <c r="D501" s="106"/>
      <c r="E501" s="106"/>
      <c r="F501" s="106"/>
      <c r="G501" s="113"/>
      <c r="H501" s="113"/>
      <c r="I501" s="113"/>
      <c r="J501" s="113"/>
      <c r="K501" s="106"/>
      <c r="L501" s="106"/>
      <c r="M501" s="106"/>
    </row>
    <row r="502" spans="1:13" ht="18.75" x14ac:dyDescent="0.3">
      <c r="A502" s="106"/>
      <c r="B502" s="106"/>
      <c r="C502" s="106"/>
      <c r="D502" s="106"/>
      <c r="E502" s="106"/>
      <c r="F502" s="106"/>
      <c r="G502" s="113"/>
      <c r="H502" s="113"/>
      <c r="I502" s="113"/>
      <c r="J502" s="113"/>
      <c r="K502" s="106"/>
      <c r="L502" s="106"/>
      <c r="M502" s="106"/>
    </row>
    <row r="503" spans="1:13" ht="18.75" x14ac:dyDescent="0.3">
      <c r="A503" s="106"/>
      <c r="B503" s="106"/>
      <c r="C503" s="106"/>
      <c r="D503" s="106"/>
      <c r="E503" s="106"/>
      <c r="F503" s="106"/>
      <c r="G503" s="113"/>
      <c r="H503" s="113"/>
      <c r="I503" s="113"/>
      <c r="J503" s="113"/>
      <c r="K503" s="106"/>
      <c r="L503" s="106"/>
      <c r="M503" s="106"/>
    </row>
    <row r="504" spans="1:13" ht="18.75" x14ac:dyDescent="0.3">
      <c r="A504" s="106"/>
      <c r="B504" s="106"/>
      <c r="C504" s="106"/>
      <c r="D504" s="106"/>
      <c r="E504" s="106"/>
      <c r="F504" s="106"/>
      <c r="G504" s="113"/>
      <c r="H504" s="113"/>
      <c r="I504" s="113"/>
      <c r="J504" s="113"/>
      <c r="K504" s="106"/>
      <c r="L504" s="106"/>
      <c r="M504" s="106"/>
    </row>
    <row r="505" spans="1:13" ht="18.75" x14ac:dyDescent="0.3">
      <c r="A505" s="106"/>
      <c r="B505" s="106"/>
      <c r="C505" s="106"/>
      <c r="D505" s="106"/>
      <c r="E505" s="106"/>
      <c r="F505" s="106"/>
      <c r="G505" s="113"/>
      <c r="H505" s="113"/>
      <c r="I505" s="113"/>
      <c r="J505" s="113"/>
      <c r="K505" s="106"/>
      <c r="L505" s="106"/>
      <c r="M505" s="106"/>
    </row>
    <row r="506" spans="1:13" ht="18.75" x14ac:dyDescent="0.3">
      <c r="A506" s="106"/>
      <c r="B506" s="106"/>
      <c r="C506" s="106"/>
      <c r="D506" s="106"/>
      <c r="E506" s="106"/>
      <c r="F506" s="106"/>
      <c r="G506" s="113"/>
      <c r="H506" s="113"/>
      <c r="I506" s="113"/>
      <c r="J506" s="113"/>
      <c r="K506" s="106"/>
      <c r="L506" s="106"/>
      <c r="M506" s="106"/>
    </row>
    <row r="507" spans="1:13" ht="18.75" x14ac:dyDescent="0.3">
      <c r="A507" s="106"/>
      <c r="B507" s="106"/>
      <c r="C507" s="106"/>
      <c r="D507" s="106"/>
      <c r="E507" s="106"/>
      <c r="F507" s="106"/>
      <c r="G507" s="113"/>
      <c r="H507" s="113"/>
      <c r="I507" s="113"/>
      <c r="J507" s="113"/>
      <c r="K507" s="106"/>
      <c r="L507" s="106"/>
      <c r="M507" s="106"/>
    </row>
    <row r="508" spans="1:13" ht="18.75" x14ac:dyDescent="0.3">
      <c r="A508" s="106"/>
      <c r="B508" s="106"/>
      <c r="C508" s="106"/>
      <c r="D508" s="106"/>
      <c r="E508" s="106"/>
      <c r="F508" s="106"/>
      <c r="G508" s="113"/>
      <c r="H508" s="113"/>
      <c r="I508" s="113"/>
      <c r="J508" s="113"/>
      <c r="K508" s="106"/>
      <c r="L508" s="106"/>
      <c r="M508" s="106"/>
    </row>
    <row r="509" spans="1:13" ht="18.75" x14ac:dyDescent="0.3">
      <c r="A509" s="106"/>
      <c r="B509" s="106"/>
      <c r="C509" s="106"/>
      <c r="D509" s="106"/>
      <c r="E509" s="106"/>
      <c r="F509" s="106"/>
      <c r="G509" s="113"/>
      <c r="H509" s="113"/>
      <c r="I509" s="113"/>
      <c r="J509" s="113"/>
      <c r="K509" s="106"/>
      <c r="L509" s="106"/>
      <c r="M509" s="106"/>
    </row>
    <row r="510" spans="1:13" ht="18.75" x14ac:dyDescent="0.3">
      <c r="A510" s="106"/>
      <c r="B510" s="106"/>
      <c r="C510" s="106"/>
      <c r="D510" s="106"/>
      <c r="E510" s="106"/>
      <c r="F510" s="106"/>
      <c r="G510" s="113"/>
      <c r="H510" s="113"/>
      <c r="I510" s="113"/>
      <c r="J510" s="113"/>
      <c r="K510" s="106"/>
      <c r="L510" s="106"/>
      <c r="M510" s="106"/>
    </row>
    <row r="511" spans="1:13" ht="18.75" x14ac:dyDescent="0.3">
      <c r="A511" s="106"/>
      <c r="B511" s="106"/>
      <c r="C511" s="106"/>
      <c r="D511" s="106"/>
      <c r="E511" s="106"/>
      <c r="F511" s="106"/>
      <c r="G511" s="113"/>
      <c r="H511" s="113"/>
      <c r="I511" s="113"/>
      <c r="J511" s="113"/>
      <c r="K511" s="106"/>
      <c r="L511" s="106"/>
      <c r="M511" s="106"/>
    </row>
    <row r="512" spans="1:13" ht="18.75" x14ac:dyDescent="0.3">
      <c r="A512" s="106"/>
      <c r="B512" s="106"/>
      <c r="C512" s="106"/>
      <c r="D512" s="106"/>
      <c r="E512" s="106"/>
      <c r="F512" s="106"/>
      <c r="G512" s="113"/>
      <c r="H512" s="113"/>
      <c r="I512" s="113"/>
      <c r="J512" s="113"/>
      <c r="K512" s="106"/>
      <c r="L512" s="106"/>
      <c r="M512" s="106"/>
    </row>
    <row r="513" spans="1:13" ht="18.75" x14ac:dyDescent="0.3">
      <c r="A513" s="106"/>
      <c r="B513" s="106"/>
      <c r="C513" s="106"/>
      <c r="D513" s="106"/>
      <c r="E513" s="106"/>
      <c r="F513" s="106"/>
      <c r="G513" s="113"/>
      <c r="H513" s="113"/>
      <c r="I513" s="113"/>
      <c r="J513" s="113"/>
      <c r="K513" s="106"/>
      <c r="L513" s="106"/>
      <c r="M513" s="106"/>
    </row>
    <row r="514" spans="1:13" ht="18.75" x14ac:dyDescent="0.3">
      <c r="A514" s="106"/>
      <c r="B514" s="106"/>
      <c r="C514" s="106"/>
      <c r="D514" s="106"/>
      <c r="E514" s="106"/>
      <c r="F514" s="106"/>
      <c r="G514" s="113"/>
      <c r="H514" s="113"/>
      <c r="I514" s="113"/>
      <c r="J514" s="113"/>
      <c r="K514" s="106"/>
      <c r="L514" s="106"/>
      <c r="M514" s="106"/>
    </row>
    <row r="515" spans="1:13" ht="18.75" x14ac:dyDescent="0.3">
      <c r="A515" s="106"/>
      <c r="B515" s="106"/>
      <c r="C515" s="106"/>
      <c r="D515" s="106"/>
      <c r="E515" s="106"/>
      <c r="F515" s="106"/>
      <c r="G515" s="113"/>
      <c r="H515" s="113"/>
      <c r="I515" s="113"/>
      <c r="J515" s="113"/>
      <c r="K515" s="106"/>
      <c r="L515" s="106"/>
      <c r="M515" s="106"/>
    </row>
    <row r="516" spans="1:13" ht="18.75" x14ac:dyDescent="0.3">
      <c r="A516" s="106"/>
      <c r="B516" s="106"/>
      <c r="C516" s="106"/>
      <c r="D516" s="106"/>
      <c r="E516" s="106"/>
      <c r="F516" s="106"/>
      <c r="G516" s="113"/>
      <c r="H516" s="113"/>
      <c r="I516" s="113"/>
      <c r="J516" s="113"/>
      <c r="K516" s="106"/>
      <c r="L516" s="106"/>
      <c r="M516" s="106"/>
    </row>
    <row r="517" spans="1:13" ht="18.75" x14ac:dyDescent="0.3">
      <c r="A517" s="106"/>
      <c r="B517" s="106"/>
      <c r="C517" s="106"/>
      <c r="D517" s="106"/>
      <c r="E517" s="106"/>
      <c r="F517" s="106"/>
      <c r="G517" s="113"/>
      <c r="H517" s="113"/>
      <c r="I517" s="113"/>
      <c r="J517" s="113"/>
      <c r="K517" s="106"/>
      <c r="L517" s="106"/>
      <c r="M517" s="106"/>
    </row>
    <row r="518" spans="1:13" ht="18.75" x14ac:dyDescent="0.3">
      <c r="A518" s="106"/>
      <c r="B518" s="106"/>
      <c r="C518" s="106"/>
      <c r="D518" s="106"/>
      <c r="E518" s="106"/>
      <c r="F518" s="106"/>
      <c r="G518" s="113"/>
      <c r="H518" s="113"/>
      <c r="I518" s="113"/>
      <c r="J518" s="113"/>
      <c r="K518" s="106"/>
      <c r="L518" s="106"/>
      <c r="M518" s="106"/>
    </row>
    <row r="519" spans="1:13" ht="18.75" x14ac:dyDescent="0.3">
      <c r="A519" s="106"/>
      <c r="B519" s="106"/>
      <c r="C519" s="106"/>
      <c r="D519" s="106"/>
      <c r="E519" s="106"/>
      <c r="F519" s="106"/>
      <c r="G519" s="113"/>
      <c r="H519" s="113"/>
      <c r="I519" s="113"/>
      <c r="J519" s="113"/>
      <c r="K519" s="106"/>
      <c r="L519" s="106"/>
      <c r="M519" s="106"/>
    </row>
    <row r="520" spans="1:13" ht="18.75" x14ac:dyDescent="0.3">
      <c r="A520" s="106"/>
      <c r="B520" s="106"/>
      <c r="C520" s="106"/>
      <c r="D520" s="106"/>
      <c r="E520" s="106"/>
      <c r="F520" s="106"/>
      <c r="G520" s="113"/>
      <c r="H520" s="113"/>
      <c r="I520" s="113"/>
      <c r="J520" s="113"/>
      <c r="K520" s="106"/>
      <c r="L520" s="106"/>
      <c r="M520" s="106"/>
    </row>
    <row r="521" spans="1:13" ht="18.75" x14ac:dyDescent="0.3">
      <c r="A521" s="106"/>
      <c r="B521" s="106"/>
      <c r="C521" s="106"/>
      <c r="D521" s="106"/>
      <c r="E521" s="106"/>
      <c r="F521" s="106"/>
      <c r="G521" s="113"/>
      <c r="H521" s="113"/>
      <c r="I521" s="113"/>
      <c r="J521" s="113"/>
      <c r="K521" s="106"/>
      <c r="L521" s="106"/>
      <c r="M521" s="106"/>
    </row>
    <row r="522" spans="1:13" ht="18.75" x14ac:dyDescent="0.3">
      <c r="A522" s="106"/>
      <c r="B522" s="106"/>
      <c r="C522" s="106"/>
      <c r="D522" s="106"/>
      <c r="E522" s="106"/>
      <c r="F522" s="106"/>
      <c r="G522" s="113"/>
      <c r="H522" s="113"/>
      <c r="I522" s="113"/>
      <c r="J522" s="113"/>
      <c r="K522" s="106"/>
      <c r="L522" s="106"/>
      <c r="M522" s="106"/>
    </row>
    <row r="523" spans="1:13" ht="18.75" x14ac:dyDescent="0.3">
      <c r="A523" s="106"/>
      <c r="B523" s="106"/>
      <c r="C523" s="106"/>
      <c r="D523" s="106"/>
      <c r="E523" s="106"/>
      <c r="F523" s="106"/>
      <c r="G523" s="113"/>
      <c r="H523" s="113"/>
      <c r="I523" s="113"/>
      <c r="J523" s="113"/>
      <c r="K523" s="106"/>
      <c r="L523" s="106"/>
      <c r="M523" s="106"/>
    </row>
    <row r="524" spans="1:13" ht="18.75" x14ac:dyDescent="0.3">
      <c r="A524" s="106"/>
      <c r="B524" s="106"/>
      <c r="C524" s="106"/>
      <c r="D524" s="106"/>
      <c r="E524" s="106"/>
      <c r="F524" s="106"/>
      <c r="G524" s="113"/>
      <c r="H524" s="113"/>
      <c r="I524" s="113"/>
      <c r="J524" s="113"/>
      <c r="K524" s="106"/>
      <c r="L524" s="106"/>
      <c r="M524" s="106"/>
    </row>
    <row r="525" spans="1:13" ht="18.75" x14ac:dyDescent="0.3">
      <c r="A525" s="106"/>
      <c r="B525" s="106"/>
      <c r="C525" s="106"/>
      <c r="D525" s="106"/>
      <c r="E525" s="106"/>
      <c r="F525" s="106"/>
      <c r="G525" s="113"/>
      <c r="H525" s="113"/>
      <c r="I525" s="113"/>
      <c r="J525" s="113"/>
      <c r="K525" s="106"/>
      <c r="L525" s="106"/>
      <c r="M525" s="106"/>
    </row>
    <row r="526" spans="1:13" ht="18.75" x14ac:dyDescent="0.3">
      <c r="A526" s="106"/>
      <c r="D526" s="106"/>
      <c r="E526" s="106"/>
      <c r="H526" s="113"/>
      <c r="I526" s="113"/>
      <c r="J526" s="113"/>
      <c r="K526" s="106"/>
      <c r="L526" s="106"/>
      <c r="M526" s="106"/>
    </row>
  </sheetData>
  <pageMargins left="0.7" right="0.7" top="0.75" bottom="0.75" header="0.3" footer="0.3"/>
  <pageSetup paperSize="9" orientation="portrait" horizontalDpi="300" verticalDpi="203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L2" sqref="L2"/>
    </sheetView>
  </sheetViews>
  <sheetFormatPr defaultColWidth="9.140625" defaultRowHeight="15.75" x14ac:dyDescent="0.25"/>
  <cols>
    <col min="1" max="1" width="4.5703125" style="6" customWidth="1"/>
    <col min="2" max="2" width="59.42578125" style="6" customWidth="1"/>
    <col min="3" max="3" width="11.28515625" style="6" customWidth="1"/>
    <col min="4" max="4" width="9.140625" style="6"/>
    <col min="5" max="5" width="13.140625" style="6" customWidth="1"/>
    <col min="6" max="6" width="9.5703125" style="6" customWidth="1"/>
    <col min="7" max="7" width="12.140625" style="6" customWidth="1"/>
    <col min="8" max="8" width="12.42578125" style="6" customWidth="1"/>
    <col min="9" max="9" width="12" style="6" customWidth="1"/>
    <col min="10" max="10" width="10.140625" style="6" customWidth="1"/>
    <col min="11" max="11" width="12.7109375" style="6" customWidth="1"/>
    <col min="12" max="12" width="15" style="6" customWidth="1"/>
    <col min="13" max="16384" width="9.140625" style="6"/>
  </cols>
  <sheetData>
    <row r="1" spans="1:12" x14ac:dyDescent="0.25">
      <c r="A1" s="11" t="s">
        <v>43</v>
      </c>
      <c r="B1" s="7" t="s">
        <v>36</v>
      </c>
      <c r="C1" s="11" t="s">
        <v>15</v>
      </c>
      <c r="D1" s="11" t="s">
        <v>0</v>
      </c>
      <c r="E1" s="11" t="s">
        <v>20</v>
      </c>
      <c r="F1" s="11" t="s">
        <v>1</v>
      </c>
      <c r="G1" s="11" t="s">
        <v>22</v>
      </c>
      <c r="H1" s="11" t="s">
        <v>14</v>
      </c>
      <c r="I1" s="11" t="s">
        <v>23</v>
      </c>
      <c r="J1" s="11" t="s">
        <v>21</v>
      </c>
      <c r="K1" s="11"/>
    </row>
    <row r="2" spans="1:12" x14ac:dyDescent="0.25">
      <c r="A2" s="11">
        <v>1</v>
      </c>
      <c r="B2" s="9" t="s">
        <v>42</v>
      </c>
      <c r="C2" s="14"/>
      <c r="D2" s="14"/>
      <c r="E2" s="14"/>
      <c r="F2" s="14"/>
      <c r="G2" s="14"/>
      <c r="H2" s="11"/>
      <c r="I2" s="11"/>
      <c r="J2" s="11"/>
      <c r="K2" s="9">
        <v>84564973</v>
      </c>
      <c r="L2" s="6">
        <v>1575434</v>
      </c>
    </row>
    <row r="3" spans="1:12" x14ac:dyDescent="0.25">
      <c r="A3" s="11">
        <v>2</v>
      </c>
      <c r="B3" s="9" t="s">
        <v>27</v>
      </c>
      <c r="C3" s="14"/>
      <c r="D3" s="14"/>
      <c r="E3" s="14"/>
      <c r="F3" s="14"/>
      <c r="G3" s="14"/>
      <c r="H3" s="11"/>
      <c r="I3" s="11"/>
      <c r="J3" s="11"/>
      <c r="K3" s="9">
        <v>72641824</v>
      </c>
    </row>
    <row r="4" spans="1:12" x14ac:dyDescent="0.25">
      <c r="A4" s="11">
        <v>3</v>
      </c>
      <c r="B4" s="9" t="s">
        <v>25</v>
      </c>
      <c r="C4" s="14"/>
      <c r="D4" s="14"/>
      <c r="E4" s="14"/>
      <c r="F4" s="14"/>
      <c r="G4" s="14"/>
      <c r="H4" s="11"/>
      <c r="I4" s="11"/>
      <c r="J4" s="11"/>
      <c r="K4" s="9">
        <v>45313285</v>
      </c>
    </row>
    <row r="5" spans="1:12" x14ac:dyDescent="0.25">
      <c r="A5" s="11">
        <v>4</v>
      </c>
      <c r="B5" s="9" t="s">
        <v>28</v>
      </c>
      <c r="C5" s="14"/>
      <c r="D5" s="14"/>
      <c r="E5" s="14"/>
      <c r="F5" s="14"/>
      <c r="G5" s="14"/>
      <c r="H5" s="11"/>
      <c r="I5" s="11"/>
      <c r="J5" s="11"/>
      <c r="K5" s="9">
        <v>100186</v>
      </c>
    </row>
    <row r="6" spans="1:12" x14ac:dyDescent="0.25">
      <c r="A6" s="11">
        <v>5</v>
      </c>
      <c r="B6" s="9" t="s">
        <v>26</v>
      </c>
      <c r="C6" s="14"/>
      <c r="D6" s="14"/>
      <c r="E6" s="14"/>
      <c r="F6" s="14"/>
      <c r="G6" s="14"/>
      <c r="H6" s="11"/>
      <c r="I6" s="11"/>
      <c r="J6" s="11"/>
      <c r="K6" s="9">
        <v>86722119</v>
      </c>
    </row>
    <row r="7" spans="1:12" x14ac:dyDescent="0.25">
      <c r="A7" s="11">
        <v>6</v>
      </c>
      <c r="B7" s="9" t="s">
        <v>29</v>
      </c>
      <c r="C7" s="14"/>
      <c r="D7" s="14"/>
      <c r="E7" s="14"/>
      <c r="F7" s="14"/>
      <c r="G7" s="14"/>
      <c r="H7" s="11"/>
      <c r="I7" s="11"/>
      <c r="J7" s="11"/>
      <c r="K7" s="9">
        <v>36275148</v>
      </c>
    </row>
    <row r="8" spans="1:12" x14ac:dyDescent="0.25">
      <c r="A8" s="11">
        <v>7</v>
      </c>
      <c r="B8" s="9" t="s">
        <v>30</v>
      </c>
      <c r="C8" s="14"/>
      <c r="D8" s="14"/>
      <c r="E8" s="14"/>
      <c r="F8" s="14"/>
      <c r="G8" s="14"/>
      <c r="H8" s="11"/>
      <c r="I8" s="11"/>
      <c r="J8" s="11"/>
      <c r="K8" s="9">
        <v>35324962</v>
      </c>
    </row>
    <row r="9" spans="1:12" ht="17.25" customHeight="1" x14ac:dyDescent="0.25">
      <c r="A9" s="11">
        <v>8</v>
      </c>
      <c r="B9" s="10" t="s">
        <v>31</v>
      </c>
      <c r="C9" s="14"/>
      <c r="D9" s="14"/>
      <c r="E9" s="14"/>
      <c r="F9" s="14"/>
      <c r="G9" s="14"/>
      <c r="H9" s="11"/>
      <c r="I9" s="11"/>
      <c r="J9" s="11"/>
      <c r="K9" s="9">
        <v>100186</v>
      </c>
    </row>
    <row r="10" spans="1:12" x14ac:dyDescent="0.25">
      <c r="A10" s="11">
        <v>9</v>
      </c>
      <c r="B10" s="9" t="s">
        <v>32</v>
      </c>
      <c r="C10" s="14"/>
      <c r="D10" s="14"/>
      <c r="E10" s="14"/>
      <c r="F10" s="14"/>
      <c r="G10" s="14"/>
      <c r="H10" s="11"/>
      <c r="I10" s="11"/>
      <c r="J10" s="11"/>
      <c r="K10" s="9">
        <v>50995539</v>
      </c>
    </row>
    <row r="11" spans="1:12" x14ac:dyDescent="0.25">
      <c r="A11" s="11">
        <v>10</v>
      </c>
      <c r="B11" s="21" t="s">
        <v>33</v>
      </c>
      <c r="C11" s="12" t="s">
        <v>44</v>
      </c>
      <c r="D11" s="14"/>
      <c r="E11" s="14"/>
      <c r="F11" s="14"/>
      <c r="G11" s="14"/>
      <c r="H11" s="11"/>
      <c r="I11" s="11"/>
      <c r="J11" s="11"/>
      <c r="K11" s="9">
        <v>100186</v>
      </c>
    </row>
    <row r="12" spans="1:12" x14ac:dyDescent="0.25">
      <c r="A12" s="11">
        <v>11</v>
      </c>
      <c r="B12" s="21" t="s">
        <v>34</v>
      </c>
      <c r="C12" s="14"/>
      <c r="D12" s="14"/>
      <c r="E12" s="14"/>
      <c r="F12" s="14"/>
      <c r="G12" s="14"/>
      <c r="H12" s="11"/>
      <c r="I12" s="11"/>
      <c r="J12" s="11"/>
      <c r="K12" s="9">
        <v>23956654</v>
      </c>
    </row>
    <row r="13" spans="1:12" x14ac:dyDescent="0.25">
      <c r="A13" s="11">
        <v>12</v>
      </c>
      <c r="B13" s="21" t="s">
        <v>35</v>
      </c>
      <c r="C13" s="12" t="s">
        <v>45</v>
      </c>
      <c r="D13" s="14"/>
      <c r="E13" s="14"/>
      <c r="F13" s="14"/>
      <c r="G13" s="14"/>
      <c r="H13" s="11"/>
      <c r="I13" s="11"/>
      <c r="J13" s="11"/>
      <c r="K13" s="9">
        <v>100186</v>
      </c>
    </row>
    <row r="14" spans="1:12" x14ac:dyDescent="0.25">
      <c r="A14" s="11">
        <v>13</v>
      </c>
      <c r="B14" s="21" t="s">
        <v>38</v>
      </c>
      <c r="C14" s="14"/>
      <c r="D14" s="14"/>
      <c r="E14" s="14"/>
      <c r="F14" s="14"/>
      <c r="G14" s="14"/>
      <c r="H14" s="11"/>
      <c r="I14" s="11"/>
      <c r="J14" s="11"/>
      <c r="K14" s="9">
        <v>100186</v>
      </c>
    </row>
    <row r="15" spans="1:12" s="19" customFormat="1" x14ac:dyDescent="0.25">
      <c r="A15" s="16">
        <v>14</v>
      </c>
      <c r="B15" s="21" t="s">
        <v>39</v>
      </c>
      <c r="C15" s="18"/>
      <c r="D15" s="18"/>
      <c r="E15" s="18"/>
      <c r="F15" s="18"/>
      <c r="G15" s="18"/>
      <c r="H15" s="16"/>
      <c r="I15" s="16"/>
      <c r="J15" s="16"/>
      <c r="K15" s="17">
        <v>100186</v>
      </c>
    </row>
    <row r="16" spans="1:12" x14ac:dyDescent="0.25">
      <c r="A16" s="11">
        <v>15</v>
      </c>
      <c r="B16" s="21" t="s">
        <v>37</v>
      </c>
      <c r="C16" s="12" t="s">
        <v>47</v>
      </c>
      <c r="D16" s="14"/>
      <c r="E16" s="14"/>
      <c r="F16" s="14"/>
      <c r="G16" s="14"/>
      <c r="H16" s="11"/>
      <c r="I16" s="11"/>
      <c r="J16" s="11"/>
      <c r="K16" s="9">
        <v>100186</v>
      </c>
    </row>
    <row r="17" spans="1:11" x14ac:dyDescent="0.25">
      <c r="A17" s="11">
        <v>16</v>
      </c>
      <c r="B17" s="21" t="s">
        <v>41</v>
      </c>
      <c r="C17" s="14"/>
      <c r="D17" s="14"/>
      <c r="E17" s="14"/>
      <c r="F17" s="14"/>
      <c r="G17" s="14"/>
      <c r="H17" s="11"/>
      <c r="I17" s="11"/>
      <c r="J17" s="11"/>
      <c r="K17" s="9">
        <v>33979629</v>
      </c>
    </row>
    <row r="18" spans="1:11" x14ac:dyDescent="0.25">
      <c r="A18" s="11">
        <v>17</v>
      </c>
      <c r="B18" s="21" t="s">
        <v>40</v>
      </c>
      <c r="C18" s="12" t="s">
        <v>45</v>
      </c>
      <c r="D18" s="14"/>
      <c r="E18" s="14"/>
      <c r="F18" s="14"/>
      <c r="G18" s="14"/>
      <c r="H18" s="11"/>
      <c r="I18" s="11"/>
      <c r="J18" s="11"/>
      <c r="K18" s="9">
        <v>33979629</v>
      </c>
    </row>
    <row r="19" spans="1:11" x14ac:dyDescent="0.25">
      <c r="A19" s="11">
        <v>18</v>
      </c>
      <c r="B19" s="21" t="s">
        <v>46</v>
      </c>
      <c r="C19" s="12" t="s">
        <v>45</v>
      </c>
      <c r="D19" s="14"/>
      <c r="E19" s="14"/>
      <c r="F19" s="14"/>
      <c r="G19" s="14"/>
      <c r="H19" s="11"/>
      <c r="I19" s="11"/>
      <c r="J19" s="11"/>
      <c r="K19" s="9">
        <v>34406143</v>
      </c>
    </row>
    <row r="20" spans="1:11" x14ac:dyDescent="0.25">
      <c r="A20" s="11">
        <v>19</v>
      </c>
      <c r="B20" s="21" t="s">
        <v>24</v>
      </c>
      <c r="C20" s="12" t="s">
        <v>45</v>
      </c>
      <c r="D20" s="14"/>
      <c r="E20" s="14"/>
      <c r="F20" s="14"/>
      <c r="G20" s="14"/>
      <c r="H20" s="11"/>
      <c r="I20" s="11"/>
      <c r="J20" s="11"/>
      <c r="K20" s="9">
        <v>100186</v>
      </c>
    </row>
    <row r="21" spans="1:11" x14ac:dyDescent="0.25">
      <c r="A21" s="11">
        <v>20</v>
      </c>
      <c r="B21" s="21" t="s">
        <v>50</v>
      </c>
      <c r="C21" s="12" t="s">
        <v>45</v>
      </c>
      <c r="D21" s="20"/>
      <c r="E21" s="20"/>
      <c r="F21" s="20"/>
      <c r="G21" s="20" t="s">
        <v>48</v>
      </c>
      <c r="H21" s="8"/>
      <c r="I21" s="8"/>
      <c r="J21" s="8"/>
      <c r="K21" s="9">
        <v>100186</v>
      </c>
    </row>
    <row r="22" spans="1:11" x14ac:dyDescent="0.25">
      <c r="A22" s="6">
        <v>21</v>
      </c>
      <c r="B22" s="21" t="s">
        <v>49</v>
      </c>
      <c r="C22" s="13"/>
      <c r="D22" s="20"/>
      <c r="E22" s="20"/>
      <c r="F22" s="13"/>
      <c r="G22" s="13"/>
      <c r="H22" s="8"/>
      <c r="I22" s="8"/>
      <c r="J22" s="8"/>
      <c r="K22" s="13">
        <v>14467934</v>
      </c>
    </row>
    <row r="23" spans="1:11" x14ac:dyDescent="0.25">
      <c r="B23" s="5"/>
      <c r="K23" s="6">
        <v>79026958</v>
      </c>
    </row>
  </sheetData>
  <pageMargins left="0.7" right="0.7" top="0.75" bottom="0.75" header="0.3" footer="0.3"/>
  <pageSetup paperSize="9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C8" sqref="C8"/>
    </sheetView>
  </sheetViews>
  <sheetFormatPr defaultColWidth="9.140625" defaultRowHeight="15.75" x14ac:dyDescent="0.25"/>
  <cols>
    <col min="1" max="1" width="4.5703125" style="6" customWidth="1"/>
    <col min="2" max="2" width="57.42578125" style="6" customWidth="1"/>
    <col min="3" max="3" width="11.28515625" style="6" customWidth="1"/>
    <col min="4" max="4" width="9.140625" style="6"/>
    <col min="5" max="5" width="13.140625" style="6" customWidth="1"/>
    <col min="6" max="6" width="9.5703125" style="6" customWidth="1"/>
    <col min="7" max="7" width="12.140625" style="6" customWidth="1"/>
    <col min="8" max="8" width="12.42578125" style="6" customWidth="1"/>
    <col min="9" max="9" width="12" style="6" customWidth="1"/>
    <col min="10" max="10" width="10.140625" style="6" customWidth="1"/>
    <col min="11" max="11" width="12.7109375" style="6" customWidth="1"/>
    <col min="12" max="16384" width="9.140625" style="6"/>
  </cols>
  <sheetData>
    <row r="1" spans="1:11" x14ac:dyDescent="0.25">
      <c r="A1" s="11" t="s">
        <v>43</v>
      </c>
      <c r="B1" s="7" t="s">
        <v>36</v>
      </c>
      <c r="C1" s="11" t="s">
        <v>15</v>
      </c>
      <c r="D1" s="11" t="s">
        <v>0</v>
      </c>
      <c r="E1" s="11" t="s">
        <v>20</v>
      </c>
      <c r="F1" s="11" t="s">
        <v>1</v>
      </c>
      <c r="G1" s="11" t="s">
        <v>22</v>
      </c>
      <c r="H1" s="11" t="s">
        <v>14</v>
      </c>
      <c r="I1" s="11" t="s">
        <v>23</v>
      </c>
      <c r="J1" s="11" t="s">
        <v>21</v>
      </c>
      <c r="K1" s="11"/>
    </row>
    <row r="2" spans="1:11" x14ac:dyDescent="0.25">
      <c r="A2" s="11">
        <v>1</v>
      </c>
      <c r="B2" s="9" t="s">
        <v>29</v>
      </c>
      <c r="C2" s="15"/>
      <c r="D2" s="15"/>
      <c r="E2" s="12"/>
      <c r="F2" s="12"/>
      <c r="G2" s="15"/>
      <c r="H2" s="12"/>
      <c r="I2" s="11"/>
      <c r="J2" s="11"/>
      <c r="K2" s="9">
        <v>36275148</v>
      </c>
    </row>
    <row r="3" spans="1:11" x14ac:dyDescent="0.25">
      <c r="A3" s="11">
        <v>2</v>
      </c>
      <c r="B3" s="9" t="s">
        <v>41</v>
      </c>
      <c r="C3" s="15"/>
      <c r="D3" s="15"/>
      <c r="E3" s="12"/>
      <c r="F3" s="12"/>
      <c r="G3" s="15"/>
      <c r="H3" s="12"/>
      <c r="I3" s="11"/>
      <c r="J3" s="11"/>
      <c r="K3" s="9">
        <v>13540974</v>
      </c>
    </row>
    <row r="4" spans="1:11" x14ac:dyDescent="0.25">
      <c r="A4" s="11">
        <v>3</v>
      </c>
      <c r="B4" s="9" t="s">
        <v>40</v>
      </c>
      <c r="C4" s="12" t="s">
        <v>45</v>
      </c>
      <c r="D4" s="15"/>
      <c r="E4" s="12"/>
      <c r="F4" s="12"/>
      <c r="G4" s="15"/>
      <c r="H4" s="12"/>
      <c r="I4" s="11"/>
      <c r="J4" s="11"/>
      <c r="K4" s="9">
        <v>33979629</v>
      </c>
    </row>
    <row r="5" spans="1:11" x14ac:dyDescent="0.25">
      <c r="A5" s="11">
        <v>4</v>
      </c>
      <c r="B5" s="9" t="s">
        <v>27</v>
      </c>
      <c r="C5" s="15"/>
      <c r="D5" s="15"/>
      <c r="E5" s="12"/>
      <c r="F5" s="12"/>
      <c r="G5" s="15"/>
      <c r="H5" s="12"/>
      <c r="I5" s="11"/>
      <c r="J5" s="11"/>
      <c r="K5" s="9">
        <v>72641824</v>
      </c>
    </row>
    <row r="6" spans="1:11" x14ac:dyDescent="0.25">
      <c r="A6" s="11">
        <v>5</v>
      </c>
      <c r="B6" s="9" t="s">
        <v>42</v>
      </c>
      <c r="C6" s="15"/>
      <c r="D6" s="15"/>
      <c r="E6" s="12"/>
      <c r="F6" s="12"/>
      <c r="G6" s="15"/>
      <c r="H6" s="12"/>
      <c r="I6" s="11"/>
      <c r="J6" s="11"/>
      <c r="K6" s="9">
        <v>84564973</v>
      </c>
    </row>
    <row r="7" spans="1:11" x14ac:dyDescent="0.25">
      <c r="A7" s="11">
        <v>6</v>
      </c>
      <c r="B7" s="9" t="s">
        <v>25</v>
      </c>
      <c r="C7" s="15"/>
      <c r="D7" s="15"/>
      <c r="E7" s="12"/>
      <c r="F7" s="12"/>
      <c r="G7" s="15"/>
      <c r="H7" s="12"/>
      <c r="I7" s="11"/>
      <c r="J7" s="11"/>
      <c r="K7" s="9">
        <v>45313285</v>
      </c>
    </row>
    <row r="8" spans="1:11" x14ac:dyDescent="0.25">
      <c r="A8" s="11">
        <v>7</v>
      </c>
      <c r="B8" s="9" t="s">
        <v>28</v>
      </c>
      <c r="C8" s="15"/>
      <c r="D8" s="15"/>
      <c r="E8" s="12"/>
      <c r="F8" s="12"/>
      <c r="G8" s="15"/>
      <c r="H8" s="12"/>
      <c r="I8" s="11"/>
      <c r="J8" s="11"/>
      <c r="K8" s="9">
        <v>88700206</v>
      </c>
    </row>
    <row r="9" spans="1:11" x14ac:dyDescent="0.25">
      <c r="A9" s="11">
        <v>8</v>
      </c>
      <c r="B9" s="9" t="s">
        <v>26</v>
      </c>
      <c r="C9" s="15"/>
      <c r="D9" s="15"/>
      <c r="E9" s="12"/>
      <c r="F9" s="12"/>
      <c r="G9" s="15"/>
      <c r="H9" s="12"/>
      <c r="I9" s="11"/>
      <c r="J9" s="11"/>
      <c r="K9" s="9">
        <v>86722119</v>
      </c>
    </row>
    <row r="10" spans="1:11" x14ac:dyDescent="0.25">
      <c r="A10" s="11">
        <v>9</v>
      </c>
      <c r="B10" s="9" t="s">
        <v>30</v>
      </c>
      <c r="C10" s="15"/>
      <c r="D10" s="15"/>
      <c r="E10" s="12"/>
      <c r="F10" s="12"/>
      <c r="G10" s="15"/>
      <c r="H10" s="12"/>
      <c r="I10" s="11"/>
      <c r="J10" s="11"/>
      <c r="K10" s="9">
        <v>35324962</v>
      </c>
    </row>
    <row r="11" spans="1:11" ht="17.25" customHeight="1" x14ac:dyDescent="0.25">
      <c r="A11" s="11">
        <v>10</v>
      </c>
      <c r="B11" s="10" t="s">
        <v>31</v>
      </c>
      <c r="C11" s="15"/>
      <c r="D11" s="15"/>
      <c r="E11" s="12"/>
      <c r="F11" s="12"/>
      <c r="G11" s="15"/>
      <c r="H11" s="12"/>
      <c r="I11" s="11"/>
      <c r="J11" s="11"/>
      <c r="K11" s="9">
        <v>100186</v>
      </c>
    </row>
    <row r="12" spans="1:11" x14ac:dyDescent="0.25">
      <c r="A12" s="11">
        <v>11</v>
      </c>
      <c r="B12" s="9" t="s">
        <v>32</v>
      </c>
      <c r="C12" s="15"/>
      <c r="D12" s="15"/>
      <c r="E12" s="12"/>
      <c r="F12" s="12"/>
      <c r="G12" s="15"/>
      <c r="H12" s="12"/>
      <c r="I12" s="11"/>
      <c r="J12" s="11"/>
      <c r="K12" s="9">
        <v>50995539</v>
      </c>
    </row>
    <row r="13" spans="1:11" x14ac:dyDescent="0.25">
      <c r="A13" s="11">
        <v>12</v>
      </c>
      <c r="B13" s="9" t="s">
        <v>37</v>
      </c>
      <c r="C13" s="12" t="s">
        <v>47</v>
      </c>
      <c r="D13" s="15"/>
      <c r="E13" s="12"/>
      <c r="F13" s="12"/>
      <c r="G13" s="15"/>
      <c r="H13" s="12"/>
      <c r="I13" s="11"/>
      <c r="J13" s="11"/>
      <c r="K13" s="9">
        <v>100186</v>
      </c>
    </row>
    <row r="14" spans="1:11" x14ac:dyDescent="0.25">
      <c r="A14" s="11">
        <v>13</v>
      </c>
      <c r="B14" s="9" t="s">
        <v>38</v>
      </c>
      <c r="C14" s="15"/>
      <c r="D14" s="15"/>
      <c r="E14" s="12"/>
      <c r="F14" s="12"/>
      <c r="G14" s="15"/>
      <c r="H14" s="12"/>
      <c r="I14" s="11"/>
      <c r="J14" s="11"/>
      <c r="K14" s="9">
        <v>100186</v>
      </c>
    </row>
    <row r="15" spans="1:11" x14ac:dyDescent="0.25">
      <c r="A15" s="11">
        <v>14</v>
      </c>
      <c r="B15" s="9" t="s">
        <v>39</v>
      </c>
      <c r="C15" s="15"/>
      <c r="D15" s="15"/>
      <c r="E15" s="12"/>
      <c r="F15" s="12"/>
      <c r="G15" s="15"/>
      <c r="H15" s="12"/>
      <c r="I15" s="11"/>
      <c r="J15" s="11"/>
      <c r="K15" s="9">
        <v>100186</v>
      </c>
    </row>
    <row r="16" spans="1:11" x14ac:dyDescent="0.25">
      <c r="A16" s="11">
        <v>15</v>
      </c>
      <c r="B16" s="9" t="s">
        <v>51</v>
      </c>
      <c r="C16" s="12" t="s">
        <v>45</v>
      </c>
      <c r="D16" s="15"/>
      <c r="E16" s="12"/>
      <c r="F16" s="12"/>
      <c r="G16" s="15"/>
      <c r="H16" s="12"/>
      <c r="I16" s="11"/>
      <c r="J16" s="11"/>
      <c r="K16" s="9">
        <v>34406143</v>
      </c>
    </row>
    <row r="17" spans="1:11" x14ac:dyDescent="0.25">
      <c r="A17" s="11">
        <v>16</v>
      </c>
      <c r="B17" s="9" t="s">
        <v>34</v>
      </c>
      <c r="C17" s="15"/>
      <c r="D17" s="15"/>
      <c r="E17" s="12"/>
      <c r="F17" s="12"/>
      <c r="G17" s="15"/>
      <c r="H17" s="12"/>
      <c r="I17" s="11"/>
      <c r="J17" s="11"/>
      <c r="K17" s="9">
        <v>23956654</v>
      </c>
    </row>
    <row r="18" spans="1:11" x14ac:dyDescent="0.25">
      <c r="A18" s="11">
        <v>17</v>
      </c>
      <c r="B18" s="9" t="s">
        <v>35</v>
      </c>
      <c r="C18" s="12" t="s">
        <v>45</v>
      </c>
      <c r="D18" s="15"/>
      <c r="E18" s="12"/>
      <c r="F18" s="12"/>
      <c r="G18" s="15"/>
      <c r="H18" s="12"/>
      <c r="I18" s="11"/>
      <c r="J18" s="11"/>
      <c r="K18" s="9">
        <v>100186</v>
      </c>
    </row>
    <row r="19" spans="1:11" x14ac:dyDescent="0.25">
      <c r="A19" s="11">
        <v>18</v>
      </c>
      <c r="B19" s="9" t="s">
        <v>24</v>
      </c>
      <c r="C19" s="12" t="s">
        <v>45</v>
      </c>
      <c r="D19" s="15"/>
      <c r="E19" s="12"/>
      <c r="F19" s="12"/>
      <c r="G19" s="15"/>
      <c r="H19" s="12"/>
      <c r="I19" s="11"/>
      <c r="J19" s="11"/>
      <c r="K19" s="9">
        <v>100186</v>
      </c>
    </row>
    <row r="20" spans="1:11" x14ac:dyDescent="0.25">
      <c r="A20" s="11">
        <v>19</v>
      </c>
      <c r="B20" s="9" t="s">
        <v>33</v>
      </c>
      <c r="C20" s="12" t="s">
        <v>45</v>
      </c>
      <c r="D20" s="15"/>
      <c r="E20" s="12"/>
      <c r="F20" s="12"/>
      <c r="G20" s="15"/>
      <c r="H20" s="12"/>
      <c r="I20" s="11"/>
      <c r="J20" s="11"/>
      <c r="K20" s="9">
        <v>100186</v>
      </c>
    </row>
    <row r="21" spans="1:11" x14ac:dyDescent="0.25">
      <c r="A21" s="11">
        <v>20</v>
      </c>
      <c r="B21" s="9">
        <v>300821821</v>
      </c>
      <c r="C21" s="12" t="s">
        <v>45</v>
      </c>
      <c r="D21" s="22"/>
      <c r="E21" s="13"/>
      <c r="F21" s="13"/>
      <c r="G21" s="22"/>
      <c r="H21" s="13"/>
      <c r="I21" s="8"/>
      <c r="J21" s="8"/>
      <c r="K21" s="9">
        <v>100186</v>
      </c>
    </row>
    <row r="22" spans="1:11" x14ac:dyDescent="0.25">
      <c r="A22" s="11">
        <v>21</v>
      </c>
      <c r="B22" s="9" t="s">
        <v>52</v>
      </c>
      <c r="C22" s="271" t="s">
        <v>54</v>
      </c>
      <c r="D22" s="272"/>
      <c r="E22" s="13"/>
      <c r="F22" s="13"/>
      <c r="G22" s="22"/>
      <c r="H22" s="13"/>
      <c r="I22" s="13"/>
      <c r="J22" s="13"/>
      <c r="K22" s="9">
        <v>100186</v>
      </c>
    </row>
    <row r="23" spans="1:11" x14ac:dyDescent="0.25">
      <c r="A23" s="11">
        <v>22</v>
      </c>
      <c r="B23" s="9" t="s">
        <v>53</v>
      </c>
      <c r="C23" s="13"/>
      <c r="D23" s="22"/>
      <c r="E23" s="13"/>
      <c r="F23" s="13"/>
      <c r="G23" s="22"/>
      <c r="H23" s="13"/>
      <c r="I23" s="13"/>
      <c r="J23" s="13"/>
      <c r="K23" s="13">
        <v>100186</v>
      </c>
    </row>
  </sheetData>
  <mergeCells count="1">
    <mergeCell ref="C22:D22"/>
  </mergeCells>
  <pageMargins left="0.7" right="0.7" top="0.75" bottom="0.75" header="0.3" footer="0.3"/>
  <pageSetup paperSize="9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478"/>
  <sheetViews>
    <sheetView topLeftCell="K1" zoomScale="85" zoomScaleNormal="85" workbookViewId="0">
      <selection activeCell="AA5" sqref="AA5:AA220"/>
    </sheetView>
  </sheetViews>
  <sheetFormatPr defaultRowHeight="15" x14ac:dyDescent="0.25"/>
  <cols>
    <col min="1" max="1" width="7.140625" customWidth="1"/>
    <col min="2" max="2" width="39.85546875" style="52" customWidth="1"/>
    <col min="3" max="3" width="16.5703125" style="52" customWidth="1"/>
    <col min="4" max="4" width="12.42578125" customWidth="1"/>
    <col min="5" max="5" width="20.5703125" style="52" customWidth="1"/>
    <col min="6" max="6" width="13.140625" customWidth="1"/>
    <col min="7" max="7" width="10.85546875" customWidth="1"/>
    <col min="8" max="8" width="18.7109375" customWidth="1"/>
    <col min="9" max="9" width="13.5703125" customWidth="1"/>
    <col min="10" max="10" width="12.85546875" customWidth="1"/>
    <col min="11" max="11" width="15.5703125" customWidth="1"/>
    <col min="12" max="12" width="10.7109375" customWidth="1"/>
    <col min="13" max="13" width="11.28515625" customWidth="1"/>
    <col min="14" max="14" width="10.28515625" customWidth="1"/>
    <col min="15" max="15" width="7.85546875" customWidth="1"/>
    <col min="16" max="20" width="9.42578125" customWidth="1"/>
    <col min="21" max="21" width="9" customWidth="1"/>
    <col min="22" max="22" width="10.42578125" customWidth="1"/>
    <col min="23" max="23" width="18.28515625" customWidth="1"/>
    <col min="24" max="24" width="17.28515625" customWidth="1"/>
    <col min="25" max="25" width="16.140625" customWidth="1"/>
    <col min="26" max="26" width="14.5703125" customWidth="1"/>
    <col min="27" max="27" width="15.7109375" customWidth="1"/>
    <col min="28" max="28" width="15" customWidth="1"/>
    <col min="29" max="29" width="12.85546875" customWidth="1"/>
    <col min="30" max="33" width="14" customWidth="1"/>
    <col min="34" max="34" width="13" customWidth="1"/>
    <col min="35" max="35" width="14.140625" customWidth="1"/>
  </cols>
  <sheetData>
    <row r="2" spans="1:34" ht="73.5" customHeight="1" x14ac:dyDescent="0.25">
      <c r="A2" s="135" t="s">
        <v>43</v>
      </c>
      <c r="B2" s="136" t="s">
        <v>36</v>
      </c>
      <c r="C2" s="94" t="s">
        <v>233</v>
      </c>
      <c r="D2" s="136" t="s">
        <v>294</v>
      </c>
      <c r="E2" s="137" t="s">
        <v>288</v>
      </c>
      <c r="F2" s="137" t="s">
        <v>296</v>
      </c>
      <c r="G2" s="137" t="s">
        <v>339</v>
      </c>
      <c r="H2" s="137" t="s">
        <v>375</v>
      </c>
      <c r="I2" s="137" t="s">
        <v>374</v>
      </c>
      <c r="J2" s="137" t="s">
        <v>342</v>
      </c>
      <c r="K2" s="110" t="s">
        <v>341</v>
      </c>
      <c r="L2" s="138" t="s">
        <v>379</v>
      </c>
      <c r="M2" s="138" t="s">
        <v>340</v>
      </c>
      <c r="N2" s="138" t="s">
        <v>447</v>
      </c>
      <c r="O2" s="138" t="s">
        <v>386</v>
      </c>
      <c r="P2" s="138" t="s">
        <v>380</v>
      </c>
      <c r="Q2" s="138" t="s">
        <v>381</v>
      </c>
      <c r="R2" s="138" t="s">
        <v>382</v>
      </c>
      <c r="S2" s="138" t="s">
        <v>383</v>
      </c>
      <c r="T2" s="138" t="s">
        <v>384</v>
      </c>
      <c r="U2" s="138" t="s">
        <v>385</v>
      </c>
      <c r="V2" s="138" t="s">
        <v>353</v>
      </c>
      <c r="W2" s="138" t="s">
        <v>356</v>
      </c>
      <c r="X2" s="137" t="s">
        <v>343</v>
      </c>
      <c r="Y2" s="137" t="s">
        <v>344</v>
      </c>
      <c r="Z2" s="137" t="s">
        <v>345</v>
      </c>
      <c r="AA2" s="110" t="s">
        <v>346</v>
      </c>
      <c r="AB2" s="94" t="s">
        <v>347</v>
      </c>
      <c r="AC2" s="94" t="s">
        <v>348</v>
      </c>
      <c r="AD2" s="138" t="s">
        <v>349</v>
      </c>
      <c r="AE2" s="138" t="s">
        <v>354</v>
      </c>
      <c r="AF2" s="138" t="s">
        <v>355</v>
      </c>
      <c r="AG2" s="138" t="s">
        <v>350</v>
      </c>
      <c r="AH2" s="138" t="s">
        <v>351</v>
      </c>
    </row>
    <row r="3" spans="1:34" ht="37.5" x14ac:dyDescent="0.3">
      <c r="A3" s="130">
        <v>1</v>
      </c>
      <c r="B3" s="104" t="s">
        <v>226</v>
      </c>
      <c r="C3" s="106" t="s">
        <v>468</v>
      </c>
      <c r="D3" s="104" t="s">
        <v>240</v>
      </c>
      <c r="E3" s="122">
        <v>500000</v>
      </c>
      <c r="F3" s="104" t="s">
        <v>238</v>
      </c>
      <c r="G3" s="206"/>
      <c r="H3" s="206">
        <v>1</v>
      </c>
      <c r="I3" s="206"/>
      <c r="J3" s="206">
        <v>1</v>
      </c>
      <c r="K3" s="206">
        <v>1</v>
      </c>
      <c r="L3" s="184">
        <v>0.25</v>
      </c>
      <c r="M3" s="184">
        <v>0.25</v>
      </c>
      <c r="N3" s="184"/>
      <c r="O3" s="184">
        <v>1</v>
      </c>
      <c r="P3" s="184">
        <v>0.25</v>
      </c>
      <c r="Q3" s="184">
        <v>0.2</v>
      </c>
      <c r="R3" s="184">
        <v>0.2</v>
      </c>
      <c r="S3" s="184">
        <v>0.2</v>
      </c>
      <c r="T3" s="184">
        <v>0.2</v>
      </c>
      <c r="U3" s="184">
        <v>0.2</v>
      </c>
      <c r="V3" s="105">
        <v>0.5</v>
      </c>
      <c r="W3" s="161">
        <f>Таблица32[[#This Row],[Столбец7]]*Таблица32[[#This Row],[Ishga kelish nazoratchi2]]%</f>
        <v>0</v>
      </c>
      <c r="X3" s="131">
        <f>Таблица32[[#This Row],[Столбец7]]*Таблица32[[#This Row],[Ishga vaqtida kelish ketish]]%</f>
        <v>0</v>
      </c>
      <c r="Y3" s="131">
        <f>Таблица32[[#This Row],[Столбец7]]*Таблица32[[#This Row],[Ishga kelish bank klient]]%</f>
        <v>5000</v>
      </c>
      <c r="Z3" s="131">
        <f>Таблица32[[#This Row],[Столбец7]]*Таблица32[[#This Row],[Gruppa buxgalter]]%</f>
        <v>5000</v>
      </c>
      <c r="AA3" s="131">
        <f>Таблица32[[#This Row],[Столбец7]]*Таблица32[[#This Row],[Gruppa bank klient ]]%</f>
        <v>5000</v>
      </c>
      <c r="AB3" s="131">
        <f>Таблица32[[#This Row],[1c]]*Таблица32[[#This Row],[Столбец7]]/100</f>
        <v>5000</v>
      </c>
      <c r="AC3" s="132">
        <f>SUM(Таблица32[[#This Row],[Didox]:[ мехнат]],Таблица32[[#This Row],[Avtokameral]])*Таблица32[[#This Row],[Столбец7]]/100</f>
        <v>3750</v>
      </c>
      <c r="AD3" s="132">
        <f>SUM(Таблица32[[#This Row],[Pul oqimlari]:[Foyda va zarar]])*Таблица32[[#This Row],[Столбец7]]/100</f>
        <v>5000</v>
      </c>
      <c r="AE3" s="131">
        <f>Таблица32[[#This Row],[Столбец7]]*Таблица32[[#This Row],[Nazoratchi]]%</f>
        <v>2500</v>
      </c>
      <c r="AF3" s="131">
        <f>Таблица32[[#This Row],[Ishga vaqtida kelish nazoratchi]]+Таблица32[[#This Row],[Nazoratchi2]]</f>
        <v>2500</v>
      </c>
      <c r="AG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18750</v>
      </c>
      <c r="AH3" s="131">
        <f>Таблица32[[#This Row],[Ishga kelish bank klient3]]+Таблица32[[#This Row],[Gruppa bank klient 2]]</f>
        <v>10000</v>
      </c>
    </row>
    <row r="4" spans="1:34" ht="18.75" x14ac:dyDescent="0.3">
      <c r="A4" s="130">
        <v>2</v>
      </c>
      <c r="B4" s="104" t="s">
        <v>225</v>
      </c>
      <c r="C4" s="104" t="s">
        <v>428</v>
      </c>
      <c r="D4" s="104" t="s">
        <v>428</v>
      </c>
      <c r="E4" s="122">
        <v>700000</v>
      </c>
      <c r="F4" s="104" t="s">
        <v>218</v>
      </c>
      <c r="G4" s="206"/>
      <c r="H4" s="206">
        <v>1</v>
      </c>
      <c r="I4" s="206"/>
      <c r="J4" s="206"/>
      <c r="K4" s="206">
        <v>1</v>
      </c>
      <c r="L4" s="184">
        <v>-0.25</v>
      </c>
      <c r="M4" s="184">
        <v>0.25</v>
      </c>
      <c r="N4" s="184">
        <v>0.25</v>
      </c>
      <c r="O4" s="184"/>
      <c r="P4" s="184">
        <v>0.25</v>
      </c>
      <c r="Q4" s="184">
        <v>0</v>
      </c>
      <c r="R4" s="184">
        <v>0</v>
      </c>
      <c r="S4" s="184">
        <v>0</v>
      </c>
      <c r="T4" s="184">
        <v>0</v>
      </c>
      <c r="U4" s="184">
        <v>0</v>
      </c>
      <c r="V4" s="105"/>
      <c r="W4" s="161">
        <f>Таблица32[[#This Row],[Столбец7]]*Таблица32[[#This Row],[Ishga kelish nazoratchi2]]%</f>
        <v>0</v>
      </c>
      <c r="X4" s="131">
        <f>Таблица32[[#This Row],[Столбец7]]*Таблица32[[#This Row],[Ishga vaqtida kelish ketish]]%</f>
        <v>0</v>
      </c>
      <c r="Y4" s="131">
        <f>Таблица32[[#This Row],[Столбец7]]*Таблица32[[#This Row],[Ishga kelish bank klient]]%</f>
        <v>7000</v>
      </c>
      <c r="Z4" s="131">
        <f>Таблица32[[#This Row],[Столбец7]]*Таблица32[[#This Row],[Gruppa buxgalter]]%</f>
        <v>0</v>
      </c>
      <c r="AA4" s="131">
        <f>Таблица32[[#This Row],[Столбец7]]*Таблица32[[#This Row],[Gruppa bank klient ]]%</f>
        <v>7000</v>
      </c>
      <c r="AB4" s="131">
        <f>Таблица32[[#This Row],[1c]]*Таблица32[[#This Row],[Столбец7]]/100</f>
        <v>0</v>
      </c>
      <c r="AC4" s="132">
        <f>SUM(Таблица32[[#This Row],[Didox]:[ мехнат]],Таблица32[[#This Row],[Avtokameral]])*Таблица32[[#This Row],[Столбец7]]/100</f>
        <v>3500</v>
      </c>
      <c r="AD4" s="132">
        <f>SUM(Таблица32[[#This Row],[Pul oqimlari]:[Foyda va zarar]])*Таблица32[[#This Row],[Столбец7]]/100</f>
        <v>0</v>
      </c>
      <c r="AE4" s="131">
        <f>Таблица32[[#This Row],[Столбец7]]*Таблица32[[#This Row],[Nazoratchi]]%</f>
        <v>0</v>
      </c>
      <c r="AF4" s="131">
        <f>Таблица32[[#This Row],[Ishga vaqtida kelish nazoratchi]]+Таблица32[[#This Row],[Nazoratchi2]]</f>
        <v>0</v>
      </c>
      <c r="AG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3500</v>
      </c>
      <c r="AH4" s="131">
        <f>Таблица32[[#This Row],[Ishga kelish bank klient3]]+Таблица32[[#This Row],[Gruppa bank klient 2]]</f>
        <v>14000</v>
      </c>
    </row>
    <row r="5" spans="1:34" ht="18.75" x14ac:dyDescent="0.3">
      <c r="A5" s="130">
        <v>3</v>
      </c>
      <c r="B5" s="104" t="s">
        <v>124</v>
      </c>
      <c r="C5" s="104" t="s">
        <v>219</v>
      </c>
      <c r="D5" s="104" t="s">
        <v>428</v>
      </c>
      <c r="E5" s="129">
        <v>700000</v>
      </c>
      <c r="F5" s="104" t="s">
        <v>218</v>
      </c>
      <c r="G5" s="206"/>
      <c r="H5" s="206">
        <v>1</v>
      </c>
      <c r="I5" s="209"/>
      <c r="J5" s="206">
        <v>1</v>
      </c>
      <c r="K5" s="206">
        <v>-0.5</v>
      </c>
      <c r="L5" s="184">
        <v>0.25</v>
      </c>
      <c r="M5" s="184">
        <v>0.25</v>
      </c>
      <c r="N5" s="184"/>
      <c r="O5" s="184"/>
      <c r="P5" s="184">
        <v>0.25</v>
      </c>
      <c r="Q5" s="184">
        <v>0</v>
      </c>
      <c r="R5" s="184">
        <v>0.2</v>
      </c>
      <c r="S5" s="184">
        <v>0.2</v>
      </c>
      <c r="T5" s="184">
        <v>0.2</v>
      </c>
      <c r="U5" s="184">
        <v>0</v>
      </c>
      <c r="V5" s="105">
        <v>0.5</v>
      </c>
      <c r="W5" s="161">
        <f>Таблица32[[#This Row],[Столбец7]]*Таблица32[[#This Row],[Ishga kelish nazoratchi2]]%</f>
        <v>0</v>
      </c>
      <c r="X5" s="131">
        <f>Таблица32[[#This Row],[Столбец7]]*Таблица32[[#This Row],[Ishga vaqtida kelish ketish]]%</f>
        <v>0</v>
      </c>
      <c r="Y5" s="131">
        <f>Таблица32[[#This Row],[Столбец7]]*Таблица32[[#This Row],[Ishga kelish bank klient]]%</f>
        <v>7000</v>
      </c>
      <c r="Z5" s="131">
        <f>Таблица32[[#This Row],[Столбец7]]*Таблица32[[#This Row],[Gruppa buxgalter]]%</f>
        <v>7000</v>
      </c>
      <c r="AA5" s="131">
        <f>Таблица32[[#This Row],[Столбец7]]*Таблица32[[#This Row],[Gruppa bank klient ]]%</f>
        <v>-3500</v>
      </c>
      <c r="AB5" s="131">
        <f>Таблица32[[#This Row],[1c]]*Таблица32[[#This Row],[Столбец7]]/100</f>
        <v>0</v>
      </c>
      <c r="AC5" s="132">
        <f>SUM(Таблица32[[#This Row],[Didox]:[ мехнат]],Таблица32[[#This Row],[Avtokameral]])*Таблица32[[#This Row],[Столбец7]]/100</f>
        <v>5250</v>
      </c>
      <c r="AD5" s="132">
        <f>SUM(Таблица32[[#This Row],[Pul oqimlari]:[Foyda va zarar]])*Таблица32[[#This Row],[Столбец7]]/100</f>
        <v>4200.0000000000009</v>
      </c>
      <c r="AE5" s="131">
        <f>Таблица32[[#This Row],[Столбец7]]*Таблица32[[#This Row],[Nazoratchi]]%</f>
        <v>3500</v>
      </c>
      <c r="AF5" s="131">
        <f>Таблица32[[#This Row],[Ishga vaqtida kelish nazoratchi]]+Таблица32[[#This Row],[Nazoratchi2]]</f>
        <v>3500</v>
      </c>
      <c r="AG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16450</v>
      </c>
      <c r="AH5" s="131">
        <f>Таблица32[[#This Row],[Ishga kelish bank klient3]]+Таблица32[[#This Row],[Gruppa bank klient 2]]</f>
        <v>3500</v>
      </c>
    </row>
    <row r="6" spans="1:34" ht="18.75" x14ac:dyDescent="0.3">
      <c r="A6" s="130">
        <v>4</v>
      </c>
      <c r="B6" s="104" t="s">
        <v>127</v>
      </c>
      <c r="C6" s="104" t="s">
        <v>428</v>
      </c>
      <c r="D6" s="104" t="s">
        <v>428</v>
      </c>
      <c r="E6" s="122">
        <v>700000</v>
      </c>
      <c r="F6" s="104" t="s">
        <v>218</v>
      </c>
      <c r="G6" s="206"/>
      <c r="H6" s="206">
        <v>1</v>
      </c>
      <c r="I6" s="209"/>
      <c r="J6" s="206"/>
      <c r="K6" s="206">
        <v>1</v>
      </c>
      <c r="L6" s="184">
        <v>0.25</v>
      </c>
      <c r="M6" s="184">
        <v>0.25</v>
      </c>
      <c r="N6" s="184">
        <v>0.25</v>
      </c>
      <c r="O6" s="184"/>
      <c r="P6" s="184">
        <v>0.25</v>
      </c>
      <c r="Q6" s="184">
        <v>0</v>
      </c>
      <c r="R6" s="184">
        <v>0</v>
      </c>
      <c r="S6" s="184">
        <v>0</v>
      </c>
      <c r="T6" s="184">
        <v>0</v>
      </c>
      <c r="U6" s="184">
        <v>0</v>
      </c>
      <c r="V6" s="105"/>
      <c r="W6" s="161">
        <f>Таблица32[[#This Row],[Столбец7]]*Таблица32[[#This Row],[Ishga kelish nazoratchi2]]%</f>
        <v>0</v>
      </c>
      <c r="X6" s="131">
        <f>Таблица32[[#This Row],[Столбец7]]*Таблица32[[#This Row],[Ishga vaqtida kelish ketish]]%</f>
        <v>0</v>
      </c>
      <c r="Y6" s="131">
        <f>Таблица32[[#This Row],[Столбец7]]*Таблица32[[#This Row],[Ishga kelish bank klient]]%</f>
        <v>7000</v>
      </c>
      <c r="Z6" s="131">
        <f>Таблица32[[#This Row],[Столбец7]]*Таблица32[[#This Row],[Gruppa buxgalter]]%</f>
        <v>0</v>
      </c>
      <c r="AA6" s="131">
        <f>Таблица32[[#This Row],[Столбец7]]*Таблица32[[#This Row],[Gruppa bank klient ]]%</f>
        <v>7000</v>
      </c>
      <c r="AB6" s="131">
        <f>Таблица32[[#This Row],[1c]]*Таблица32[[#This Row],[Столбец7]]/100</f>
        <v>0</v>
      </c>
      <c r="AC6" s="132">
        <f>SUM(Таблица32[[#This Row],[Didox]:[ мехнат]],Таблица32[[#This Row],[Avtokameral]])*Таблица32[[#This Row],[Столбец7]]/100</f>
        <v>7000</v>
      </c>
      <c r="AD6" s="132">
        <f>SUM(Таблица32[[#This Row],[Pul oqimlari]:[Foyda va zarar]])*Таблица32[[#This Row],[Столбец7]]/100</f>
        <v>0</v>
      </c>
      <c r="AE6" s="131">
        <f>Таблица32[[#This Row],[Столбец7]]*Таблица32[[#This Row],[Nazoratchi]]%</f>
        <v>0</v>
      </c>
      <c r="AF6" s="131">
        <f>Таблица32[[#This Row],[Ishga vaqtida kelish nazoratchi]]+Таблица32[[#This Row],[Nazoratchi2]]</f>
        <v>0</v>
      </c>
      <c r="AG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6" s="131">
        <f>Таблица32[[#This Row],[Ishga kelish bank klient3]]+Таблица32[[#This Row],[Gruppa bank klient 2]]</f>
        <v>14000</v>
      </c>
    </row>
    <row r="7" spans="1:34" ht="18.75" x14ac:dyDescent="0.3">
      <c r="A7" s="130">
        <v>5</v>
      </c>
      <c r="B7" s="104" t="s">
        <v>145</v>
      </c>
      <c r="C7" s="104" t="s">
        <v>218</v>
      </c>
      <c r="D7" s="104"/>
      <c r="E7" s="122">
        <v>0</v>
      </c>
      <c r="F7" s="104" t="s">
        <v>238</v>
      </c>
      <c r="G7" s="206">
        <v>0.05</v>
      </c>
      <c r="H7" s="206"/>
      <c r="I7" s="206"/>
      <c r="J7" s="206">
        <v>1</v>
      </c>
      <c r="K7" s="206"/>
      <c r="L7" s="184">
        <v>0</v>
      </c>
      <c r="M7" s="184">
        <v>0</v>
      </c>
      <c r="N7" s="184"/>
      <c r="O7" s="184"/>
      <c r="P7" s="184">
        <v>0</v>
      </c>
      <c r="Q7" s="184">
        <v>0</v>
      </c>
      <c r="R7" s="184">
        <v>0</v>
      </c>
      <c r="S7" s="184">
        <v>0</v>
      </c>
      <c r="T7" s="184">
        <v>0</v>
      </c>
      <c r="U7" s="184">
        <v>0</v>
      </c>
      <c r="V7" s="206">
        <v>0.5</v>
      </c>
      <c r="W7" s="161">
        <f>Таблица32[[#This Row],[Столбец7]]*Таблица32[[#This Row],[Ishga kelish nazoratchi2]]%</f>
        <v>0</v>
      </c>
      <c r="X7" s="131">
        <f>Таблица32[[#This Row],[Столбец7]]*Таблица32[[#This Row],[Ishga vaqtida kelish ketish]]%</f>
        <v>0</v>
      </c>
      <c r="Y7" s="131">
        <f>Таблица32[[#This Row],[Столбец7]]*Таблица32[[#This Row],[Ishga kelish bank klient]]%</f>
        <v>0</v>
      </c>
      <c r="Z7" s="131">
        <f>Таблица32[[#This Row],[Столбец7]]*Таблица32[[#This Row],[Gruppa buxgalter]]%</f>
        <v>0</v>
      </c>
      <c r="AA7" s="131">
        <f>Таблица32[[#This Row],[Столбец7]]*Таблица32[[#This Row],[Gruppa bank klient ]]%</f>
        <v>0</v>
      </c>
      <c r="AB7" s="131">
        <f>Таблица32[[#This Row],[1c]]*Таблица32[[#This Row],[Столбец7]]/100</f>
        <v>0</v>
      </c>
      <c r="AC7" s="132">
        <f>SUM(Таблица32[[#This Row],[Didox]:[ мехнат]],Таблица32[[#This Row],[Avtokameral]])*Таблица32[[#This Row],[Столбец7]]/100</f>
        <v>0</v>
      </c>
      <c r="AD7" s="132">
        <f>SUM(Таблица32[[#This Row],[Pul oqimlari]:[Foyda va zarar]])*Таблица32[[#This Row],[Столбец7]]/100</f>
        <v>0</v>
      </c>
      <c r="AE7" s="131">
        <f>Таблица32[[#This Row],[Столбец7]]*Таблица32[[#This Row],[Nazoratchi]]%</f>
        <v>0</v>
      </c>
      <c r="AF7" s="131">
        <f>Таблица32[[#This Row],[Ishga vaqtida kelish nazoratchi]]+Таблица32[[#This Row],[Nazoratchi2]]</f>
        <v>0</v>
      </c>
      <c r="AG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7" s="131">
        <f>Таблица32[[#This Row],[Ishga kelish bank klient3]]+Таблица32[[#This Row],[Gruppa bank klient 2]]</f>
        <v>0</v>
      </c>
    </row>
    <row r="8" spans="1:34" ht="18.75" x14ac:dyDescent="0.3">
      <c r="A8" s="130">
        <v>6</v>
      </c>
      <c r="B8" s="107" t="s">
        <v>141</v>
      </c>
      <c r="C8" s="104" t="s">
        <v>219</v>
      </c>
      <c r="D8" s="104" t="s">
        <v>428</v>
      </c>
      <c r="E8" s="129">
        <v>700000</v>
      </c>
      <c r="F8" s="104" t="s">
        <v>218</v>
      </c>
      <c r="G8" s="206"/>
      <c r="H8" s="206">
        <v>1</v>
      </c>
      <c r="I8" s="206"/>
      <c r="J8" s="206">
        <v>1</v>
      </c>
      <c r="K8" s="206">
        <v>1</v>
      </c>
      <c r="L8" s="184">
        <v>0.25</v>
      </c>
      <c r="M8" s="184">
        <v>0.25</v>
      </c>
      <c r="N8" s="184"/>
      <c r="O8" s="184"/>
      <c r="P8" s="184">
        <v>0.25</v>
      </c>
      <c r="Q8" s="184">
        <v>0</v>
      </c>
      <c r="R8" s="184">
        <v>0.2</v>
      </c>
      <c r="S8" s="184">
        <v>0.2</v>
      </c>
      <c r="T8" s="184">
        <v>0.2</v>
      </c>
      <c r="U8" s="184">
        <v>0</v>
      </c>
      <c r="V8" s="105">
        <v>0.5</v>
      </c>
      <c r="W8" s="161">
        <f>Таблица32[[#This Row],[Столбец7]]*Таблица32[[#This Row],[Ishga kelish nazoratchi2]]%</f>
        <v>0</v>
      </c>
      <c r="X8" s="131">
        <f>Таблица32[[#This Row],[Столбец7]]*Таблица32[[#This Row],[Ishga vaqtida kelish ketish]]%</f>
        <v>0</v>
      </c>
      <c r="Y8" s="131">
        <f>Таблица32[[#This Row],[Столбец7]]*Таблица32[[#This Row],[Ishga kelish bank klient]]%</f>
        <v>7000</v>
      </c>
      <c r="Z8" s="131">
        <f>Таблица32[[#This Row],[Столбец7]]*Таблица32[[#This Row],[Gruppa buxgalter]]%</f>
        <v>7000</v>
      </c>
      <c r="AA8" s="131">
        <f>Таблица32[[#This Row],[Столбец7]]*Таблица32[[#This Row],[Gruppa bank klient ]]%</f>
        <v>7000</v>
      </c>
      <c r="AB8" s="131">
        <f>Таблица32[[#This Row],[1c]]*Таблица32[[#This Row],[Столбец7]]/100</f>
        <v>0</v>
      </c>
      <c r="AC8" s="132">
        <f>SUM(Таблица32[[#This Row],[Didox]:[ мехнат]],Таблица32[[#This Row],[Avtokameral]])*Таблица32[[#This Row],[Столбец7]]/100</f>
        <v>5250</v>
      </c>
      <c r="AD8" s="132">
        <f>SUM(Таблица32[[#This Row],[Pul oqimlari]:[Foyda va zarar]])*Таблица32[[#This Row],[Столбец7]]/100</f>
        <v>4200.0000000000009</v>
      </c>
      <c r="AE8" s="131">
        <f>Таблица32[[#This Row],[Столбец7]]*Таблица32[[#This Row],[Nazoratchi]]%</f>
        <v>3500</v>
      </c>
      <c r="AF8" s="131">
        <f>Таблица32[[#This Row],[Ishga vaqtida kelish nazoratchi]]+Таблица32[[#This Row],[Nazoratchi2]]</f>
        <v>3500</v>
      </c>
      <c r="AG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16450</v>
      </c>
      <c r="AH8" s="131">
        <f>Таблица32[[#This Row],[Ishga kelish bank klient3]]+Таблица32[[#This Row],[Gruppa bank klient 2]]</f>
        <v>14000</v>
      </c>
    </row>
    <row r="9" spans="1:34" ht="18.75" x14ac:dyDescent="0.3">
      <c r="A9" s="130">
        <v>7</v>
      </c>
      <c r="B9" s="104" t="s">
        <v>153</v>
      </c>
      <c r="C9" s="104" t="s">
        <v>428</v>
      </c>
      <c r="D9" s="104" t="s">
        <v>428</v>
      </c>
      <c r="E9" s="122">
        <v>700000</v>
      </c>
      <c r="F9" s="104" t="s">
        <v>218</v>
      </c>
      <c r="G9" s="206"/>
      <c r="H9" s="206">
        <v>1</v>
      </c>
      <c r="I9" s="209"/>
      <c r="J9" s="206"/>
      <c r="K9" s="206">
        <v>1</v>
      </c>
      <c r="L9" s="184">
        <v>0.25</v>
      </c>
      <c r="M9" s="184">
        <v>0.25</v>
      </c>
      <c r="N9" s="184"/>
      <c r="O9" s="184"/>
      <c r="P9" s="184">
        <v>0.25</v>
      </c>
      <c r="Q9" s="184">
        <v>0</v>
      </c>
      <c r="R9" s="184">
        <v>0</v>
      </c>
      <c r="S9" s="184">
        <v>0</v>
      </c>
      <c r="T9" s="184">
        <v>0</v>
      </c>
      <c r="U9" s="184">
        <v>0</v>
      </c>
      <c r="V9" s="105"/>
      <c r="W9" s="161">
        <f>Таблица32[[#This Row],[Столбец7]]*Таблица32[[#This Row],[Ishga kelish nazoratchi2]]%</f>
        <v>0</v>
      </c>
      <c r="X9" s="131">
        <f>Таблица32[[#This Row],[Столбец7]]*Таблица32[[#This Row],[Ishga vaqtida kelish ketish]]%</f>
        <v>0</v>
      </c>
      <c r="Y9" s="131">
        <f>Таблица32[[#This Row],[Столбец7]]*Таблица32[[#This Row],[Ishga kelish bank klient]]%</f>
        <v>7000</v>
      </c>
      <c r="Z9" s="131">
        <f>Таблица32[[#This Row],[Столбец7]]*Таблица32[[#This Row],[Gruppa buxgalter]]%</f>
        <v>0</v>
      </c>
      <c r="AA9" s="131">
        <f>Таблица32[[#This Row],[Столбец7]]*Таблица32[[#This Row],[Gruppa bank klient ]]%</f>
        <v>7000</v>
      </c>
      <c r="AB9" s="131">
        <f>Таблица32[[#This Row],[1c]]*Таблица32[[#This Row],[Столбец7]]/100</f>
        <v>0</v>
      </c>
      <c r="AC9" s="132">
        <f>SUM(Таблица32[[#This Row],[Didox]:[ мехнат]],Таблица32[[#This Row],[Avtokameral]])*Таблица32[[#This Row],[Столбец7]]/100</f>
        <v>5250</v>
      </c>
      <c r="AD9" s="132">
        <f>SUM(Таблица32[[#This Row],[Pul oqimlari]:[Foyda va zarar]])*Таблица32[[#This Row],[Столбец7]]/100</f>
        <v>0</v>
      </c>
      <c r="AE9" s="131">
        <f>Таблица32[[#This Row],[Столбец7]]*Таблица32[[#This Row],[Nazoratchi]]%</f>
        <v>0</v>
      </c>
      <c r="AF9" s="131">
        <f>Таблица32[[#This Row],[Ishga vaqtida kelish nazoratchi]]+Таблица32[[#This Row],[Nazoratchi2]]</f>
        <v>0</v>
      </c>
      <c r="AG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5250</v>
      </c>
      <c r="AH9" s="131">
        <f>Таблица32[[#This Row],[Ishga kelish bank klient3]]+Таблица32[[#This Row],[Gruppa bank klient 2]]</f>
        <v>14000</v>
      </c>
    </row>
    <row r="10" spans="1:34" ht="18.75" x14ac:dyDescent="0.3">
      <c r="A10" s="130">
        <v>8</v>
      </c>
      <c r="B10" s="104" t="s">
        <v>112</v>
      </c>
      <c r="C10" s="104" t="s">
        <v>219</v>
      </c>
      <c r="D10" s="104" t="s">
        <v>428</v>
      </c>
      <c r="E10" s="122">
        <v>2000000</v>
      </c>
      <c r="F10" s="104" t="s">
        <v>218</v>
      </c>
      <c r="G10" s="206"/>
      <c r="H10" s="206">
        <v>1</v>
      </c>
      <c r="I10" s="206"/>
      <c r="J10" s="206">
        <v>-2</v>
      </c>
      <c r="K10" s="206">
        <v>1</v>
      </c>
      <c r="L10" s="184">
        <v>0.25</v>
      </c>
      <c r="M10" s="184">
        <v>0.25</v>
      </c>
      <c r="N10" s="184"/>
      <c r="O10" s="184"/>
      <c r="P10" s="184">
        <v>-0.25</v>
      </c>
      <c r="Q10" s="184">
        <v>0</v>
      </c>
      <c r="R10" s="184">
        <v>0.2</v>
      </c>
      <c r="S10" s="184">
        <v>0.2</v>
      </c>
      <c r="T10" s="184">
        <v>0.2</v>
      </c>
      <c r="U10" s="184">
        <v>0.2</v>
      </c>
      <c r="V10" s="206">
        <v>-2</v>
      </c>
      <c r="W10" s="161">
        <f>Таблица32[[#This Row],[Столбец7]]*Таблица32[[#This Row],[Ishga kelish nazoratchi2]]%</f>
        <v>0</v>
      </c>
      <c r="X10" s="131">
        <f>Таблица32[[#This Row],[Столбец7]]*Таблица32[[#This Row],[Ishga vaqtida kelish ketish]]%</f>
        <v>0</v>
      </c>
      <c r="Y10" s="131">
        <f>Таблица32[[#This Row],[Столбец7]]*Таблица32[[#This Row],[Ishga kelish bank klient]]%</f>
        <v>20000</v>
      </c>
      <c r="Z10" s="131">
        <f>Таблица32[[#This Row],[Столбец7]]*Таблица32[[#This Row],[Gruppa buxgalter]]%</f>
        <v>-40000</v>
      </c>
      <c r="AA10" s="131">
        <f>Таблица32[[#This Row],[Столбец7]]*Таблица32[[#This Row],[Gruppa bank klient ]]%</f>
        <v>20000</v>
      </c>
      <c r="AB10" s="131">
        <f>Таблица32[[#This Row],[1c]]*Таблица32[[#This Row],[Столбец7]]/100</f>
        <v>0</v>
      </c>
      <c r="AC10" s="132">
        <f>SUM(Таблица32[[#This Row],[Didox]:[ мехнат]],Таблица32[[#This Row],[Avtokameral]])*Таблица32[[#This Row],[Столбец7]]/100</f>
        <v>5000</v>
      </c>
      <c r="AD10" s="132">
        <f>SUM(Таблица32[[#This Row],[Pul oqimlari]:[Foyda va zarar]])*Таблица32[[#This Row],[Столбец7]]/100</f>
        <v>16000</v>
      </c>
      <c r="AE10" s="131">
        <f>Таблица32[[#This Row],[Столбец7]]*Таблица32[[#This Row],[Nazoratchi]]%</f>
        <v>-40000</v>
      </c>
      <c r="AF10" s="131">
        <f>Таблица32[[#This Row],[Ishga vaqtida kelish nazoratchi]]+Таблица32[[#This Row],[Nazoratchi2]]</f>
        <v>-40000</v>
      </c>
      <c r="AG1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-19000</v>
      </c>
      <c r="AH10" s="131">
        <f>Таблица32[[#This Row],[Ishga kelish bank klient3]]+Таблица32[[#This Row],[Gruppa bank klient 2]]</f>
        <v>40000</v>
      </c>
    </row>
    <row r="11" spans="1:34" ht="18" x14ac:dyDescent="0.35">
      <c r="A11" s="130">
        <v>9</v>
      </c>
      <c r="B11" s="118" t="s">
        <v>237</v>
      </c>
      <c r="C11" s="104" t="s">
        <v>224</v>
      </c>
      <c r="D11" s="104" t="s">
        <v>240</v>
      </c>
      <c r="E11" s="122">
        <v>6000000</v>
      </c>
      <c r="F11" s="104" t="s">
        <v>218</v>
      </c>
      <c r="G11" s="206"/>
      <c r="H11" s="206">
        <v>1</v>
      </c>
      <c r="I11" s="209"/>
      <c r="J11" s="206">
        <v>1</v>
      </c>
      <c r="K11" s="206">
        <v>1</v>
      </c>
      <c r="L11" s="184">
        <v>0.25</v>
      </c>
      <c r="M11" s="184">
        <v>0.25</v>
      </c>
      <c r="N11" s="184">
        <v>0.25</v>
      </c>
      <c r="O11" s="184"/>
      <c r="P11" s="184">
        <v>0.25</v>
      </c>
      <c r="Q11" s="184">
        <v>-0.2</v>
      </c>
      <c r="R11" s="184">
        <v>0.2</v>
      </c>
      <c r="S11" s="184">
        <v>-0.2</v>
      </c>
      <c r="T11" s="184">
        <v>-0.2</v>
      </c>
      <c r="U11" s="184">
        <v>-0.2</v>
      </c>
      <c r="V11" s="105">
        <v>0.5</v>
      </c>
      <c r="W11" s="161">
        <f>Таблица32[[#This Row],[Столбец7]]*Таблица32[[#This Row],[Ishga kelish nazoratchi2]]%</f>
        <v>0</v>
      </c>
      <c r="X11" s="131">
        <f>Таблица32[[#This Row],[Столбец7]]*Таблица32[[#This Row],[Ishga vaqtida kelish ketish]]%</f>
        <v>0</v>
      </c>
      <c r="Y11" s="131">
        <f>Таблица32[[#This Row],[Столбец7]]*Таблица32[[#This Row],[Ishga kelish bank klient]]%</f>
        <v>60000</v>
      </c>
      <c r="Z11" s="131">
        <f>Таблица32[[#This Row],[Столбец7]]*Таблица32[[#This Row],[Gruppa buxgalter]]%</f>
        <v>60000</v>
      </c>
      <c r="AA11" s="131">
        <f>Таблица32[[#This Row],[Столбец7]]*Таблица32[[#This Row],[Gruppa bank klient ]]%</f>
        <v>60000</v>
      </c>
      <c r="AB11" s="131">
        <f>Таблица32[[#This Row],[1c]]*Таблица32[[#This Row],[Столбец7]]/100</f>
        <v>0</v>
      </c>
      <c r="AC11" s="132">
        <f>SUM(Таблица32[[#This Row],[Didox]:[ мехнат]],Таблица32[[#This Row],[Avtokameral]])*Таблица32[[#This Row],[Столбец7]]/100</f>
        <v>60000</v>
      </c>
      <c r="AD11" s="132">
        <f>SUM(Таблица32[[#This Row],[Pul oqimlari]:[Foyda va zarar]])*Таблица32[[#This Row],[Столбец7]]/100</f>
        <v>-36000.000000000007</v>
      </c>
      <c r="AE11" s="131">
        <f>Таблица32[[#This Row],[Столбец7]]*Таблица32[[#This Row],[Nazoratchi]]%</f>
        <v>30000</v>
      </c>
      <c r="AF11" s="131">
        <f>Таблица32[[#This Row],[Ishga vaqtida kelish nazoratchi]]+Таблица32[[#This Row],[Nazoratchi2]]</f>
        <v>30000</v>
      </c>
      <c r="AG1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84000</v>
      </c>
      <c r="AH11" s="131">
        <f>Таблица32[[#This Row],[Ishga kelish bank klient3]]+Таблица32[[#This Row],[Gruppa bank klient 2]]</f>
        <v>120000</v>
      </c>
    </row>
    <row r="12" spans="1:34" ht="18.75" x14ac:dyDescent="0.3">
      <c r="A12" s="130">
        <v>10</v>
      </c>
      <c r="B12" s="104" t="s">
        <v>139</v>
      </c>
      <c r="C12" s="104" t="s">
        <v>238</v>
      </c>
      <c r="D12" s="104" t="s">
        <v>240</v>
      </c>
      <c r="E12" s="122">
        <v>2500000</v>
      </c>
      <c r="F12" s="104" t="s">
        <v>218</v>
      </c>
      <c r="G12" s="206">
        <v>-0.8</v>
      </c>
      <c r="H12" s="206">
        <v>1</v>
      </c>
      <c r="I12" s="209"/>
      <c r="J12" s="206">
        <v>-0.5</v>
      </c>
      <c r="K12" s="206">
        <v>1</v>
      </c>
      <c r="L12" s="184">
        <v>0.25</v>
      </c>
      <c r="M12" s="184">
        <v>0.25</v>
      </c>
      <c r="N12" s="184"/>
      <c r="O12" s="184">
        <v>1</v>
      </c>
      <c r="P12" s="184">
        <v>0</v>
      </c>
      <c r="Q12" s="184">
        <v>0.2</v>
      </c>
      <c r="R12" s="184">
        <v>0.2</v>
      </c>
      <c r="S12" s="184">
        <v>0.2</v>
      </c>
      <c r="T12" s="184">
        <v>0.2</v>
      </c>
      <c r="U12" s="184">
        <v>0.2</v>
      </c>
      <c r="V12" s="105">
        <v>-0.5</v>
      </c>
      <c r="W12" s="161">
        <f>Таблица32[[#This Row],[Столбец7]]*Таблица32[[#This Row],[Ishga kelish nazoratchi2]]%</f>
        <v>0</v>
      </c>
      <c r="X12" s="131">
        <f>Таблица32[[#This Row],[Столбец7]]*Таблица32[[#This Row],[Ishga vaqtida kelish ketish]]%</f>
        <v>-20000</v>
      </c>
      <c r="Y12" s="131">
        <f>Таблица32[[#This Row],[Столбец7]]*Таблица32[[#This Row],[Ishga kelish bank klient]]%</f>
        <v>25000</v>
      </c>
      <c r="Z12" s="131">
        <f>Таблица32[[#This Row],[Столбец7]]*Таблица32[[#This Row],[Gruppa buxgalter]]%</f>
        <v>-12500</v>
      </c>
      <c r="AA12" s="131">
        <f>Таблица32[[#This Row],[Столбец7]]*Таблица32[[#This Row],[Gruppa bank klient ]]%</f>
        <v>25000</v>
      </c>
      <c r="AB12" s="131">
        <f>Таблица32[[#This Row],[1c]]*Таблица32[[#This Row],[Столбец7]]/100</f>
        <v>25000</v>
      </c>
      <c r="AC12" s="132">
        <f>SUM(Таблица32[[#This Row],[Didox]:[ мехнат]],Таблица32[[#This Row],[Avtokameral]])*Таблица32[[#This Row],[Столбец7]]/100</f>
        <v>12500</v>
      </c>
      <c r="AD12" s="132">
        <f>SUM(Таблица32[[#This Row],[Pul oqimlari]:[Foyda va zarar]])*Таблица32[[#This Row],[Столбец7]]/100</f>
        <v>25000</v>
      </c>
      <c r="AE12" s="131">
        <f>Таблица32[[#This Row],[Столбец7]]*Таблица32[[#This Row],[Nazoratchi]]%</f>
        <v>-12500</v>
      </c>
      <c r="AF12" s="131">
        <f>Таблица32[[#This Row],[Ishga vaqtida kelish nazoratchi]]+Таблица32[[#This Row],[Nazoratchi2]]</f>
        <v>-12500</v>
      </c>
      <c r="AG1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30000</v>
      </c>
      <c r="AH12" s="131">
        <f>Таблица32[[#This Row],[Ishga kelish bank klient3]]+Таблица32[[#This Row],[Gruppa bank klient 2]]</f>
        <v>50000</v>
      </c>
    </row>
    <row r="13" spans="1:34" ht="18.75" x14ac:dyDescent="0.3">
      <c r="A13" s="130">
        <v>11</v>
      </c>
      <c r="B13" s="104" t="s">
        <v>213</v>
      </c>
      <c r="C13" s="104" t="s">
        <v>238</v>
      </c>
      <c r="D13" s="104" t="s">
        <v>240</v>
      </c>
      <c r="E13" s="122">
        <v>7000000</v>
      </c>
      <c r="F13" s="104" t="s">
        <v>218</v>
      </c>
      <c r="G13" s="206">
        <v>-0.8</v>
      </c>
      <c r="H13" s="206">
        <v>1</v>
      </c>
      <c r="I13" s="206"/>
      <c r="J13" s="206">
        <v>-0.5</v>
      </c>
      <c r="K13" s="206">
        <v>1</v>
      </c>
      <c r="L13" s="184">
        <v>0.25</v>
      </c>
      <c r="M13" s="184">
        <v>0.25</v>
      </c>
      <c r="N13" s="184">
        <v>0.25</v>
      </c>
      <c r="O13" s="184">
        <v>1</v>
      </c>
      <c r="P13" s="184">
        <v>0</v>
      </c>
      <c r="Q13" s="184">
        <v>0.2</v>
      </c>
      <c r="R13" s="184">
        <v>0.2</v>
      </c>
      <c r="S13" s="184">
        <v>0.2</v>
      </c>
      <c r="T13" s="184">
        <v>0.2</v>
      </c>
      <c r="U13" s="184">
        <v>0.2</v>
      </c>
      <c r="V13" s="206">
        <v>-0.5</v>
      </c>
      <c r="W13" s="161">
        <f>Таблица32[[#This Row],[Столбец7]]*Таблица32[[#This Row],[Ishga kelish nazoratchi2]]%</f>
        <v>0</v>
      </c>
      <c r="X13" s="131">
        <f>Таблица32[[#This Row],[Столбец7]]*Таблица32[[#This Row],[Ishga vaqtida kelish ketish]]%</f>
        <v>-56000</v>
      </c>
      <c r="Y13" s="131">
        <f>Таблица32[[#This Row],[Столбец7]]*Таблица32[[#This Row],[Ishga kelish bank klient]]%</f>
        <v>70000</v>
      </c>
      <c r="Z13" s="131">
        <f>Таблица32[[#This Row],[Столбец7]]*Таблица32[[#This Row],[Gruppa buxgalter]]%</f>
        <v>-35000</v>
      </c>
      <c r="AA13" s="131">
        <f>Таблица32[[#This Row],[Столбец7]]*Таблица32[[#This Row],[Gruppa bank klient ]]%</f>
        <v>70000</v>
      </c>
      <c r="AB13" s="131">
        <f>Таблица32[[#This Row],[1c]]*Таблица32[[#This Row],[Столбец7]]/100</f>
        <v>70000</v>
      </c>
      <c r="AC13" s="132">
        <f>SUM(Таблица32[[#This Row],[Didox]:[ мехнат]],Таблица32[[#This Row],[Avtokameral]])*Таблица32[[#This Row],[Столбец7]]/100</f>
        <v>52500</v>
      </c>
      <c r="AD13" s="132">
        <f>SUM(Таблица32[[#This Row],[Pul oqimlari]:[Foyda va zarar]])*Таблица32[[#This Row],[Столбец7]]/100</f>
        <v>70000</v>
      </c>
      <c r="AE13" s="131">
        <f>Таблица32[[#This Row],[Столбец7]]*Таблица32[[#This Row],[Nazoratchi]]%</f>
        <v>-35000</v>
      </c>
      <c r="AF13" s="131">
        <f>Таблица32[[#This Row],[Ishga vaqtida kelish nazoratchi]]+Таблица32[[#This Row],[Nazoratchi2]]</f>
        <v>-35000</v>
      </c>
      <c r="AG1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101500</v>
      </c>
      <c r="AH13" s="132">
        <f>Таблица32[[#This Row],[Ishga kelish bank klient3]]+Таблица32[[#This Row],[Gruppa bank klient 2]]</f>
        <v>140000</v>
      </c>
    </row>
    <row r="14" spans="1:34" ht="40.5" customHeight="1" x14ac:dyDescent="0.3">
      <c r="A14" s="130">
        <v>12</v>
      </c>
      <c r="B14" s="104" t="s">
        <v>242</v>
      </c>
      <c r="C14" s="106" t="s">
        <v>217</v>
      </c>
      <c r="D14" s="104" t="s">
        <v>428</v>
      </c>
      <c r="E14" s="122">
        <v>4000000</v>
      </c>
      <c r="F14" s="104" t="s">
        <v>238</v>
      </c>
      <c r="G14" s="206"/>
      <c r="H14" s="206">
        <v>1</v>
      </c>
      <c r="I14" s="209"/>
      <c r="J14" s="206">
        <v>1</v>
      </c>
      <c r="K14" s="206">
        <v>1</v>
      </c>
      <c r="L14" s="184">
        <v>0.25</v>
      </c>
      <c r="M14" s="184">
        <v>0.25</v>
      </c>
      <c r="N14" s="184">
        <v>0.25</v>
      </c>
      <c r="O14" s="184"/>
      <c r="P14" s="184">
        <v>0.25</v>
      </c>
      <c r="Q14" s="184">
        <v>0.2</v>
      </c>
      <c r="R14" s="184">
        <v>0.2</v>
      </c>
      <c r="S14" s="184">
        <v>0.2</v>
      </c>
      <c r="T14" s="184">
        <v>0.2</v>
      </c>
      <c r="U14" s="184">
        <v>0.2</v>
      </c>
      <c r="V14" s="105">
        <v>0.5</v>
      </c>
      <c r="W14" s="161">
        <f>Таблица32[[#This Row],[Столбец7]]*Таблица32[[#This Row],[Ishga kelish nazoratchi2]]%</f>
        <v>0</v>
      </c>
      <c r="X14" s="131">
        <f>Таблица32[[#This Row],[Столбец7]]*Таблица32[[#This Row],[Ishga vaqtida kelish ketish]]%</f>
        <v>0</v>
      </c>
      <c r="Y14" s="131">
        <f>Таблица32[[#This Row],[Столбец7]]*Таблица32[[#This Row],[Ishga kelish bank klient]]%</f>
        <v>40000</v>
      </c>
      <c r="Z14" s="131">
        <f>Таблица32[[#This Row],[Столбец7]]*Таблица32[[#This Row],[Gruppa buxgalter]]%</f>
        <v>40000</v>
      </c>
      <c r="AA14" s="131">
        <f>Таблица32[[#This Row],[Столбец7]]*Таблица32[[#This Row],[Gruppa bank klient ]]%</f>
        <v>40000</v>
      </c>
      <c r="AB14" s="131">
        <f>Таблица32[[#This Row],[1c]]*Таблица32[[#This Row],[Столбец7]]/100</f>
        <v>0</v>
      </c>
      <c r="AC14" s="132">
        <f>SUM(Таблица32[[#This Row],[Didox]:[ мехнат]],Таблица32[[#This Row],[Avtokameral]])*Таблица32[[#This Row],[Столбец7]]/100</f>
        <v>40000</v>
      </c>
      <c r="AD14" s="132">
        <f>SUM(Таблица32[[#This Row],[Pul oqimlari]:[Foyda va zarar]])*Таблица32[[#This Row],[Столбец7]]/100</f>
        <v>40000</v>
      </c>
      <c r="AE14" s="131">
        <f>Таблица32[[#This Row],[Столбец7]]*Таблица32[[#This Row],[Nazoratchi]]%</f>
        <v>20000</v>
      </c>
      <c r="AF14" s="131">
        <f>Таблица32[[#This Row],[Ishga vaqtida kelish nazoratchi]]+Таблица32[[#This Row],[Nazoratchi2]]</f>
        <v>20000</v>
      </c>
      <c r="AG1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120000</v>
      </c>
      <c r="AH14" s="131">
        <f>Таблица32[[#This Row],[Ishga kelish bank klient3]]+Таблица32[[#This Row],[Gruppa bank klient 2]]</f>
        <v>80000</v>
      </c>
    </row>
    <row r="15" spans="1:34" ht="18.75" x14ac:dyDescent="0.3">
      <c r="A15" s="130">
        <v>13</v>
      </c>
      <c r="B15" s="104" t="s">
        <v>214</v>
      </c>
      <c r="C15" s="104" t="s">
        <v>218</v>
      </c>
      <c r="D15" s="104"/>
      <c r="E15" s="122">
        <v>2000000</v>
      </c>
      <c r="F15" s="104" t="s">
        <v>238</v>
      </c>
      <c r="G15" s="206">
        <v>0.05</v>
      </c>
      <c r="H15" s="206"/>
      <c r="I15" s="206"/>
      <c r="J15" s="206">
        <v>1</v>
      </c>
      <c r="K15" s="206"/>
      <c r="L15" s="184">
        <v>0.25</v>
      </c>
      <c r="M15" s="184">
        <v>0.25</v>
      </c>
      <c r="N15" s="184">
        <v>0.25</v>
      </c>
      <c r="O15" s="184">
        <v>1</v>
      </c>
      <c r="P15" s="184">
        <v>0.25</v>
      </c>
      <c r="Q15" s="184">
        <v>0.2</v>
      </c>
      <c r="R15" s="184">
        <v>0.2</v>
      </c>
      <c r="S15" s="184">
        <v>0.2</v>
      </c>
      <c r="T15" s="184">
        <v>0.2</v>
      </c>
      <c r="U15" s="184">
        <v>0.2</v>
      </c>
      <c r="V15" s="206">
        <v>0.5</v>
      </c>
      <c r="W15" s="161">
        <f>Таблица32[[#This Row],[Столбец7]]*Таблица32[[#This Row],[Ishga kelish nazoratchi2]]%</f>
        <v>0</v>
      </c>
      <c r="X15" s="131">
        <f>Таблица32[[#This Row],[Столбец7]]*Таблица32[[#This Row],[Ishga vaqtida kelish ketish]]%</f>
        <v>1000</v>
      </c>
      <c r="Y15" s="131">
        <f>Таблица32[[#This Row],[Столбец7]]*Таблица32[[#This Row],[Ishga kelish bank klient]]%</f>
        <v>0</v>
      </c>
      <c r="Z15" s="131">
        <f>Таблица32[[#This Row],[Столбец7]]*Таблица32[[#This Row],[Gruppa buxgalter]]%</f>
        <v>20000</v>
      </c>
      <c r="AA15" s="131">
        <f>Таблица32[[#This Row],[Столбец7]]*Таблица32[[#This Row],[Gruppa bank klient ]]%</f>
        <v>0</v>
      </c>
      <c r="AB15" s="131">
        <f>Таблица32[[#This Row],[1c]]*Таблица32[[#This Row],[Столбец7]]/100</f>
        <v>20000</v>
      </c>
      <c r="AC15" s="132">
        <f>SUM(Таблица32[[#This Row],[Didox]:[ мехнат]],Таблица32[[#This Row],[Avtokameral]])*Таблица32[[#This Row],[Столбец7]]/100</f>
        <v>20000</v>
      </c>
      <c r="AD15" s="132">
        <f>SUM(Таблица32[[#This Row],[Pul oqimlari]:[Foyda va zarar]])*Таблица32[[#This Row],[Столбец7]]/100</f>
        <v>20000</v>
      </c>
      <c r="AE15" s="131">
        <f>Таблица32[[#This Row],[Столбец7]]*Таблица32[[#This Row],[Nazoratchi]]%</f>
        <v>10000</v>
      </c>
      <c r="AF15" s="131">
        <f>Таблица32[[#This Row],[Ishga vaqtida kelish nazoratchi]]+Таблица32[[#This Row],[Nazoratchi2]]</f>
        <v>10000</v>
      </c>
      <c r="AG1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81000</v>
      </c>
      <c r="AH15" s="131">
        <f>Таблица32[[#This Row],[Ishga kelish bank klient3]]+Таблица32[[#This Row],[Gruppa bank klient 2]]</f>
        <v>0</v>
      </c>
    </row>
    <row r="16" spans="1:34" ht="18.75" x14ac:dyDescent="0.3">
      <c r="A16" s="130">
        <v>14</v>
      </c>
      <c r="B16" s="104" t="s">
        <v>215</v>
      </c>
      <c r="C16" s="104" t="s">
        <v>218</v>
      </c>
      <c r="D16" s="104"/>
      <c r="E16" s="122">
        <v>0</v>
      </c>
      <c r="F16" s="104" t="s">
        <v>238</v>
      </c>
      <c r="G16" s="206">
        <v>0.05</v>
      </c>
      <c r="H16" s="206"/>
      <c r="I16" s="206"/>
      <c r="J16" s="206">
        <v>1</v>
      </c>
      <c r="K16" s="206"/>
      <c r="L16" s="184">
        <v>0</v>
      </c>
      <c r="M16" s="184">
        <v>0</v>
      </c>
      <c r="N16" s="184"/>
      <c r="O16" s="184"/>
      <c r="P16" s="184">
        <v>0</v>
      </c>
      <c r="Q16" s="184">
        <v>0</v>
      </c>
      <c r="R16" s="184">
        <v>0</v>
      </c>
      <c r="S16" s="184">
        <v>0</v>
      </c>
      <c r="T16" s="184">
        <v>0</v>
      </c>
      <c r="U16" s="184">
        <v>0</v>
      </c>
      <c r="V16" s="206">
        <v>0.5</v>
      </c>
      <c r="W16" s="161">
        <f>Таблица32[[#This Row],[Столбец7]]*Таблица32[[#This Row],[Ishga kelish nazoratchi2]]%</f>
        <v>0</v>
      </c>
      <c r="X16" s="131">
        <f>Таблица32[[#This Row],[Столбец7]]*Таблица32[[#This Row],[Ishga vaqtida kelish ketish]]%</f>
        <v>0</v>
      </c>
      <c r="Y16" s="131">
        <f>Таблица32[[#This Row],[Столбец7]]*Таблица32[[#This Row],[Ishga kelish bank klient]]%</f>
        <v>0</v>
      </c>
      <c r="Z16" s="131">
        <f>Таблица32[[#This Row],[Столбец7]]*Таблица32[[#This Row],[Gruppa buxgalter]]%</f>
        <v>0</v>
      </c>
      <c r="AA16" s="131">
        <f>Таблица32[[#This Row],[Столбец7]]*Таблица32[[#This Row],[Gruppa bank klient ]]%</f>
        <v>0</v>
      </c>
      <c r="AB16" s="131">
        <f>Таблица32[[#This Row],[1c]]*Таблица32[[#This Row],[Столбец7]]/100</f>
        <v>0</v>
      </c>
      <c r="AC16" s="132">
        <f>SUM(Таблица32[[#This Row],[Didox]:[ мехнат]],Таблица32[[#This Row],[Avtokameral]])*Таблица32[[#This Row],[Столбец7]]/100</f>
        <v>0</v>
      </c>
      <c r="AD16" s="132">
        <f>SUM(Таблица32[[#This Row],[Pul oqimlari]:[Foyda va zarar]])*Таблица32[[#This Row],[Столбец7]]/100</f>
        <v>0</v>
      </c>
      <c r="AE16" s="131">
        <f>Таблица32[[#This Row],[Столбец7]]*Таблица32[[#This Row],[Nazoratchi]]%</f>
        <v>0</v>
      </c>
      <c r="AF16" s="131">
        <f>Таблица32[[#This Row],[Ishga vaqtida kelish nazoratchi]]+Таблица32[[#This Row],[Nazoratchi2]]</f>
        <v>0</v>
      </c>
      <c r="AG1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6" s="131">
        <f>Таблица32[[#This Row],[Ishga kelish bank klient3]]+Таблица32[[#This Row],[Gruppa bank klient 2]]</f>
        <v>0</v>
      </c>
    </row>
    <row r="17" spans="1:34" ht="18.75" x14ac:dyDescent="0.3">
      <c r="A17" s="130">
        <v>15</v>
      </c>
      <c r="B17" s="104" t="s">
        <v>114</v>
      </c>
      <c r="C17" s="104" t="s">
        <v>243</v>
      </c>
      <c r="D17" s="104" t="s">
        <v>240</v>
      </c>
      <c r="E17" s="122">
        <v>3000000</v>
      </c>
      <c r="F17" s="104" t="s">
        <v>238</v>
      </c>
      <c r="G17" s="206"/>
      <c r="H17" s="206">
        <v>1</v>
      </c>
      <c r="I17" s="206"/>
      <c r="J17" s="206">
        <v>1</v>
      </c>
      <c r="K17" s="206">
        <v>1</v>
      </c>
      <c r="L17" s="184">
        <v>0.25</v>
      </c>
      <c r="M17" s="184">
        <v>0.25</v>
      </c>
      <c r="N17" s="184"/>
      <c r="O17" s="184">
        <v>1</v>
      </c>
      <c r="P17" s="184">
        <v>0.25</v>
      </c>
      <c r="Q17" s="184">
        <v>0.2</v>
      </c>
      <c r="R17" s="184">
        <v>0.2</v>
      </c>
      <c r="S17" s="184">
        <v>0</v>
      </c>
      <c r="T17" s="184">
        <v>0.2</v>
      </c>
      <c r="U17" s="184">
        <v>0.2</v>
      </c>
      <c r="V17" s="206">
        <v>0.5</v>
      </c>
      <c r="W17" s="161">
        <f>Таблица32[[#This Row],[Столбец7]]*Таблица32[[#This Row],[Ishga kelish nazoratchi2]]%</f>
        <v>0</v>
      </c>
      <c r="X17" s="131">
        <f>Таблица32[[#This Row],[Столбец7]]*Таблица32[[#This Row],[Ishga vaqtida kelish ketish]]%</f>
        <v>0</v>
      </c>
      <c r="Y17" s="131">
        <f>Таблица32[[#This Row],[Столбец7]]*Таблица32[[#This Row],[Ishga kelish bank klient]]%</f>
        <v>30000</v>
      </c>
      <c r="Z17" s="131">
        <f>Таблица32[[#This Row],[Столбец7]]*Таблица32[[#This Row],[Gruppa buxgalter]]%</f>
        <v>30000</v>
      </c>
      <c r="AA17" s="131">
        <f>Таблица32[[#This Row],[Столбец7]]*Таблица32[[#This Row],[Gruppa bank klient ]]%</f>
        <v>30000</v>
      </c>
      <c r="AB17" s="131">
        <f>Таблица32[[#This Row],[1c]]*Таблица32[[#This Row],[Столбец7]]/100</f>
        <v>30000</v>
      </c>
      <c r="AC17" s="132">
        <f>SUM(Таблица32[[#This Row],[Didox]:[ мехнат]],Таблица32[[#This Row],[Avtokameral]])*Таблица32[[#This Row],[Столбец7]]/100</f>
        <v>22500</v>
      </c>
      <c r="AD17" s="132">
        <f>SUM(Таблица32[[#This Row],[Pul oqimlari]:[Foyda va zarar]])*Таблица32[[#This Row],[Столбец7]]/100</f>
        <v>24000</v>
      </c>
      <c r="AE17" s="131">
        <f>Таблица32[[#This Row],[Столбец7]]*Таблица32[[#This Row],[Nazoratchi]]%</f>
        <v>15000</v>
      </c>
      <c r="AF17" s="131">
        <f>Таблица32[[#This Row],[Ishga vaqtida kelish nazoratchi]]+Таблица32[[#This Row],[Nazoratchi2]]</f>
        <v>15000</v>
      </c>
      <c r="AG1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106500</v>
      </c>
      <c r="AH17" s="131">
        <f>Таблица32[[#This Row],[Ishga kelish bank klient3]]+Таблица32[[#This Row],[Gruppa bank klient 2]]</f>
        <v>60000</v>
      </c>
    </row>
    <row r="18" spans="1:34" ht="18.75" x14ac:dyDescent="0.3">
      <c r="A18" s="130">
        <v>16</v>
      </c>
      <c r="B18" s="104" t="s">
        <v>186</v>
      </c>
      <c r="C18" s="104" t="s">
        <v>308</v>
      </c>
      <c r="D18" s="104" t="s">
        <v>240</v>
      </c>
      <c r="E18" s="122">
        <v>3500000</v>
      </c>
      <c r="F18" s="104" t="s">
        <v>218</v>
      </c>
      <c r="G18" s="206">
        <v>0.9</v>
      </c>
      <c r="H18" s="206">
        <v>1</v>
      </c>
      <c r="I18" s="206"/>
      <c r="J18" s="206">
        <v>1</v>
      </c>
      <c r="K18" s="206">
        <v>1</v>
      </c>
      <c r="L18" s="184">
        <v>0.25</v>
      </c>
      <c r="M18" s="184">
        <v>0.25</v>
      </c>
      <c r="N18" s="184"/>
      <c r="O18" s="184"/>
      <c r="P18" s="184">
        <v>0.25</v>
      </c>
      <c r="Q18" s="184">
        <v>0.2</v>
      </c>
      <c r="R18" s="184">
        <v>0.2</v>
      </c>
      <c r="S18" s="184">
        <v>0.2</v>
      </c>
      <c r="T18" s="184">
        <v>-0.2</v>
      </c>
      <c r="U18" s="184">
        <v>-0.2</v>
      </c>
      <c r="V18" s="105">
        <v>0.5</v>
      </c>
      <c r="W18" s="161">
        <f>Таблица32[[#This Row],[Столбец7]]*Таблица32[[#This Row],[Ishga kelish nazoratchi2]]%</f>
        <v>0</v>
      </c>
      <c r="X18" s="131">
        <f>Таблица32[[#This Row],[Столбец7]]*Таблица32[[#This Row],[Ishga vaqtida kelish ketish]]%</f>
        <v>31500.000000000004</v>
      </c>
      <c r="Y18" s="131">
        <f>Таблица32[[#This Row],[Столбец7]]*Таблица32[[#This Row],[Ishga kelish bank klient]]%</f>
        <v>35000</v>
      </c>
      <c r="Z18" s="131">
        <f>Таблица32[[#This Row],[Столбец7]]*Таблица32[[#This Row],[Gruppa buxgalter]]%</f>
        <v>35000</v>
      </c>
      <c r="AA18" s="131">
        <f>Таблица32[[#This Row],[Столбец7]]*Таблица32[[#This Row],[Gruppa bank klient ]]%</f>
        <v>35000</v>
      </c>
      <c r="AB18" s="131">
        <f>Таблица32[[#This Row],[1c]]*Таблица32[[#This Row],[Столбец7]]/100</f>
        <v>0</v>
      </c>
      <c r="AC18" s="132">
        <f>SUM(Таблица32[[#This Row],[Didox]:[ мехнат]],Таблица32[[#This Row],[Avtokameral]])*Таблица32[[#This Row],[Столбец7]]/100</f>
        <v>26250</v>
      </c>
      <c r="AD18" s="132">
        <f>SUM(Таблица32[[#This Row],[Pul oqimlari]:[Foyda va zarar]])*Таблица32[[#This Row],[Столбец7]]/100</f>
        <v>7000.0000000000027</v>
      </c>
      <c r="AE18" s="131">
        <f>Таблица32[[#This Row],[Столбец7]]*Таблица32[[#This Row],[Nazoratchi]]%</f>
        <v>17500</v>
      </c>
      <c r="AF18" s="131">
        <f>Таблица32[[#This Row],[Ishga vaqtida kelish nazoratchi]]+Таблица32[[#This Row],[Nazoratchi2]]</f>
        <v>17500</v>
      </c>
      <c r="AG1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99750</v>
      </c>
      <c r="AH18" s="131">
        <f>Таблица32[[#This Row],[Ishga kelish bank klient3]]+Таблица32[[#This Row],[Gruppa bank klient 2]]</f>
        <v>70000</v>
      </c>
    </row>
    <row r="19" spans="1:34" ht="18.75" x14ac:dyDescent="0.3">
      <c r="A19" s="130">
        <v>17</v>
      </c>
      <c r="B19" s="104" t="s">
        <v>128</v>
      </c>
      <c r="C19" s="104" t="s">
        <v>218</v>
      </c>
      <c r="D19" s="104" t="s">
        <v>240</v>
      </c>
      <c r="E19" s="122">
        <v>25000000</v>
      </c>
      <c r="F19" s="104" t="s">
        <v>238</v>
      </c>
      <c r="G19" s="206">
        <v>0.05</v>
      </c>
      <c r="H19" s="206">
        <v>1</v>
      </c>
      <c r="I19" s="209"/>
      <c r="J19" s="206">
        <v>1</v>
      </c>
      <c r="K19" s="206">
        <v>1</v>
      </c>
      <c r="L19" s="184">
        <v>0.25</v>
      </c>
      <c r="M19" s="184">
        <v>0.25</v>
      </c>
      <c r="N19" s="184">
        <v>0.25</v>
      </c>
      <c r="O19" s="184">
        <v>1</v>
      </c>
      <c r="P19" s="184">
        <v>0.25</v>
      </c>
      <c r="Q19" s="184">
        <v>0</v>
      </c>
      <c r="R19" s="184">
        <v>0.2</v>
      </c>
      <c r="S19" s="184">
        <v>0.2</v>
      </c>
      <c r="T19" s="184">
        <v>0.2</v>
      </c>
      <c r="U19" s="184">
        <v>0</v>
      </c>
      <c r="V19" s="206">
        <v>0.5</v>
      </c>
      <c r="W19" s="161">
        <f>Таблица32[[#This Row],[Столбец7]]*Таблица32[[#This Row],[Ishga kelish nazoratchi2]]%</f>
        <v>0</v>
      </c>
      <c r="X19" s="131">
        <f>Таблица32[[#This Row],[Столбец7]]*Таблица32[[#This Row],[Ishga vaqtida kelish ketish]]%</f>
        <v>12500</v>
      </c>
      <c r="Y19" s="131">
        <f>Таблица32[[#This Row],[Столбец7]]*Таблица32[[#This Row],[Ishga kelish bank klient]]%</f>
        <v>250000</v>
      </c>
      <c r="Z19" s="131">
        <f>Таблица32[[#This Row],[Столбец7]]*Таблица32[[#This Row],[Gruppa buxgalter]]%</f>
        <v>250000</v>
      </c>
      <c r="AA19" s="131">
        <f>Таблица32[[#This Row],[Столбец7]]*Таблица32[[#This Row],[Gruppa bank klient ]]%</f>
        <v>250000</v>
      </c>
      <c r="AB19" s="131">
        <f>Таблица32[[#This Row],[1c]]*Таблица32[[#This Row],[Столбец7]]/100</f>
        <v>250000</v>
      </c>
      <c r="AC19" s="132">
        <f>SUM(Таблица32[[#This Row],[Didox]:[ мехнат]],Таблица32[[#This Row],[Avtokameral]])*Таблица32[[#This Row],[Столбец7]]/100</f>
        <v>250000</v>
      </c>
      <c r="AD19" s="132">
        <f>SUM(Таблица32[[#This Row],[Pul oqimlari]:[Foyda va zarar]])*Таблица32[[#This Row],[Столбец7]]/100</f>
        <v>150000.00000000003</v>
      </c>
      <c r="AE19" s="131">
        <f>Таблица32[[#This Row],[Столбец7]]*Таблица32[[#This Row],[Nazoratchi]]%</f>
        <v>125000</v>
      </c>
      <c r="AF19" s="131">
        <f>Таблица32[[#This Row],[Ishga vaqtida kelish nazoratchi]]+Таблица32[[#This Row],[Nazoratchi2]]</f>
        <v>125000</v>
      </c>
      <c r="AG1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912500</v>
      </c>
      <c r="AH19" s="131">
        <f>Таблица32[[#This Row],[Ishga kelish bank klient3]]+Таблица32[[#This Row],[Gruppa bank klient 2]]</f>
        <v>500000</v>
      </c>
    </row>
    <row r="20" spans="1:34" ht="18.75" x14ac:dyDescent="0.3">
      <c r="A20" s="130">
        <v>18</v>
      </c>
      <c r="B20" s="104" t="s">
        <v>138</v>
      </c>
      <c r="C20" s="104" t="s">
        <v>243</v>
      </c>
      <c r="D20" s="104" t="s">
        <v>428</v>
      </c>
      <c r="E20" s="122">
        <v>1000000</v>
      </c>
      <c r="F20" s="104" t="s">
        <v>238</v>
      </c>
      <c r="G20" s="206"/>
      <c r="H20" s="206">
        <v>1</v>
      </c>
      <c r="I20" s="206"/>
      <c r="J20" s="206">
        <v>1</v>
      </c>
      <c r="K20" s="206">
        <v>1</v>
      </c>
      <c r="L20" s="184">
        <v>0.25</v>
      </c>
      <c r="M20" s="184">
        <v>0.25</v>
      </c>
      <c r="N20" s="184">
        <v>0.25</v>
      </c>
      <c r="O20" s="184">
        <v>1</v>
      </c>
      <c r="P20" s="184">
        <v>0.25</v>
      </c>
      <c r="Q20" s="184">
        <v>0.2</v>
      </c>
      <c r="R20" s="184">
        <v>0.2</v>
      </c>
      <c r="S20" s="184">
        <v>0.2</v>
      </c>
      <c r="T20" s="184">
        <v>0.2</v>
      </c>
      <c r="U20" s="184">
        <v>0.2</v>
      </c>
      <c r="V20" s="206">
        <v>0.5</v>
      </c>
      <c r="W20" s="161">
        <f>Таблица32[[#This Row],[Столбец7]]*Таблица32[[#This Row],[Ishga kelish nazoratchi2]]%</f>
        <v>0</v>
      </c>
      <c r="X20" s="131">
        <f>Таблица32[[#This Row],[Столбец7]]*Таблица32[[#This Row],[Ishga vaqtida kelish ketish]]%</f>
        <v>0</v>
      </c>
      <c r="Y20" s="131">
        <f>Таблица32[[#This Row],[Столбец7]]*Таблица32[[#This Row],[Ishga kelish bank klient]]%</f>
        <v>10000</v>
      </c>
      <c r="Z20" s="131">
        <f>Таблица32[[#This Row],[Столбец7]]*Таблица32[[#This Row],[Gruppa buxgalter]]%</f>
        <v>10000</v>
      </c>
      <c r="AA20" s="131">
        <f>Таблица32[[#This Row],[Столбец7]]*Таблица32[[#This Row],[Gruppa bank klient ]]%</f>
        <v>10000</v>
      </c>
      <c r="AB20" s="131">
        <f>Таблица32[[#This Row],[1c]]*Таблица32[[#This Row],[Столбец7]]/100</f>
        <v>10000</v>
      </c>
      <c r="AC20" s="132">
        <f>SUM(Таблица32[[#This Row],[Didox]:[ мехнат]],Таблица32[[#This Row],[Avtokameral]])*Таблица32[[#This Row],[Столбец7]]/100</f>
        <v>10000</v>
      </c>
      <c r="AD20" s="132">
        <f>SUM(Таблица32[[#This Row],[Pul oqimlari]:[Foyda va zarar]])*Таблица32[[#This Row],[Столбец7]]/100</f>
        <v>10000</v>
      </c>
      <c r="AE20" s="131">
        <f>Таблица32[[#This Row],[Столбец7]]*Таблица32[[#This Row],[Nazoratchi]]%</f>
        <v>5000</v>
      </c>
      <c r="AF20" s="131">
        <f>Таблица32[[#This Row],[Ishga vaqtida kelish nazoratchi]]+Таблица32[[#This Row],[Nazoratchi2]]</f>
        <v>5000</v>
      </c>
      <c r="AG2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40000</v>
      </c>
      <c r="AH20" s="131">
        <f>Таблица32[[#This Row],[Ishga kelish bank klient3]]+Таблица32[[#This Row],[Gruppa bank klient 2]]</f>
        <v>20000</v>
      </c>
    </row>
    <row r="21" spans="1:34" ht="37.5" x14ac:dyDescent="0.3">
      <c r="A21" s="130">
        <v>19</v>
      </c>
      <c r="B21" s="104" t="s">
        <v>134</v>
      </c>
      <c r="C21" s="106" t="s">
        <v>468</v>
      </c>
      <c r="D21" s="104"/>
      <c r="E21" s="122">
        <v>500000</v>
      </c>
      <c r="F21" s="104" t="s">
        <v>238</v>
      </c>
      <c r="G21" s="206"/>
      <c r="H21" s="206"/>
      <c r="I21" s="206"/>
      <c r="J21" s="206">
        <v>1</v>
      </c>
      <c r="K21" s="206"/>
      <c r="L21" s="184">
        <v>0.25</v>
      </c>
      <c r="M21" s="184">
        <v>0.25</v>
      </c>
      <c r="N21" s="184"/>
      <c r="O21" s="184"/>
      <c r="P21" s="184">
        <v>0.25</v>
      </c>
      <c r="Q21" s="184">
        <v>0</v>
      </c>
      <c r="R21" s="184">
        <v>0</v>
      </c>
      <c r="S21" s="184">
        <v>0</v>
      </c>
      <c r="T21" s="184">
        <v>0</v>
      </c>
      <c r="U21" s="184">
        <v>0</v>
      </c>
      <c r="V21" s="105">
        <v>0.5</v>
      </c>
      <c r="W21" s="161">
        <f>Таблица32[[#This Row],[Столбец7]]*Таблица32[[#This Row],[Ishga kelish nazoratchi2]]%</f>
        <v>0</v>
      </c>
      <c r="X21" s="131">
        <f>Таблица32[[#This Row],[Столбец7]]*Таблица32[[#This Row],[Ishga vaqtida kelish ketish]]%</f>
        <v>0</v>
      </c>
      <c r="Y21" s="131">
        <f>Таблица32[[#This Row],[Столбец7]]*Таблица32[[#This Row],[Ishga kelish bank klient]]%</f>
        <v>0</v>
      </c>
      <c r="Z21" s="131">
        <f>Таблица32[[#This Row],[Столбец7]]*Таблица32[[#This Row],[Gruppa buxgalter]]%</f>
        <v>5000</v>
      </c>
      <c r="AA21" s="131">
        <f>Таблица32[[#This Row],[Столбец7]]*Таблица32[[#This Row],[Gruppa bank klient ]]%</f>
        <v>0</v>
      </c>
      <c r="AB21" s="131">
        <f>Таблица32[[#This Row],[1c]]*Таблица32[[#This Row],[Столбец7]]/100</f>
        <v>0</v>
      </c>
      <c r="AC21" s="132">
        <f>SUM(Таблица32[[#This Row],[Didox]:[ мехнат]],Таблица32[[#This Row],[Avtokameral]])*Таблица32[[#This Row],[Столбец7]]/100</f>
        <v>3750</v>
      </c>
      <c r="AD21" s="132">
        <f>SUM(Таблица32[[#This Row],[Pul oqimlari]:[Foyda va zarar]])*Таблица32[[#This Row],[Столбец7]]/100</f>
        <v>0</v>
      </c>
      <c r="AE21" s="131">
        <f>Таблица32[[#This Row],[Столбец7]]*Таблица32[[#This Row],[Nazoratchi]]%</f>
        <v>2500</v>
      </c>
      <c r="AF21" s="131">
        <f>Таблица32[[#This Row],[Ishga vaqtida kelish nazoratchi]]+Таблица32[[#This Row],[Nazoratchi2]]</f>
        <v>2500</v>
      </c>
      <c r="AG2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21" s="131">
        <f>Таблица32[[#This Row],[Ishga kelish bank klient3]]+Таблица32[[#This Row],[Gruppa bank klient 2]]</f>
        <v>0</v>
      </c>
    </row>
    <row r="22" spans="1:34" ht="18.75" x14ac:dyDescent="0.3">
      <c r="A22" s="130">
        <v>20</v>
      </c>
      <c r="B22" s="104" t="s">
        <v>299</v>
      </c>
      <c r="C22" s="104" t="s">
        <v>335</v>
      </c>
      <c r="D22" s="104" t="s">
        <v>240</v>
      </c>
      <c r="E22" s="122">
        <v>1000000</v>
      </c>
      <c r="F22" s="104" t="s">
        <v>218</v>
      </c>
      <c r="G22" s="206">
        <v>-0.35</v>
      </c>
      <c r="H22" s="206">
        <v>1</v>
      </c>
      <c r="I22" s="206"/>
      <c r="J22" s="206">
        <v>1</v>
      </c>
      <c r="K22" s="206">
        <v>1</v>
      </c>
      <c r="L22" s="184">
        <v>0.25</v>
      </c>
      <c r="M22" s="184">
        <v>0.25</v>
      </c>
      <c r="N22" s="184"/>
      <c r="O22" s="184">
        <v>1</v>
      </c>
      <c r="P22" s="184">
        <v>0.25</v>
      </c>
      <c r="Q22" s="184">
        <v>0.2</v>
      </c>
      <c r="R22" s="184">
        <v>0.2</v>
      </c>
      <c r="S22" s="184">
        <v>0.2</v>
      </c>
      <c r="T22" s="184">
        <v>0.2</v>
      </c>
      <c r="U22" s="184">
        <v>0.2</v>
      </c>
      <c r="V22" s="105">
        <v>0.5</v>
      </c>
      <c r="W22" s="161">
        <f>Таблица32[[#This Row],[Столбец7]]*Таблица32[[#This Row],[Ishga kelish nazoratchi2]]%</f>
        <v>0</v>
      </c>
      <c r="X22" s="131">
        <f>Таблица32[[#This Row],[Столбец7]]*Таблица32[[#This Row],[Ishga vaqtida kelish ketish]]%</f>
        <v>-3499.9999999999995</v>
      </c>
      <c r="Y22" s="131">
        <f>Таблица32[[#This Row],[Столбец7]]*Таблица32[[#This Row],[Ishga kelish bank klient]]%</f>
        <v>10000</v>
      </c>
      <c r="Z22" s="131">
        <f>Таблица32[[#This Row],[Столбец7]]*Таблица32[[#This Row],[Gruppa buxgalter]]%</f>
        <v>10000</v>
      </c>
      <c r="AA22" s="131">
        <f>Таблица32[[#This Row],[Столбец7]]*Таблица32[[#This Row],[Gruppa bank klient ]]%</f>
        <v>10000</v>
      </c>
      <c r="AB22" s="131">
        <f>Таблица32[[#This Row],[1c]]*Таблица32[[#This Row],[Столбец7]]/100</f>
        <v>10000</v>
      </c>
      <c r="AC22" s="132">
        <f>SUM(Таблица32[[#This Row],[Didox]:[ мехнат]],Таблица32[[#This Row],[Avtokameral]])*Таблица32[[#This Row],[Столбец7]]/100</f>
        <v>7500</v>
      </c>
      <c r="AD22" s="132">
        <f>SUM(Таблица32[[#This Row],[Pul oqimlari]:[Foyda va zarar]])*Таблица32[[#This Row],[Столбец7]]/100</f>
        <v>10000</v>
      </c>
      <c r="AE22" s="131">
        <f>Таблица32[[#This Row],[Столбец7]]*Таблица32[[#This Row],[Nazoratchi]]%</f>
        <v>5000</v>
      </c>
      <c r="AF22" s="131">
        <f>Таблица32[[#This Row],[Ishga vaqtida kelish nazoratchi]]+Таблица32[[#This Row],[Nazoratchi2]]</f>
        <v>5000</v>
      </c>
      <c r="AG2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34000</v>
      </c>
      <c r="AH22" s="131">
        <f>Таблица32[[#This Row],[Ishga kelish bank klient3]]+Таблица32[[#This Row],[Gruppa bank klient 2]]</f>
        <v>20000</v>
      </c>
    </row>
    <row r="23" spans="1:34" ht="37.5" x14ac:dyDescent="0.3">
      <c r="A23" s="130">
        <v>21</v>
      </c>
      <c r="B23" s="104" t="s">
        <v>125</v>
      </c>
      <c r="C23" s="104" t="s">
        <v>243</v>
      </c>
      <c r="D23" s="104" t="s">
        <v>428</v>
      </c>
      <c r="E23" s="122">
        <v>1000000</v>
      </c>
      <c r="F23" s="104" t="s">
        <v>238</v>
      </c>
      <c r="G23" s="206"/>
      <c r="H23" s="206">
        <v>1</v>
      </c>
      <c r="I23" s="206"/>
      <c r="J23" s="206">
        <v>1</v>
      </c>
      <c r="K23" s="206">
        <v>1</v>
      </c>
      <c r="L23" s="184">
        <v>0.25</v>
      </c>
      <c r="M23" s="184">
        <v>0.25</v>
      </c>
      <c r="N23" s="184"/>
      <c r="O23" s="184">
        <v>1</v>
      </c>
      <c r="P23" s="184">
        <v>0.25</v>
      </c>
      <c r="Q23" s="184">
        <v>0.2</v>
      </c>
      <c r="R23" s="184">
        <v>0.2</v>
      </c>
      <c r="S23" s="184">
        <v>0.2</v>
      </c>
      <c r="T23" s="184">
        <v>0.2</v>
      </c>
      <c r="U23" s="184">
        <v>0.2</v>
      </c>
      <c r="V23" s="206">
        <v>0.5</v>
      </c>
      <c r="W23" s="161">
        <f>Таблица32[[#This Row],[Столбец7]]*Таблица32[[#This Row],[Ishga kelish nazoratchi2]]%</f>
        <v>0</v>
      </c>
      <c r="X23" s="131">
        <f>Таблица32[[#This Row],[Столбец7]]*Таблица32[[#This Row],[Ishga vaqtida kelish ketish]]%</f>
        <v>0</v>
      </c>
      <c r="Y23" s="131">
        <f>Таблица32[[#This Row],[Столбец7]]*Таблица32[[#This Row],[Ishga kelish bank klient]]%</f>
        <v>10000</v>
      </c>
      <c r="Z23" s="131">
        <f>Таблица32[[#This Row],[Столбец7]]*Таблица32[[#This Row],[Gruppa buxgalter]]%</f>
        <v>10000</v>
      </c>
      <c r="AA23" s="131">
        <f>Таблица32[[#This Row],[Столбец7]]*Таблица32[[#This Row],[Gruppa bank klient ]]%</f>
        <v>10000</v>
      </c>
      <c r="AB23" s="131">
        <f>Таблица32[[#This Row],[1c]]*Таблица32[[#This Row],[Столбец7]]/100</f>
        <v>10000</v>
      </c>
      <c r="AC23" s="132">
        <f>SUM(Таблица32[[#This Row],[Didox]:[ мехнат]],Таблица32[[#This Row],[Avtokameral]])*Таблица32[[#This Row],[Столбец7]]/100</f>
        <v>7500</v>
      </c>
      <c r="AD23" s="132">
        <f>SUM(Таблица32[[#This Row],[Pul oqimlari]:[Foyda va zarar]])*Таблица32[[#This Row],[Столбец7]]/100</f>
        <v>10000</v>
      </c>
      <c r="AE23" s="131">
        <f>Таблица32[[#This Row],[Столбец7]]*Таблица32[[#This Row],[Nazoratchi]]%</f>
        <v>5000</v>
      </c>
      <c r="AF23" s="131">
        <f>Таблица32[[#This Row],[Ishga vaqtida kelish nazoratchi]]+Таблица32[[#This Row],[Nazoratchi2]]</f>
        <v>5000</v>
      </c>
      <c r="AG2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37500</v>
      </c>
      <c r="AH23" s="131">
        <f>Таблица32[[#This Row],[Ishga kelish bank klient3]]+Таблица32[[#This Row],[Gruppa bank klient 2]]</f>
        <v>20000</v>
      </c>
    </row>
    <row r="24" spans="1:34" ht="18.75" x14ac:dyDescent="0.3">
      <c r="A24" s="130">
        <v>22</v>
      </c>
      <c r="B24" s="104" t="s">
        <v>254</v>
      </c>
      <c r="C24" s="104"/>
      <c r="D24" s="104"/>
      <c r="E24" s="122">
        <v>50000000</v>
      </c>
      <c r="F24" s="104"/>
      <c r="G24" s="206"/>
      <c r="H24" s="206"/>
      <c r="I24" s="206"/>
      <c r="J24" s="206"/>
      <c r="K24" s="206"/>
      <c r="L24" s="184">
        <v>0</v>
      </c>
      <c r="M24" s="184">
        <v>0</v>
      </c>
      <c r="N24" s="184"/>
      <c r="O24" s="184"/>
      <c r="P24" s="184">
        <v>0</v>
      </c>
      <c r="Q24" s="184">
        <v>0</v>
      </c>
      <c r="R24" s="184">
        <v>0</v>
      </c>
      <c r="S24" s="184">
        <v>0</v>
      </c>
      <c r="T24" s="184">
        <v>0</v>
      </c>
      <c r="U24" s="184">
        <v>0</v>
      </c>
      <c r="V24" s="105"/>
      <c r="W24" s="161">
        <f>Таблица32[[#This Row],[Столбец7]]*Таблица32[[#This Row],[Ishga kelish nazoratchi2]]%</f>
        <v>0</v>
      </c>
      <c r="X24" s="131">
        <f>Таблица32[[#This Row],[Столбец7]]*Таблица32[[#This Row],[Ishga vaqtida kelish ketish]]%</f>
        <v>0</v>
      </c>
      <c r="Y24" s="131">
        <f>Таблица32[[#This Row],[Столбец7]]*Таблица32[[#This Row],[Ishga kelish bank klient]]%</f>
        <v>0</v>
      </c>
      <c r="Z24" s="131">
        <f>Таблица32[[#This Row],[Столбец7]]*Таблица32[[#This Row],[Gruppa buxgalter]]%</f>
        <v>0</v>
      </c>
      <c r="AA24" s="131">
        <f>Таблица32[[#This Row],[Столбец7]]*Таблица32[[#This Row],[Gruppa bank klient ]]%</f>
        <v>0</v>
      </c>
      <c r="AB24" s="131">
        <f>Таблица32[[#This Row],[1c]]*Таблица32[[#This Row],[Столбец7]]/100</f>
        <v>0</v>
      </c>
      <c r="AC24" s="132">
        <f>SUM(Таблица32[[#This Row],[Didox]:[ мехнат]],Таблица32[[#This Row],[Avtokameral]])*Таблица32[[#This Row],[Столбец7]]/100</f>
        <v>0</v>
      </c>
      <c r="AD24" s="132">
        <f>SUM(Таблица32[[#This Row],[Pul oqimlari]:[Foyda va zarar]])*Таблица32[[#This Row],[Столбец7]]/100</f>
        <v>0</v>
      </c>
      <c r="AE24" s="131">
        <f>Таблица32[[#This Row],[Столбец7]]*Таблица32[[#This Row],[Nazoratchi]]%</f>
        <v>0</v>
      </c>
      <c r="AF24" s="131">
        <f>Таблица32[[#This Row],[Ishga vaqtida kelish nazoratchi]]+Таблица32[[#This Row],[Nazoratchi2]]</f>
        <v>0</v>
      </c>
      <c r="AG2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4" s="131">
        <f>Таблица32[[#This Row],[Ishga kelish bank klient3]]+Таблица32[[#This Row],[Gruppa bank klient 2]]</f>
        <v>0</v>
      </c>
    </row>
    <row r="25" spans="1:34" ht="18.75" x14ac:dyDescent="0.3">
      <c r="A25" s="130">
        <v>23</v>
      </c>
      <c r="B25" s="104" t="s">
        <v>116</v>
      </c>
      <c r="C25" s="106" t="s">
        <v>468</v>
      </c>
      <c r="D25" s="104" t="s">
        <v>428</v>
      </c>
      <c r="E25" s="122">
        <v>500000</v>
      </c>
      <c r="F25" s="104" t="s">
        <v>238</v>
      </c>
      <c r="G25" s="184"/>
      <c r="H25" s="206">
        <v>1</v>
      </c>
      <c r="I25" s="184"/>
      <c r="J25" s="206">
        <v>1</v>
      </c>
      <c r="K25" s="206">
        <v>1</v>
      </c>
      <c r="L25" s="184">
        <v>0.25</v>
      </c>
      <c r="M25" s="184">
        <v>0.25</v>
      </c>
      <c r="N25" s="184"/>
      <c r="O25" s="184"/>
      <c r="P25" s="184">
        <v>0.25</v>
      </c>
      <c r="Q25" s="184">
        <v>0</v>
      </c>
      <c r="R25" s="184">
        <v>0</v>
      </c>
      <c r="S25" s="184">
        <v>0</v>
      </c>
      <c r="T25" s="184">
        <v>0</v>
      </c>
      <c r="U25" s="184">
        <v>0</v>
      </c>
      <c r="V25" s="105">
        <v>0.5</v>
      </c>
      <c r="W25" s="161">
        <f>Таблица32[[#This Row],[Столбец7]]*Таблица32[[#This Row],[Ishga kelish nazoratchi2]]%</f>
        <v>0</v>
      </c>
      <c r="X25" s="131">
        <f>Таблица32[[#This Row],[Столбец7]]*Таблица32[[#This Row],[Ishga vaqtida kelish ketish]]%</f>
        <v>0</v>
      </c>
      <c r="Y25" s="131">
        <f>Таблица32[[#This Row],[Столбец7]]*Таблица32[[#This Row],[Ishga kelish bank klient]]%</f>
        <v>5000</v>
      </c>
      <c r="Z25" s="131">
        <f>Таблица32[[#This Row],[Столбец7]]*Таблица32[[#This Row],[Gruppa buxgalter]]%</f>
        <v>5000</v>
      </c>
      <c r="AA25" s="131">
        <f>Таблица32[[#This Row],[Столбец7]]*Таблица32[[#This Row],[Gruppa bank klient ]]%</f>
        <v>5000</v>
      </c>
      <c r="AB25" s="131">
        <f>Таблица32[[#This Row],[1c]]*Таблица32[[#This Row],[Столбец7]]/100</f>
        <v>0</v>
      </c>
      <c r="AC25" s="132">
        <f>SUM(Таблица32[[#This Row],[Didox]:[ мехнат]],Таблица32[[#This Row],[Avtokameral]])*Таблица32[[#This Row],[Столбец7]]/100</f>
        <v>3750</v>
      </c>
      <c r="AD25" s="132">
        <f>SUM(Таблица32[[#This Row],[Pul oqimlari]:[Foyda va zarar]])*Таблица32[[#This Row],[Столбец7]]/100</f>
        <v>0</v>
      </c>
      <c r="AE25" s="131">
        <f>Таблица32[[#This Row],[Столбец7]]*Таблица32[[#This Row],[Nazoratchi]]%</f>
        <v>2500</v>
      </c>
      <c r="AF25" s="131">
        <f>Таблица32[[#This Row],[Ishga vaqtida kelish nazoratchi]]+Таблица32[[#This Row],[Nazoratchi2]]</f>
        <v>2500</v>
      </c>
      <c r="AG2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25" s="131">
        <f>Таблица32[[#This Row],[Ishga kelish bank klient3]]+Таблица32[[#This Row],[Gruppa bank klient 2]]</f>
        <v>10000</v>
      </c>
    </row>
    <row r="26" spans="1:34" ht="18.75" x14ac:dyDescent="0.3">
      <c r="A26" s="130">
        <v>24</v>
      </c>
      <c r="B26" s="104" t="s">
        <v>136</v>
      </c>
      <c r="C26" s="106" t="s">
        <v>468</v>
      </c>
      <c r="D26" s="104" t="s">
        <v>428</v>
      </c>
      <c r="E26" s="122">
        <v>500000</v>
      </c>
      <c r="F26" s="104" t="s">
        <v>238</v>
      </c>
      <c r="G26" s="206"/>
      <c r="H26" s="206">
        <v>1</v>
      </c>
      <c r="I26" s="206"/>
      <c r="J26" s="206">
        <v>1</v>
      </c>
      <c r="K26" s="206">
        <v>1</v>
      </c>
      <c r="L26" s="184">
        <v>0.25</v>
      </c>
      <c r="M26" s="184">
        <v>0.25</v>
      </c>
      <c r="N26" s="184"/>
      <c r="O26" s="184"/>
      <c r="P26" s="184">
        <v>0.25</v>
      </c>
      <c r="Q26" s="184">
        <v>0</v>
      </c>
      <c r="R26" s="184">
        <v>0</v>
      </c>
      <c r="S26" s="184">
        <v>0</v>
      </c>
      <c r="T26" s="184">
        <v>0</v>
      </c>
      <c r="U26" s="184">
        <v>0</v>
      </c>
      <c r="V26" s="105">
        <v>0.5</v>
      </c>
      <c r="W26" s="161">
        <f>Таблица32[[#This Row],[Столбец7]]*Таблица32[[#This Row],[Ishga kelish nazoratchi2]]%</f>
        <v>0</v>
      </c>
      <c r="X26" s="131">
        <f>Таблица32[[#This Row],[Столбец7]]*Таблица32[[#This Row],[Ishga vaqtida kelish ketish]]%</f>
        <v>0</v>
      </c>
      <c r="Y26" s="131">
        <f>Таблица32[[#This Row],[Столбец7]]*Таблица32[[#This Row],[Ishga kelish bank klient]]%</f>
        <v>5000</v>
      </c>
      <c r="Z26" s="131">
        <f>Таблица32[[#This Row],[Столбец7]]*Таблица32[[#This Row],[Gruppa buxgalter]]%</f>
        <v>5000</v>
      </c>
      <c r="AA26" s="131">
        <f>Таблица32[[#This Row],[Столбец7]]*Таблица32[[#This Row],[Gruppa bank klient ]]%</f>
        <v>5000</v>
      </c>
      <c r="AB26" s="131">
        <f>Таблица32[[#This Row],[1c]]*Таблица32[[#This Row],[Столбец7]]/100</f>
        <v>0</v>
      </c>
      <c r="AC26" s="132">
        <f>SUM(Таблица32[[#This Row],[Didox]:[ мехнат]],Таблица32[[#This Row],[Avtokameral]])*Таблица32[[#This Row],[Столбец7]]/100</f>
        <v>3750</v>
      </c>
      <c r="AD26" s="132">
        <f>SUM(Таблица32[[#This Row],[Pul oqimlari]:[Foyda va zarar]])*Таблица32[[#This Row],[Столбец7]]/100</f>
        <v>0</v>
      </c>
      <c r="AE26" s="131">
        <f>Таблица32[[#This Row],[Столбец7]]*Таблица32[[#This Row],[Nazoratchi]]%</f>
        <v>2500</v>
      </c>
      <c r="AF26" s="131">
        <f>Таблица32[[#This Row],[Ishga vaqtida kelish nazoratchi]]+Таблица32[[#This Row],[Nazoratchi2]]</f>
        <v>2500</v>
      </c>
      <c r="AG2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26" s="131">
        <f>Таблица32[[#This Row],[Ishga kelish bank klient3]]+Таблица32[[#This Row],[Gruppa bank klient 2]]</f>
        <v>10000</v>
      </c>
    </row>
    <row r="27" spans="1:34" ht="18" x14ac:dyDescent="0.35">
      <c r="A27" s="130">
        <v>25</v>
      </c>
      <c r="B27" s="104" t="s">
        <v>120</v>
      </c>
      <c r="C27" s="104" t="s">
        <v>224</v>
      </c>
      <c r="D27" s="104" t="s">
        <v>428</v>
      </c>
      <c r="E27" s="122">
        <v>2300000</v>
      </c>
      <c r="F27" s="104" t="s">
        <v>218</v>
      </c>
      <c r="G27" s="206"/>
      <c r="H27" s="206">
        <v>1</v>
      </c>
      <c r="I27" s="206"/>
      <c r="J27" s="206">
        <v>1</v>
      </c>
      <c r="K27" s="206">
        <v>1</v>
      </c>
      <c r="L27" s="184">
        <v>0.25</v>
      </c>
      <c r="M27" s="184">
        <v>0.25</v>
      </c>
      <c r="N27" s="184">
        <v>0.25</v>
      </c>
      <c r="O27" s="184">
        <v>1</v>
      </c>
      <c r="P27" s="184">
        <v>0.25</v>
      </c>
      <c r="Q27" s="184">
        <v>0.2</v>
      </c>
      <c r="R27" s="184">
        <v>0.2</v>
      </c>
      <c r="S27" s="184">
        <v>0.2</v>
      </c>
      <c r="T27" s="184">
        <v>0.2</v>
      </c>
      <c r="U27" s="184">
        <v>0.2</v>
      </c>
      <c r="V27" s="105">
        <v>0.5</v>
      </c>
      <c r="W27" s="161">
        <f>Таблица32[[#This Row],[Столбец7]]*Таблица32[[#This Row],[Ishga kelish nazoratchi2]]%</f>
        <v>0</v>
      </c>
      <c r="X27" s="131">
        <f>Таблица32[[#This Row],[Столбец7]]*Таблица32[[#This Row],[Ishga vaqtida kelish ketish]]%</f>
        <v>0</v>
      </c>
      <c r="Y27" s="131">
        <f>Таблица32[[#This Row],[Столбец7]]*Таблица32[[#This Row],[Ishga kelish bank klient]]%</f>
        <v>23000</v>
      </c>
      <c r="Z27" s="131">
        <f>Таблица32[[#This Row],[Столбец7]]*Таблица32[[#This Row],[Gruppa buxgalter]]%</f>
        <v>23000</v>
      </c>
      <c r="AA27" s="131">
        <f>Таблица32[[#This Row],[Столбец7]]*Таблица32[[#This Row],[Gruppa bank klient ]]%</f>
        <v>23000</v>
      </c>
      <c r="AB27" s="131">
        <f>Таблица32[[#This Row],[1c]]*Таблица32[[#This Row],[Столбец7]]/100</f>
        <v>23000</v>
      </c>
      <c r="AC27" s="132">
        <f>SUM(Таблица32[[#This Row],[Didox]:[ мехнат]],Таблица32[[#This Row],[Avtokameral]])*Таблица32[[#This Row],[Столбец7]]/100</f>
        <v>23000</v>
      </c>
      <c r="AD27" s="132">
        <f>SUM(Таблица32[[#This Row],[Pul oqimlari]:[Foyda va zarar]])*Таблица32[[#This Row],[Столбец7]]/100</f>
        <v>23000</v>
      </c>
      <c r="AE27" s="131">
        <f>Таблица32[[#This Row],[Столбец7]]*Таблица32[[#This Row],[Nazoratchi]]%</f>
        <v>11500</v>
      </c>
      <c r="AF27" s="131">
        <f>Таблица32[[#This Row],[Ishga vaqtida kelish nazoratchi]]+Таблица32[[#This Row],[Nazoratchi2]]</f>
        <v>11500</v>
      </c>
      <c r="AG2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92000</v>
      </c>
      <c r="AH27" s="131">
        <f>Таблица32[[#This Row],[Ishga kelish bank klient3]]+Таблица32[[#This Row],[Gruppa bank klient 2]]</f>
        <v>46000</v>
      </c>
    </row>
    <row r="28" spans="1:34" ht="37.5" x14ac:dyDescent="0.3">
      <c r="A28" s="130">
        <v>26</v>
      </c>
      <c r="B28" s="119" t="s">
        <v>241</v>
      </c>
      <c r="C28" s="106" t="s">
        <v>468</v>
      </c>
      <c r="D28" s="104" t="s">
        <v>240</v>
      </c>
      <c r="E28" s="122">
        <v>600000</v>
      </c>
      <c r="F28" s="104" t="s">
        <v>238</v>
      </c>
      <c r="G28" s="206"/>
      <c r="H28" s="206">
        <v>1</v>
      </c>
      <c r="I28" s="209"/>
      <c r="J28" s="206">
        <v>1</v>
      </c>
      <c r="K28" s="206">
        <v>1</v>
      </c>
      <c r="L28" s="184">
        <v>0.25</v>
      </c>
      <c r="M28" s="184">
        <v>0.25</v>
      </c>
      <c r="N28" s="184"/>
      <c r="O28" s="184">
        <v>1</v>
      </c>
      <c r="P28" s="184">
        <v>0.25</v>
      </c>
      <c r="Q28" s="184">
        <v>0.2</v>
      </c>
      <c r="R28" s="184">
        <v>0.2</v>
      </c>
      <c r="S28" s="184">
        <v>0.2</v>
      </c>
      <c r="T28" s="184">
        <v>0.2</v>
      </c>
      <c r="U28" s="184">
        <v>0.2</v>
      </c>
      <c r="V28" s="105">
        <v>0.5</v>
      </c>
      <c r="W28" s="161">
        <f>Таблица32[[#This Row],[Столбец7]]*Таблица32[[#This Row],[Ishga kelish nazoratchi2]]%</f>
        <v>0</v>
      </c>
      <c r="X28" s="131">
        <f>Таблица32[[#This Row],[Столбец7]]*Таблица32[[#This Row],[Ishga vaqtida kelish ketish]]%</f>
        <v>0</v>
      </c>
      <c r="Y28" s="131">
        <f>Таблица32[[#This Row],[Столбец7]]*Таблица32[[#This Row],[Ishga kelish bank klient]]%</f>
        <v>6000</v>
      </c>
      <c r="Z28" s="131">
        <f>Таблица32[[#This Row],[Столбец7]]*Таблица32[[#This Row],[Gruppa buxgalter]]%</f>
        <v>6000</v>
      </c>
      <c r="AA28" s="131">
        <f>Таблица32[[#This Row],[Столбец7]]*Таблица32[[#This Row],[Gruppa bank klient ]]%</f>
        <v>6000</v>
      </c>
      <c r="AB28" s="131">
        <f>Таблица32[[#This Row],[1c]]*Таблица32[[#This Row],[Столбец7]]/100</f>
        <v>6000</v>
      </c>
      <c r="AC28" s="132">
        <f>SUM(Таблица32[[#This Row],[Didox]:[ мехнат]],Таблица32[[#This Row],[Avtokameral]])*Таблица32[[#This Row],[Столбец7]]/100</f>
        <v>4500</v>
      </c>
      <c r="AD28" s="132">
        <f>SUM(Таблица32[[#This Row],[Pul oqimlari]:[Foyda va zarar]])*Таблица32[[#This Row],[Столбец7]]/100</f>
        <v>6000</v>
      </c>
      <c r="AE28" s="131">
        <f>Таблица32[[#This Row],[Столбец7]]*Таблица32[[#This Row],[Nazoratchi]]%</f>
        <v>3000</v>
      </c>
      <c r="AF28" s="131">
        <f>Таблица32[[#This Row],[Ishga vaqtida kelish nazoratchi]]+Таблица32[[#This Row],[Nazoratchi2]]</f>
        <v>3000</v>
      </c>
      <c r="AG2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22500</v>
      </c>
      <c r="AH28" s="131">
        <f>Таблица32[[#This Row],[Ishga kelish bank klient3]]+Таблица32[[#This Row],[Gruppa bank klient 2]]</f>
        <v>12000</v>
      </c>
    </row>
    <row r="29" spans="1:34" ht="18.75" x14ac:dyDescent="0.3">
      <c r="A29" s="130">
        <v>27</v>
      </c>
      <c r="B29" s="104" t="s">
        <v>314</v>
      </c>
      <c r="C29" s="104" t="s">
        <v>303</v>
      </c>
      <c r="D29" s="104" t="s">
        <v>240</v>
      </c>
      <c r="E29" s="122">
        <v>2500000</v>
      </c>
      <c r="F29" s="104" t="s">
        <v>218</v>
      </c>
      <c r="G29" s="206">
        <v>-0.25</v>
      </c>
      <c r="H29" s="206">
        <v>1</v>
      </c>
      <c r="I29" s="209"/>
      <c r="J29" s="206">
        <v>1</v>
      </c>
      <c r="K29" s="206">
        <v>1</v>
      </c>
      <c r="L29" s="184">
        <v>0.25</v>
      </c>
      <c r="M29" s="184">
        <v>0.25</v>
      </c>
      <c r="N29" s="184">
        <v>0.25</v>
      </c>
      <c r="O29" s="184">
        <v>1</v>
      </c>
      <c r="P29" s="184">
        <v>0.25</v>
      </c>
      <c r="Q29" s="184">
        <v>0.2</v>
      </c>
      <c r="R29" s="184">
        <v>0.2</v>
      </c>
      <c r="S29" s="184">
        <v>0.2</v>
      </c>
      <c r="T29" s="184">
        <v>0.2</v>
      </c>
      <c r="U29" s="184">
        <v>0.2</v>
      </c>
      <c r="V29" s="105">
        <v>0.5</v>
      </c>
      <c r="W29" s="161">
        <f>Таблица32[[#This Row],[Столбец7]]*Таблица32[[#This Row],[Ishga kelish nazoratchi2]]%</f>
        <v>0</v>
      </c>
      <c r="X29" s="131">
        <f>Таблица32[[#This Row],[Столбец7]]*Таблица32[[#This Row],[Ishga vaqtida kelish ketish]]%</f>
        <v>-6250</v>
      </c>
      <c r="Y29" s="131">
        <f>Таблица32[[#This Row],[Столбец7]]*Таблица32[[#This Row],[Ishga kelish bank klient]]%</f>
        <v>25000</v>
      </c>
      <c r="Z29" s="131">
        <f>Таблица32[[#This Row],[Столбец7]]*Таблица32[[#This Row],[Gruppa buxgalter]]%</f>
        <v>25000</v>
      </c>
      <c r="AA29" s="131">
        <f>Таблица32[[#This Row],[Столбец7]]*Таблица32[[#This Row],[Gruppa bank klient ]]%</f>
        <v>25000</v>
      </c>
      <c r="AB29" s="131">
        <f>Таблица32[[#This Row],[1c]]*Таблица32[[#This Row],[Столбец7]]/100</f>
        <v>25000</v>
      </c>
      <c r="AC29" s="132">
        <f>SUM(Таблица32[[#This Row],[Didox]:[ мехнат]],Таблица32[[#This Row],[Avtokameral]])*Таблица32[[#This Row],[Столбец7]]/100</f>
        <v>25000</v>
      </c>
      <c r="AD29" s="132">
        <f>SUM(Таблица32[[#This Row],[Pul oqimlari]:[Foyda va zarar]])*Таблица32[[#This Row],[Столбец7]]/100</f>
        <v>25000</v>
      </c>
      <c r="AE29" s="131">
        <f>Таблица32[[#This Row],[Столбец7]]*Таблица32[[#This Row],[Nazoratchi]]%</f>
        <v>12500</v>
      </c>
      <c r="AF29" s="131">
        <f>Таблица32[[#This Row],[Ishga vaqtida kelish nazoratchi]]+Таблица32[[#This Row],[Nazoratchi2]]</f>
        <v>12500</v>
      </c>
      <c r="AG2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93750</v>
      </c>
      <c r="AH29" s="131">
        <f>Таблица32[[#This Row],[Ishga kelish bank klient3]]+Таблица32[[#This Row],[Gruppa bank klient 2]]</f>
        <v>50000</v>
      </c>
    </row>
    <row r="30" spans="1:34" ht="18.75" x14ac:dyDescent="0.3">
      <c r="A30" s="130">
        <v>28</v>
      </c>
      <c r="B30" s="107" t="s">
        <v>246</v>
      </c>
      <c r="C30" s="104" t="s">
        <v>217</v>
      </c>
      <c r="D30" s="107"/>
      <c r="E30" s="122"/>
      <c r="F30" s="104" t="s">
        <v>238</v>
      </c>
      <c r="G30" s="206"/>
      <c r="H30" s="206"/>
      <c r="I30" s="206"/>
      <c r="J30" s="206">
        <v>1</v>
      </c>
      <c r="K30" s="206"/>
      <c r="L30" s="184">
        <v>0</v>
      </c>
      <c r="M30" s="184">
        <v>0</v>
      </c>
      <c r="N30" s="184"/>
      <c r="O30" s="184"/>
      <c r="P30" s="183">
        <v>0</v>
      </c>
      <c r="Q30" s="184">
        <v>0</v>
      </c>
      <c r="R30" s="184">
        <v>0</v>
      </c>
      <c r="S30" s="184">
        <v>0</v>
      </c>
      <c r="T30" s="184">
        <v>0</v>
      </c>
      <c r="U30" s="184">
        <v>0</v>
      </c>
      <c r="V30" s="105">
        <v>0.5</v>
      </c>
      <c r="W30" s="161">
        <f>Таблица32[[#This Row],[Столбец7]]*Таблица32[[#This Row],[Ishga kelish nazoratchi2]]%</f>
        <v>0</v>
      </c>
      <c r="X30" s="131">
        <f>Таблица32[[#This Row],[Столбец7]]*Таблица32[[#This Row],[Ishga vaqtida kelish ketish]]%</f>
        <v>0</v>
      </c>
      <c r="Y30" s="131">
        <f>Таблица32[[#This Row],[Столбец7]]*Таблица32[[#This Row],[Ishga kelish bank klient]]%</f>
        <v>0</v>
      </c>
      <c r="Z30" s="131">
        <f>Таблица32[[#This Row],[Столбец7]]*Таблица32[[#This Row],[Gruppa buxgalter]]%</f>
        <v>0</v>
      </c>
      <c r="AA30" s="131">
        <f>Таблица32[[#This Row],[Столбец7]]*Таблица32[[#This Row],[Gruppa bank klient ]]%</f>
        <v>0</v>
      </c>
      <c r="AB30" s="131">
        <f>Таблица32[[#This Row],[1c]]*Таблица32[[#This Row],[Столбец7]]/100</f>
        <v>0</v>
      </c>
      <c r="AC30" s="132">
        <f>SUM(Таблица32[[#This Row],[Didox]:[ мехнат]],Таблица32[[#This Row],[Avtokameral]])*Таблица32[[#This Row],[Столбец7]]/100</f>
        <v>0</v>
      </c>
      <c r="AD30" s="132">
        <f>SUM(Таблица32[[#This Row],[Pul oqimlari]:[Foyda va zarar]])*Таблица32[[#This Row],[Столбец7]]/100</f>
        <v>0</v>
      </c>
      <c r="AE30" s="131">
        <f>Таблица32[[#This Row],[Столбец7]]*Таблица32[[#This Row],[Nazoratchi]]%</f>
        <v>0</v>
      </c>
      <c r="AF30" s="131">
        <f>Таблица32[[#This Row],[Ishga vaqtida kelish nazoratchi]]+Таблица32[[#This Row],[Nazoratchi2]]</f>
        <v>0</v>
      </c>
      <c r="AG3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30" s="131">
        <f>Таблица32[[#This Row],[Ishga kelish bank klient3]]+Таблица32[[#This Row],[Gruppa bank klient 2]]</f>
        <v>0</v>
      </c>
    </row>
    <row r="31" spans="1:34" ht="18.75" x14ac:dyDescent="0.3">
      <c r="A31" s="130">
        <v>29</v>
      </c>
      <c r="B31" s="104" t="s">
        <v>450</v>
      </c>
      <c r="C31" s="104" t="s">
        <v>217</v>
      </c>
      <c r="D31" s="104"/>
      <c r="E31" s="122"/>
      <c r="F31" s="104" t="s">
        <v>238</v>
      </c>
      <c r="G31" s="206"/>
      <c r="H31" s="206"/>
      <c r="I31" s="209"/>
      <c r="J31" s="206">
        <v>1</v>
      </c>
      <c r="K31" s="206"/>
      <c r="L31" s="184">
        <v>0</v>
      </c>
      <c r="M31" s="184">
        <v>0</v>
      </c>
      <c r="N31" s="184"/>
      <c r="O31" s="184"/>
      <c r="P31" s="184">
        <v>0</v>
      </c>
      <c r="Q31" s="184">
        <v>0</v>
      </c>
      <c r="R31" s="184">
        <v>0</v>
      </c>
      <c r="S31" s="184">
        <v>0</v>
      </c>
      <c r="T31" s="184">
        <v>0</v>
      </c>
      <c r="U31" s="184">
        <v>0</v>
      </c>
      <c r="V31" s="105">
        <v>0.5</v>
      </c>
      <c r="W31" s="161">
        <f>Таблица32[[#This Row],[Столбец7]]*Таблица32[[#This Row],[Ishga kelish nazoratchi2]]%</f>
        <v>0</v>
      </c>
      <c r="X31" s="131">
        <f>Таблица32[[#This Row],[Столбец7]]*Таблица32[[#This Row],[Ishga vaqtida kelish ketish]]%</f>
        <v>0</v>
      </c>
      <c r="Y31" s="131">
        <f>Таблица32[[#This Row],[Столбец7]]*Таблица32[[#This Row],[Ishga kelish bank klient]]%</f>
        <v>0</v>
      </c>
      <c r="Z31" s="131">
        <f>Таблица32[[#This Row],[Столбец7]]*Таблица32[[#This Row],[Gruppa buxgalter]]%</f>
        <v>0</v>
      </c>
      <c r="AA31" s="131">
        <f>Таблица32[[#This Row],[Столбец7]]*Таблица32[[#This Row],[Gruppa bank klient ]]%</f>
        <v>0</v>
      </c>
      <c r="AB31" s="131">
        <f>Таблица32[[#This Row],[1c]]*Таблица32[[#This Row],[Столбец7]]/100</f>
        <v>0</v>
      </c>
      <c r="AC31" s="132">
        <f>SUM(Таблица32[[#This Row],[Didox]:[ мехнат]],Таблица32[[#This Row],[Avtokameral]])*Таблица32[[#This Row],[Столбец7]]/100</f>
        <v>0</v>
      </c>
      <c r="AD31" s="132">
        <f>SUM(Таблица32[[#This Row],[Pul oqimlari]:[Foyda va zarar]])*Таблица32[[#This Row],[Столбец7]]/100</f>
        <v>0</v>
      </c>
      <c r="AE31" s="131">
        <f>Таблица32[[#This Row],[Столбец7]]*Таблица32[[#This Row],[Nazoratchi]]%</f>
        <v>0</v>
      </c>
      <c r="AF31" s="131">
        <f>Таблица32[[#This Row],[Ishga vaqtida kelish nazoratchi]]+Таблица32[[#This Row],[Nazoratchi2]]</f>
        <v>0</v>
      </c>
      <c r="AG3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31" s="131">
        <f>Таблица32[[#This Row],[Ishga kelish bank klient3]]+Таблица32[[#This Row],[Gruppa bank klient 2]]</f>
        <v>0</v>
      </c>
    </row>
    <row r="32" spans="1:34" ht="18.75" x14ac:dyDescent="0.3">
      <c r="A32" s="130">
        <v>30</v>
      </c>
      <c r="B32" s="104" t="s">
        <v>149</v>
      </c>
      <c r="C32" s="107" t="s">
        <v>217</v>
      </c>
      <c r="D32" s="104" t="s">
        <v>240</v>
      </c>
      <c r="E32" s="122">
        <v>1000000</v>
      </c>
      <c r="F32" s="104" t="s">
        <v>238</v>
      </c>
      <c r="G32" s="206"/>
      <c r="H32" s="206">
        <v>1</v>
      </c>
      <c r="I32" s="209"/>
      <c r="J32" s="206">
        <v>1</v>
      </c>
      <c r="K32" s="206">
        <v>1</v>
      </c>
      <c r="L32" s="184">
        <v>0.25</v>
      </c>
      <c r="M32" s="184">
        <v>0.25</v>
      </c>
      <c r="N32" s="184">
        <v>0.25</v>
      </c>
      <c r="O32" s="184"/>
      <c r="P32" s="184">
        <v>0.25</v>
      </c>
      <c r="Q32" s="184">
        <v>-0.2</v>
      </c>
      <c r="R32" s="184">
        <v>0.2</v>
      </c>
      <c r="S32" s="184">
        <v>-0.2</v>
      </c>
      <c r="T32" s="184">
        <v>-0.2</v>
      </c>
      <c r="U32" s="184">
        <v>-0.2</v>
      </c>
      <c r="V32" s="105">
        <v>0.5</v>
      </c>
      <c r="W32" s="161">
        <f>Таблица32[[#This Row],[Столбец7]]*Таблица32[[#This Row],[Ishga kelish nazoratchi2]]%</f>
        <v>0</v>
      </c>
      <c r="X32" s="131">
        <f>Таблица32[[#This Row],[Столбец7]]*Таблица32[[#This Row],[Ishga vaqtida kelish ketish]]%</f>
        <v>0</v>
      </c>
      <c r="Y32" s="131">
        <f>Таблица32[[#This Row],[Столбец7]]*Таблица32[[#This Row],[Ishga kelish bank klient]]%</f>
        <v>10000</v>
      </c>
      <c r="Z32" s="131">
        <f>Таблица32[[#This Row],[Столбец7]]*Таблица32[[#This Row],[Gruppa buxgalter]]%</f>
        <v>10000</v>
      </c>
      <c r="AA32" s="131">
        <f>Таблица32[[#This Row],[Столбец7]]*Таблица32[[#This Row],[Gruppa bank klient ]]%</f>
        <v>10000</v>
      </c>
      <c r="AB32" s="131">
        <f>Таблица32[[#This Row],[1c]]*Таблица32[[#This Row],[Столбец7]]/100</f>
        <v>0</v>
      </c>
      <c r="AC32" s="132">
        <f>SUM(Таблица32[[#This Row],[Didox]:[ мехнат]],Таблица32[[#This Row],[Avtokameral]])*Таблица32[[#This Row],[Столбец7]]/100</f>
        <v>10000</v>
      </c>
      <c r="AD32" s="132">
        <f>SUM(Таблица32[[#This Row],[Pul oqimlari]:[Foyda va zarar]])*Таблица32[[#This Row],[Столбец7]]/100</f>
        <v>-6000.0000000000009</v>
      </c>
      <c r="AE32" s="131">
        <f>Таблица32[[#This Row],[Столбец7]]*Таблица32[[#This Row],[Nazoratchi]]%</f>
        <v>5000</v>
      </c>
      <c r="AF32" s="131">
        <f>Таблица32[[#This Row],[Ishga vaqtida kelish nazoratchi]]+Таблица32[[#This Row],[Nazoratchi2]]</f>
        <v>5000</v>
      </c>
      <c r="AG3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14000</v>
      </c>
      <c r="AH32" s="131">
        <f>Таблица32[[#This Row],[Ishga kelish bank klient3]]+Таблица32[[#This Row],[Gruppa bank klient 2]]</f>
        <v>20000</v>
      </c>
    </row>
    <row r="33" spans="1:34" ht="18.75" x14ac:dyDescent="0.3">
      <c r="A33" s="130">
        <v>31</v>
      </c>
      <c r="B33" s="107" t="s">
        <v>336</v>
      </c>
      <c r="C33" s="104" t="s">
        <v>217</v>
      </c>
      <c r="D33" s="104" t="s">
        <v>428</v>
      </c>
      <c r="E33" s="122">
        <v>2000000</v>
      </c>
      <c r="F33" s="104" t="s">
        <v>238</v>
      </c>
      <c r="G33" s="206"/>
      <c r="H33" s="206">
        <v>1</v>
      </c>
      <c r="I33" s="209"/>
      <c r="J33" s="206">
        <v>1</v>
      </c>
      <c r="K33" s="206">
        <v>1</v>
      </c>
      <c r="L33" s="184">
        <v>0.25</v>
      </c>
      <c r="M33" s="184">
        <v>0.25</v>
      </c>
      <c r="N33" s="184">
        <v>-0.25</v>
      </c>
      <c r="O33" s="184"/>
      <c r="P33" s="184">
        <v>-0.25</v>
      </c>
      <c r="Q33" s="184">
        <v>0.2</v>
      </c>
      <c r="R33" s="184">
        <v>0.2</v>
      </c>
      <c r="S33" s="184">
        <v>0.2</v>
      </c>
      <c r="T33" s="184">
        <v>0.2</v>
      </c>
      <c r="U33" s="184">
        <v>0.2</v>
      </c>
      <c r="V33" s="105">
        <v>0.5</v>
      </c>
      <c r="W33" s="161">
        <f>Таблица32[[#This Row],[Столбец7]]*Таблица32[[#This Row],[Ishga kelish nazoratchi2]]%</f>
        <v>0</v>
      </c>
      <c r="X33" s="131">
        <f>Таблица32[[#This Row],[Столбец7]]*Таблица32[[#This Row],[Ishga vaqtida kelish ketish]]%</f>
        <v>0</v>
      </c>
      <c r="Y33" s="131">
        <f>Таблица32[[#This Row],[Столбец7]]*Таблица32[[#This Row],[Ishga kelish bank klient]]%</f>
        <v>20000</v>
      </c>
      <c r="Z33" s="131">
        <f>Таблица32[[#This Row],[Столбец7]]*Таблица32[[#This Row],[Gruppa buxgalter]]%</f>
        <v>20000</v>
      </c>
      <c r="AA33" s="131">
        <f>Таблица32[[#This Row],[Столбец7]]*Таблица32[[#This Row],[Gruppa bank klient ]]%</f>
        <v>20000</v>
      </c>
      <c r="AB33" s="131">
        <f>Таблица32[[#This Row],[1c]]*Таблица32[[#This Row],[Столбец7]]/100</f>
        <v>0</v>
      </c>
      <c r="AC33" s="132">
        <f>SUM(Таблица32[[#This Row],[Didox]:[ мехнат]],Таблица32[[#This Row],[Avtokameral]])*Таблица32[[#This Row],[Столбец7]]/100</f>
        <v>0</v>
      </c>
      <c r="AD33" s="132">
        <f>SUM(Таблица32[[#This Row],[Pul oqimlari]:[Foyda va zarar]])*Таблица32[[#This Row],[Столбец7]]/100</f>
        <v>20000</v>
      </c>
      <c r="AE33" s="131">
        <f>Таблица32[[#This Row],[Столбец7]]*Таблица32[[#This Row],[Nazoratchi]]%</f>
        <v>10000</v>
      </c>
      <c r="AF33" s="131">
        <f>Таблица32[[#This Row],[Ishga vaqtida kelish nazoratchi]]+Таблица32[[#This Row],[Nazoratchi2]]</f>
        <v>10000</v>
      </c>
      <c r="AG3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40000</v>
      </c>
      <c r="AH33" s="131">
        <f>Таблица32[[#This Row],[Ishga kelish bank klient3]]+Таблица32[[#This Row],[Gruppa bank klient 2]]</f>
        <v>40000</v>
      </c>
    </row>
    <row r="34" spans="1:34" ht="18.75" x14ac:dyDescent="0.3">
      <c r="A34" s="130">
        <v>32</v>
      </c>
      <c r="B34" s="104" t="s">
        <v>133</v>
      </c>
      <c r="C34" s="104" t="s">
        <v>335</v>
      </c>
      <c r="D34" s="104" t="s">
        <v>240</v>
      </c>
      <c r="E34" s="122">
        <v>0</v>
      </c>
      <c r="F34" s="104" t="s">
        <v>218</v>
      </c>
      <c r="G34" s="206">
        <v>-0.35</v>
      </c>
      <c r="H34" s="206">
        <v>1</v>
      </c>
      <c r="I34" s="209"/>
      <c r="J34" s="206">
        <v>1</v>
      </c>
      <c r="K34" s="206">
        <v>1</v>
      </c>
      <c r="L34" s="184">
        <v>0</v>
      </c>
      <c r="M34" s="184">
        <v>0</v>
      </c>
      <c r="N34" s="184"/>
      <c r="O34" s="184"/>
      <c r="P34" s="184">
        <v>0</v>
      </c>
      <c r="Q34" s="184">
        <v>0</v>
      </c>
      <c r="R34" s="184">
        <v>0</v>
      </c>
      <c r="S34" s="184">
        <v>0</v>
      </c>
      <c r="T34" s="184">
        <v>0</v>
      </c>
      <c r="U34" s="184">
        <v>0</v>
      </c>
      <c r="V34" s="105">
        <v>0.5</v>
      </c>
      <c r="W34" s="161">
        <f>Таблица32[[#This Row],[Столбец7]]*Таблица32[[#This Row],[Ishga kelish nazoratchi2]]%</f>
        <v>0</v>
      </c>
      <c r="X34" s="131">
        <f>Таблица32[[#This Row],[Столбец7]]*Таблица32[[#This Row],[Ishga vaqtida kelish ketish]]%</f>
        <v>0</v>
      </c>
      <c r="Y34" s="131">
        <f>Таблица32[[#This Row],[Столбец7]]*Таблица32[[#This Row],[Ishga kelish bank klient]]%</f>
        <v>0</v>
      </c>
      <c r="Z34" s="131">
        <f>Таблица32[[#This Row],[Столбец7]]*Таблица32[[#This Row],[Gruppa buxgalter]]%</f>
        <v>0</v>
      </c>
      <c r="AA34" s="131">
        <f>Таблица32[[#This Row],[Столбец7]]*Таблица32[[#This Row],[Gruppa bank klient ]]%</f>
        <v>0</v>
      </c>
      <c r="AB34" s="131">
        <f>Таблица32[[#This Row],[1c]]*Таблица32[[#This Row],[Столбец7]]/100</f>
        <v>0</v>
      </c>
      <c r="AC34" s="132">
        <f>SUM(Таблица32[[#This Row],[Didox]:[ мехнат]],Таблица32[[#This Row],[Avtokameral]])*Таблица32[[#This Row],[Столбец7]]/100</f>
        <v>0</v>
      </c>
      <c r="AD34" s="132">
        <f>SUM(Таблица32[[#This Row],[Pul oqimlari]:[Foyda va zarar]])*Таблица32[[#This Row],[Столбец7]]/100</f>
        <v>0</v>
      </c>
      <c r="AE34" s="131">
        <f>Таблица32[[#This Row],[Столбец7]]*Таблица32[[#This Row],[Nazoratchi]]%</f>
        <v>0</v>
      </c>
      <c r="AF34" s="131">
        <f>Таблица32[[#This Row],[Ishga vaqtida kelish nazoratchi]]+Таблица32[[#This Row],[Nazoratchi2]]</f>
        <v>0</v>
      </c>
      <c r="AG3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34" s="131">
        <f>Таблица32[[#This Row],[Ishga kelish bank klient3]]+Таблица32[[#This Row],[Gruppa bank klient 2]]</f>
        <v>0</v>
      </c>
    </row>
    <row r="35" spans="1:34" ht="37.5" x14ac:dyDescent="0.3">
      <c r="A35" s="130">
        <v>33</v>
      </c>
      <c r="B35" s="104" t="s">
        <v>104</v>
      </c>
      <c r="C35" s="104" t="s">
        <v>335</v>
      </c>
      <c r="D35" s="104" t="s">
        <v>428</v>
      </c>
      <c r="E35" s="122">
        <v>3500000</v>
      </c>
      <c r="F35" s="104" t="s">
        <v>218</v>
      </c>
      <c r="G35" s="206">
        <v>-0.35</v>
      </c>
      <c r="H35" s="206">
        <v>1</v>
      </c>
      <c r="I35" s="206"/>
      <c r="J35" s="206">
        <v>1</v>
      </c>
      <c r="K35" s="206">
        <v>1</v>
      </c>
      <c r="L35" s="184">
        <v>-0.25</v>
      </c>
      <c r="M35" s="184">
        <v>0.25</v>
      </c>
      <c r="N35" s="184"/>
      <c r="O35" s="184">
        <v>1</v>
      </c>
      <c r="P35" s="184">
        <v>0.25</v>
      </c>
      <c r="Q35" s="184">
        <v>0.2</v>
      </c>
      <c r="R35" s="184">
        <v>0.2</v>
      </c>
      <c r="S35" s="184">
        <v>0.2</v>
      </c>
      <c r="T35" s="184">
        <v>0.2</v>
      </c>
      <c r="U35" s="184">
        <v>0.2</v>
      </c>
      <c r="V35" s="105">
        <v>0.5</v>
      </c>
      <c r="W35" s="161">
        <f>Таблица32[[#This Row],[Столбец7]]*Таблица32[[#This Row],[Ishga kelish nazoratchi2]]%</f>
        <v>0</v>
      </c>
      <c r="X35" s="131">
        <f>Таблица32[[#This Row],[Столбец7]]*Таблица32[[#This Row],[Ishga vaqtida kelish ketish]]%</f>
        <v>-12249.999999999998</v>
      </c>
      <c r="Y35" s="131">
        <f>Таблица32[[#This Row],[Столбец7]]*Таблица32[[#This Row],[Ishga kelish bank klient]]%</f>
        <v>35000</v>
      </c>
      <c r="Z35" s="131">
        <f>Таблица32[[#This Row],[Столбец7]]*Таблица32[[#This Row],[Gruppa buxgalter]]%</f>
        <v>35000</v>
      </c>
      <c r="AA35" s="131">
        <f>Таблица32[[#This Row],[Столбец7]]*Таблица32[[#This Row],[Gruppa bank klient ]]%</f>
        <v>35000</v>
      </c>
      <c r="AB35" s="131">
        <f>Таблица32[[#This Row],[1c]]*Таблица32[[#This Row],[Столбец7]]/100</f>
        <v>35000</v>
      </c>
      <c r="AC35" s="132">
        <f>SUM(Таблица32[[#This Row],[Didox]:[ мехнат]],Таблица32[[#This Row],[Avtokameral]])*Таблица32[[#This Row],[Столбец7]]/100</f>
        <v>8750</v>
      </c>
      <c r="AD35" s="132">
        <f>SUM(Таблица32[[#This Row],[Pul oqimlari]:[Foyda va zarar]])*Таблица32[[#This Row],[Столбец7]]/100</f>
        <v>35000</v>
      </c>
      <c r="AE35" s="131">
        <f>Таблица32[[#This Row],[Столбец7]]*Таблица32[[#This Row],[Nazoratchi]]%</f>
        <v>17500</v>
      </c>
      <c r="AF35" s="131">
        <f>Таблица32[[#This Row],[Ishga vaqtida kelish nazoratchi]]+Таблица32[[#This Row],[Nazoratchi2]]</f>
        <v>17500</v>
      </c>
      <c r="AG3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101500</v>
      </c>
      <c r="AH35" s="131">
        <f>Таблица32[[#This Row],[Ishga kelish bank klient3]]+Таблица32[[#This Row],[Gruppa bank klient 2]]</f>
        <v>70000</v>
      </c>
    </row>
    <row r="36" spans="1:34" ht="37.5" x14ac:dyDescent="0.3">
      <c r="A36" s="130">
        <v>34</v>
      </c>
      <c r="B36" s="104" t="s">
        <v>173</v>
      </c>
      <c r="C36" s="104" t="s">
        <v>308</v>
      </c>
      <c r="D36" s="104"/>
      <c r="E36" s="122">
        <v>0</v>
      </c>
      <c r="F36" s="104" t="s">
        <v>218</v>
      </c>
      <c r="G36" s="206">
        <v>0.9</v>
      </c>
      <c r="H36" s="206"/>
      <c r="I36" s="206"/>
      <c r="J36" s="206">
        <v>1</v>
      </c>
      <c r="K36" s="206"/>
      <c r="L36" s="184">
        <v>0</v>
      </c>
      <c r="M36" s="184">
        <v>0</v>
      </c>
      <c r="N36" s="184"/>
      <c r="O36" s="184"/>
      <c r="P36" s="184">
        <v>0</v>
      </c>
      <c r="Q36" s="184">
        <v>0</v>
      </c>
      <c r="R36" s="184">
        <v>0</v>
      </c>
      <c r="S36" s="184">
        <v>0</v>
      </c>
      <c r="T36" s="184">
        <v>0</v>
      </c>
      <c r="U36" s="184">
        <v>0</v>
      </c>
      <c r="V36" s="105">
        <v>0.5</v>
      </c>
      <c r="W36" s="161">
        <f>Таблица32[[#This Row],[Столбец7]]*Таблица32[[#This Row],[Ishga kelish nazoratchi2]]%</f>
        <v>0</v>
      </c>
      <c r="X36" s="131">
        <f>Таблица32[[#This Row],[Столбец7]]*Таблица32[[#This Row],[Ishga vaqtida kelish ketish]]%</f>
        <v>0</v>
      </c>
      <c r="Y36" s="131">
        <f>Таблица32[[#This Row],[Столбец7]]*Таблица32[[#This Row],[Ishga kelish bank klient]]%</f>
        <v>0</v>
      </c>
      <c r="Z36" s="131">
        <f>Таблица32[[#This Row],[Столбец7]]*Таблица32[[#This Row],[Gruppa buxgalter]]%</f>
        <v>0</v>
      </c>
      <c r="AA36" s="131">
        <f>Таблица32[[#This Row],[Столбец7]]*Таблица32[[#This Row],[Gruppa bank klient ]]%</f>
        <v>0</v>
      </c>
      <c r="AB36" s="131">
        <f>Таблица32[[#This Row],[1c]]*Таблица32[[#This Row],[Столбец7]]/100</f>
        <v>0</v>
      </c>
      <c r="AC36" s="132">
        <f>SUM(Таблица32[[#This Row],[Didox]:[ мехнат]],Таблица32[[#This Row],[Avtokameral]])*Таблица32[[#This Row],[Столбец7]]/100</f>
        <v>0</v>
      </c>
      <c r="AD36" s="132">
        <f>SUM(Таблица32[[#This Row],[Pul oqimlari]:[Foyda va zarar]])*Таблица32[[#This Row],[Столбец7]]/100</f>
        <v>0</v>
      </c>
      <c r="AE36" s="131">
        <f>Таблица32[[#This Row],[Столбец7]]*Таблица32[[#This Row],[Nazoratchi]]%</f>
        <v>0</v>
      </c>
      <c r="AF36" s="131">
        <f>Таблица32[[#This Row],[Ishga vaqtida kelish nazoratchi]]+Таблица32[[#This Row],[Nazoratchi2]]</f>
        <v>0</v>
      </c>
      <c r="AG3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36" s="131">
        <f>Таблица32[[#This Row],[Ishga kelish bank klient3]]+Таблица32[[#This Row],[Gruppa bank klient 2]]</f>
        <v>0</v>
      </c>
    </row>
    <row r="37" spans="1:34" ht="18.75" x14ac:dyDescent="0.3">
      <c r="A37" s="130">
        <v>35</v>
      </c>
      <c r="B37" s="104" t="s">
        <v>300</v>
      </c>
      <c r="C37" s="104" t="s">
        <v>219</v>
      </c>
      <c r="D37" s="104" t="s">
        <v>240</v>
      </c>
      <c r="E37" s="122">
        <v>1500000</v>
      </c>
      <c r="F37" s="104" t="s">
        <v>218</v>
      </c>
      <c r="G37" s="206"/>
      <c r="H37" s="206">
        <v>1</v>
      </c>
      <c r="I37" s="206"/>
      <c r="J37" s="206">
        <v>1</v>
      </c>
      <c r="K37" s="206">
        <v>1</v>
      </c>
      <c r="L37" s="184">
        <v>-0.25</v>
      </c>
      <c r="M37" s="184">
        <v>-0.25</v>
      </c>
      <c r="N37" s="184"/>
      <c r="O37" s="184"/>
      <c r="P37" s="184">
        <v>0.25</v>
      </c>
      <c r="Q37" s="184">
        <v>0</v>
      </c>
      <c r="R37" s="184">
        <v>0.2</v>
      </c>
      <c r="S37" s="184">
        <v>0.2</v>
      </c>
      <c r="T37" s="184">
        <v>0.2</v>
      </c>
      <c r="U37" s="184">
        <v>0.2</v>
      </c>
      <c r="V37" s="105">
        <v>0.5</v>
      </c>
      <c r="W37" s="161">
        <f>Таблица32[[#This Row],[Столбец7]]*Таблица32[[#This Row],[Ishga kelish nazoratchi2]]%</f>
        <v>0</v>
      </c>
      <c r="X37" s="131">
        <f>Таблица32[[#This Row],[Столбец7]]*Таблица32[[#This Row],[Ishga vaqtida kelish ketish]]%</f>
        <v>0</v>
      </c>
      <c r="Y37" s="131">
        <f>Таблица32[[#This Row],[Столбец7]]*Таблица32[[#This Row],[Ishga kelish bank klient]]%</f>
        <v>15000</v>
      </c>
      <c r="Z37" s="131">
        <f>Таблица32[[#This Row],[Столбец7]]*Таблица32[[#This Row],[Gruppa buxgalter]]%</f>
        <v>15000</v>
      </c>
      <c r="AA37" s="131">
        <f>Таблица32[[#This Row],[Столбец7]]*Таблица32[[#This Row],[Gruppa bank klient ]]%</f>
        <v>15000</v>
      </c>
      <c r="AB37" s="131">
        <f>Таблица32[[#This Row],[1c]]*Таблица32[[#This Row],[Столбец7]]/100</f>
        <v>0</v>
      </c>
      <c r="AC37" s="132">
        <f>SUM(Таблица32[[#This Row],[Didox]:[ мехнат]],Таблица32[[#This Row],[Avtokameral]])*Таблица32[[#This Row],[Столбец7]]/100</f>
        <v>-3750</v>
      </c>
      <c r="AD37" s="132">
        <f>SUM(Таблица32[[#This Row],[Pul oqimlari]:[Foyda va zarar]])*Таблица32[[#This Row],[Столбец7]]/100</f>
        <v>12000</v>
      </c>
      <c r="AE37" s="131">
        <f>Таблица32[[#This Row],[Столбец7]]*Таблица32[[#This Row],[Nazoratchi]]%</f>
        <v>7500</v>
      </c>
      <c r="AF37" s="131">
        <f>Таблица32[[#This Row],[Ishga vaqtida kelish nazoratchi]]+Таблица32[[#This Row],[Nazoratchi2]]</f>
        <v>7500</v>
      </c>
      <c r="AG3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23250</v>
      </c>
      <c r="AH37" s="131">
        <f>Таблица32[[#This Row],[Ishga kelish bank klient3]]+Таблица32[[#This Row],[Gruppa bank klient 2]]</f>
        <v>30000</v>
      </c>
    </row>
    <row r="38" spans="1:34" ht="18.75" x14ac:dyDescent="0.3">
      <c r="A38" s="130">
        <v>36</v>
      </c>
      <c r="B38" s="104" t="s">
        <v>318</v>
      </c>
      <c r="C38" s="104" t="s">
        <v>217</v>
      </c>
      <c r="D38" s="104" t="s">
        <v>240</v>
      </c>
      <c r="E38" s="122">
        <v>2000000</v>
      </c>
      <c r="F38" s="104" t="s">
        <v>238</v>
      </c>
      <c r="G38" s="206"/>
      <c r="H38" s="206">
        <v>1</v>
      </c>
      <c r="I38" s="206"/>
      <c r="J38" s="206">
        <v>1</v>
      </c>
      <c r="K38" s="206">
        <v>1</v>
      </c>
      <c r="L38" s="184">
        <v>0.25</v>
      </c>
      <c r="M38" s="184">
        <v>0.25</v>
      </c>
      <c r="N38" s="184">
        <v>0.25</v>
      </c>
      <c r="O38" s="184"/>
      <c r="P38" s="184">
        <v>0.25</v>
      </c>
      <c r="Q38" s="184">
        <v>-0.2</v>
      </c>
      <c r="R38" s="184">
        <v>-0.2</v>
      </c>
      <c r="S38" s="184">
        <v>-0.2</v>
      </c>
      <c r="T38" s="184">
        <v>-0.2</v>
      </c>
      <c r="U38" s="184">
        <v>-0.2</v>
      </c>
      <c r="V38" s="105">
        <v>0.5</v>
      </c>
      <c r="W38" s="161">
        <f>Таблица32[[#This Row],[Столбец7]]*Таблица32[[#This Row],[Ishga kelish nazoratchi2]]%</f>
        <v>0</v>
      </c>
      <c r="X38" s="131">
        <f>Таблица32[[#This Row],[Столбец7]]*Таблица32[[#This Row],[Ishga vaqtida kelish ketish]]%</f>
        <v>0</v>
      </c>
      <c r="Y38" s="131">
        <f>Таблица32[[#This Row],[Столбец7]]*Таблица32[[#This Row],[Ishga kelish bank klient]]%</f>
        <v>20000</v>
      </c>
      <c r="Z38" s="131">
        <f>Таблица32[[#This Row],[Столбец7]]*Таблица32[[#This Row],[Gruppa buxgalter]]%</f>
        <v>20000</v>
      </c>
      <c r="AA38" s="131">
        <f>Таблица32[[#This Row],[Столбец7]]*Таблица32[[#This Row],[Gruppa bank klient ]]%</f>
        <v>20000</v>
      </c>
      <c r="AB38" s="131">
        <f>Таблица32[[#This Row],[1c]]*Таблица32[[#This Row],[Столбец7]]/100</f>
        <v>0</v>
      </c>
      <c r="AC38" s="132">
        <f>SUM(Таблица32[[#This Row],[Didox]:[ мехнат]],Таблица32[[#This Row],[Avtokameral]])*Таблица32[[#This Row],[Столбец7]]/100</f>
        <v>20000</v>
      </c>
      <c r="AD38" s="132">
        <f>SUM(Таблица32[[#This Row],[Pul oqimlari]:[Foyda va zarar]])*Таблица32[[#This Row],[Столбец7]]/100</f>
        <v>-20000</v>
      </c>
      <c r="AE38" s="131">
        <f>Таблица32[[#This Row],[Столбец7]]*Таблица32[[#This Row],[Nazoratchi]]%</f>
        <v>10000</v>
      </c>
      <c r="AF38" s="131">
        <f>Таблица32[[#This Row],[Ishga vaqtida kelish nazoratchi]]+Таблица32[[#This Row],[Nazoratchi2]]</f>
        <v>10000</v>
      </c>
      <c r="AG3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20000</v>
      </c>
      <c r="AH38" s="131">
        <f>Таблица32[[#This Row],[Ishga kelish bank klient3]]+Таблица32[[#This Row],[Gruppa bank klient 2]]</f>
        <v>40000</v>
      </c>
    </row>
    <row r="39" spans="1:34" ht="37.5" x14ac:dyDescent="0.3">
      <c r="A39" s="130">
        <v>37</v>
      </c>
      <c r="B39" s="104" t="s">
        <v>147</v>
      </c>
      <c r="C39" s="106" t="s">
        <v>468</v>
      </c>
      <c r="D39" s="104" t="s">
        <v>428</v>
      </c>
      <c r="E39" s="122">
        <v>700000</v>
      </c>
      <c r="F39" s="104" t="s">
        <v>238</v>
      </c>
      <c r="G39" s="206"/>
      <c r="H39" s="206">
        <v>1</v>
      </c>
      <c r="I39" s="206"/>
      <c r="J39" s="206">
        <v>1</v>
      </c>
      <c r="K39" s="206">
        <v>1</v>
      </c>
      <c r="L39" s="184">
        <v>0.25</v>
      </c>
      <c r="M39" s="184">
        <v>0.25</v>
      </c>
      <c r="N39" s="184"/>
      <c r="O39" s="184">
        <v>1</v>
      </c>
      <c r="P39" s="184">
        <v>0.25</v>
      </c>
      <c r="Q39" s="184">
        <v>0.2</v>
      </c>
      <c r="R39" s="184">
        <v>0.2</v>
      </c>
      <c r="S39" s="184">
        <v>0.2</v>
      </c>
      <c r="T39" s="184">
        <v>0.2</v>
      </c>
      <c r="U39" s="184">
        <v>0.2</v>
      </c>
      <c r="V39" s="105">
        <v>0.5</v>
      </c>
      <c r="W39" s="161">
        <f>Таблица32[[#This Row],[Столбец7]]*Таблица32[[#This Row],[Ishga kelish nazoratchi2]]%</f>
        <v>0</v>
      </c>
      <c r="X39" s="131">
        <f>Таблица32[[#This Row],[Столбец7]]*Таблица32[[#This Row],[Ishga vaqtida kelish ketish]]%</f>
        <v>0</v>
      </c>
      <c r="Y39" s="131">
        <f>Таблица32[[#This Row],[Столбец7]]*Таблица32[[#This Row],[Ishga kelish bank klient]]%</f>
        <v>7000</v>
      </c>
      <c r="Z39" s="131">
        <f>Таблица32[[#This Row],[Столбец7]]*Таблица32[[#This Row],[Gruppa buxgalter]]%</f>
        <v>7000</v>
      </c>
      <c r="AA39" s="131">
        <f>Таблица32[[#This Row],[Столбец7]]*Таблица32[[#This Row],[Gruppa bank klient ]]%</f>
        <v>7000</v>
      </c>
      <c r="AB39" s="131">
        <f>Таблица32[[#This Row],[1c]]*Таблица32[[#This Row],[Столбец7]]/100</f>
        <v>7000</v>
      </c>
      <c r="AC39" s="132">
        <f>SUM(Таблица32[[#This Row],[Didox]:[ мехнат]],Таблица32[[#This Row],[Avtokameral]])*Таблица32[[#This Row],[Столбец7]]/100</f>
        <v>5250</v>
      </c>
      <c r="AD39" s="132">
        <f>SUM(Таблица32[[#This Row],[Pul oqimlari]:[Foyda va zarar]])*Таблица32[[#This Row],[Столбец7]]/100</f>
        <v>7000</v>
      </c>
      <c r="AE39" s="131">
        <f>Таблица32[[#This Row],[Столбец7]]*Таблица32[[#This Row],[Nazoratchi]]%</f>
        <v>3500</v>
      </c>
      <c r="AF39" s="131">
        <f>Таблица32[[#This Row],[Ishga vaqtida kelish nazoratchi]]+Таблица32[[#This Row],[Nazoratchi2]]</f>
        <v>3500</v>
      </c>
      <c r="AG3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26250</v>
      </c>
      <c r="AH39" s="131">
        <f>Таблица32[[#This Row],[Ishga kelish bank klient3]]+Таблица32[[#This Row],[Gruppa bank klient 2]]</f>
        <v>14000</v>
      </c>
    </row>
    <row r="40" spans="1:34" ht="48" customHeight="1" x14ac:dyDescent="0.3">
      <c r="A40" s="130">
        <v>38</v>
      </c>
      <c r="B40" s="104" t="s">
        <v>154</v>
      </c>
      <c r="C40" s="104" t="s">
        <v>468</v>
      </c>
      <c r="D40" s="104" t="s">
        <v>428</v>
      </c>
      <c r="E40" s="122">
        <v>500000</v>
      </c>
      <c r="F40" s="104" t="s">
        <v>238</v>
      </c>
      <c r="G40" s="206"/>
      <c r="H40" s="206">
        <v>1</v>
      </c>
      <c r="I40" s="206"/>
      <c r="J40" s="206">
        <v>1</v>
      </c>
      <c r="K40" s="206">
        <v>1</v>
      </c>
      <c r="L40" s="184">
        <v>0.25</v>
      </c>
      <c r="M40" s="184">
        <v>0.25</v>
      </c>
      <c r="N40" s="184"/>
      <c r="O40" s="184"/>
      <c r="P40" s="184">
        <v>0.25</v>
      </c>
      <c r="Q40" s="184">
        <v>0</v>
      </c>
      <c r="R40" s="184">
        <v>0</v>
      </c>
      <c r="S40" s="184">
        <v>0</v>
      </c>
      <c r="T40" s="184">
        <v>0</v>
      </c>
      <c r="U40" s="184">
        <v>0</v>
      </c>
      <c r="V40" s="105">
        <v>0.5</v>
      </c>
      <c r="W40" s="161">
        <f>Таблица32[[#This Row],[Столбец7]]*Таблица32[[#This Row],[Ishga kelish nazoratchi2]]%</f>
        <v>0</v>
      </c>
      <c r="X40" s="131">
        <f>Таблица32[[#This Row],[Столбец7]]*Таблица32[[#This Row],[Ishga vaqtida kelish ketish]]%</f>
        <v>0</v>
      </c>
      <c r="Y40" s="131">
        <f>Таблица32[[#This Row],[Столбец7]]*Таблица32[[#This Row],[Ishga kelish bank klient]]%</f>
        <v>5000</v>
      </c>
      <c r="Z40" s="131">
        <f>Таблица32[[#This Row],[Столбец7]]*Таблица32[[#This Row],[Gruppa buxgalter]]%</f>
        <v>5000</v>
      </c>
      <c r="AA40" s="131">
        <f>Таблица32[[#This Row],[Столбец7]]*Таблица32[[#This Row],[Gruppa bank klient ]]%</f>
        <v>5000</v>
      </c>
      <c r="AB40" s="131">
        <f>Таблица32[[#This Row],[1c]]*Таблица32[[#This Row],[Столбец7]]/100</f>
        <v>0</v>
      </c>
      <c r="AC40" s="132">
        <f>SUM(Таблица32[[#This Row],[Didox]:[ мехнат]],Таблица32[[#This Row],[Avtokameral]])*Таблица32[[#This Row],[Столбец7]]/100</f>
        <v>3750</v>
      </c>
      <c r="AD40" s="132">
        <f>SUM(Таблица32[[#This Row],[Pul oqimlari]:[Foyda va zarar]])*Таблица32[[#This Row],[Столбец7]]/100</f>
        <v>0</v>
      </c>
      <c r="AE40" s="131">
        <f>Таблица32[[#This Row],[Столбец7]]*Таблица32[[#This Row],[Nazoratchi]]%</f>
        <v>2500</v>
      </c>
      <c r="AF40" s="131">
        <f>Таблица32[[#This Row],[Ishga vaqtida kelish nazoratchi]]+Таблица32[[#This Row],[Nazoratchi2]]</f>
        <v>2500</v>
      </c>
      <c r="AG4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40" s="131">
        <f>Таблица32[[#This Row],[Ishga kelish bank klient3]]+Таблица32[[#This Row],[Gruppa bank klient 2]]</f>
        <v>10000</v>
      </c>
    </row>
    <row r="41" spans="1:34" ht="37.5" x14ac:dyDescent="0.3">
      <c r="A41" s="130">
        <v>39</v>
      </c>
      <c r="B41" s="104" t="s">
        <v>212</v>
      </c>
      <c r="C41" s="107" t="s">
        <v>394</v>
      </c>
      <c r="D41" s="104" t="s">
        <v>240</v>
      </c>
      <c r="E41" s="122">
        <v>1000000</v>
      </c>
      <c r="F41" s="104" t="s">
        <v>218</v>
      </c>
      <c r="G41" s="206"/>
      <c r="H41" s="206">
        <v>1</v>
      </c>
      <c r="I41" s="209"/>
      <c r="J41" s="206">
        <v>1</v>
      </c>
      <c r="K41" s="206">
        <v>1</v>
      </c>
      <c r="L41" s="184">
        <v>0.25</v>
      </c>
      <c r="M41" s="184">
        <v>0.25</v>
      </c>
      <c r="N41" s="184"/>
      <c r="O41" s="184">
        <v>1</v>
      </c>
      <c r="P41" s="184">
        <v>0.25</v>
      </c>
      <c r="Q41" s="184">
        <v>0.2</v>
      </c>
      <c r="R41" s="184">
        <v>0.2</v>
      </c>
      <c r="S41" s="184">
        <v>0.2</v>
      </c>
      <c r="T41" s="184">
        <v>-0.2</v>
      </c>
      <c r="U41" s="184">
        <v>-0.2</v>
      </c>
      <c r="V41" s="105">
        <v>0.5</v>
      </c>
      <c r="W41" s="161">
        <f>Таблица32[[#This Row],[Столбец7]]*Таблица32[[#This Row],[Ishga kelish nazoratchi2]]%</f>
        <v>0</v>
      </c>
      <c r="X41" s="131">
        <f>Таблица32[[#This Row],[Столбец7]]*Таблица32[[#This Row],[Ishga vaqtida kelish ketish]]%</f>
        <v>0</v>
      </c>
      <c r="Y41" s="131">
        <f>Таблица32[[#This Row],[Столбец7]]*Таблица32[[#This Row],[Ishga kelish bank klient]]%</f>
        <v>10000</v>
      </c>
      <c r="Z41" s="131">
        <f>Таблица32[[#This Row],[Столбец7]]*Таблица32[[#This Row],[Gruppa buxgalter]]%</f>
        <v>10000</v>
      </c>
      <c r="AA41" s="131">
        <f>Таблица32[[#This Row],[Столбец7]]*Таблица32[[#This Row],[Gruppa bank klient ]]%</f>
        <v>10000</v>
      </c>
      <c r="AB41" s="131">
        <f>Таблица32[[#This Row],[1c]]*Таблица32[[#This Row],[Столбец7]]/100</f>
        <v>10000</v>
      </c>
      <c r="AC41" s="132">
        <f>SUM(Таблица32[[#This Row],[Didox]:[ мехнат]],Таблица32[[#This Row],[Avtokameral]])*Таблица32[[#This Row],[Столбец7]]/100</f>
        <v>7500</v>
      </c>
      <c r="AD41" s="132">
        <f>SUM(Таблица32[[#This Row],[Pul oqimlari]:[Foyda va zarar]])*Таблица32[[#This Row],[Столбец7]]/100</f>
        <v>2000.0000000000007</v>
      </c>
      <c r="AE41" s="131">
        <f>Таблица32[[#This Row],[Столбец7]]*Таблица32[[#This Row],[Nazoratchi]]%</f>
        <v>5000</v>
      </c>
      <c r="AF41" s="131">
        <f>Таблица32[[#This Row],[Ishga vaqtida kelish nazoratchi]]+Таблица32[[#This Row],[Nazoratchi2]]</f>
        <v>5000</v>
      </c>
      <c r="AG4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29500</v>
      </c>
      <c r="AH41" s="131">
        <f>Таблица32[[#This Row],[Ishga kelish bank klient3]]+Таблица32[[#This Row],[Gruppa bank klient 2]]</f>
        <v>20000</v>
      </c>
    </row>
    <row r="42" spans="1:34" ht="37.5" x14ac:dyDescent="0.3">
      <c r="A42" s="130">
        <v>40</v>
      </c>
      <c r="B42" s="104" t="s">
        <v>129</v>
      </c>
      <c r="C42" s="104" t="s">
        <v>224</v>
      </c>
      <c r="D42" s="104" t="s">
        <v>240</v>
      </c>
      <c r="E42" s="122">
        <v>800000</v>
      </c>
      <c r="F42" s="104" t="s">
        <v>218</v>
      </c>
      <c r="G42" s="206"/>
      <c r="H42" s="206">
        <v>1</v>
      </c>
      <c r="I42" s="209"/>
      <c r="J42" s="206">
        <v>1</v>
      </c>
      <c r="K42" s="206">
        <v>1</v>
      </c>
      <c r="L42" s="184">
        <v>0.25</v>
      </c>
      <c r="M42" s="184">
        <v>0.25</v>
      </c>
      <c r="N42" s="184">
        <v>0.25</v>
      </c>
      <c r="O42" s="184">
        <v>1</v>
      </c>
      <c r="P42" s="184">
        <v>0.25</v>
      </c>
      <c r="Q42" s="184">
        <v>0.2</v>
      </c>
      <c r="R42" s="184">
        <v>0.2</v>
      </c>
      <c r="S42" s="184">
        <v>0.2</v>
      </c>
      <c r="T42" s="184">
        <v>0.2</v>
      </c>
      <c r="U42" s="184">
        <v>0</v>
      </c>
      <c r="V42" s="105">
        <v>0.5</v>
      </c>
      <c r="W42" s="161">
        <f>Таблица32[[#This Row],[Столбец7]]*Таблица32[[#This Row],[Ishga kelish nazoratchi2]]%</f>
        <v>0</v>
      </c>
      <c r="X42" s="131">
        <f>Таблица32[[#This Row],[Столбец7]]*Таблица32[[#This Row],[Ishga vaqtida kelish ketish]]%</f>
        <v>0</v>
      </c>
      <c r="Y42" s="131">
        <f>Таблица32[[#This Row],[Столбец7]]*Таблица32[[#This Row],[Ishga kelish bank klient]]%</f>
        <v>8000</v>
      </c>
      <c r="Z42" s="131">
        <f>Таблица32[[#This Row],[Столбец7]]*Таблица32[[#This Row],[Gruppa buxgalter]]%</f>
        <v>8000</v>
      </c>
      <c r="AA42" s="131">
        <f>Таблица32[[#This Row],[Столбец7]]*Таблица32[[#This Row],[Gruppa bank klient ]]%</f>
        <v>8000</v>
      </c>
      <c r="AB42" s="131">
        <f>Таблица32[[#This Row],[1c]]*Таблица32[[#This Row],[Столбец7]]/100</f>
        <v>8000</v>
      </c>
      <c r="AC42" s="132">
        <f>SUM(Таблица32[[#This Row],[Didox]:[ мехнат]],Таблица32[[#This Row],[Avtokameral]])*Таблица32[[#This Row],[Столбец7]]/100</f>
        <v>8000</v>
      </c>
      <c r="AD42" s="132">
        <f>SUM(Таблица32[[#This Row],[Pul oqimlari]:[Foyda va zarar]])*Таблица32[[#This Row],[Столбец7]]/100</f>
        <v>6400</v>
      </c>
      <c r="AE42" s="131">
        <f>Таблица32[[#This Row],[Столбец7]]*Таблица32[[#This Row],[Nazoratchi]]%</f>
        <v>4000</v>
      </c>
      <c r="AF42" s="131">
        <f>Таблица32[[#This Row],[Ishga vaqtida kelish nazoratchi]]+Таблица32[[#This Row],[Nazoratchi2]]</f>
        <v>4000</v>
      </c>
      <c r="AG4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30400</v>
      </c>
      <c r="AH42" s="131">
        <f>Таблица32[[#This Row],[Ishga kelish bank klient3]]+Таблица32[[#This Row],[Gruppa bank klient 2]]</f>
        <v>16000</v>
      </c>
    </row>
    <row r="43" spans="1:34" ht="36" x14ac:dyDescent="0.35">
      <c r="A43" s="130">
        <v>41</v>
      </c>
      <c r="B43" s="104" t="s">
        <v>137</v>
      </c>
      <c r="C43" s="104" t="s">
        <v>224</v>
      </c>
      <c r="D43" s="104" t="s">
        <v>240</v>
      </c>
      <c r="E43" s="122">
        <v>500000</v>
      </c>
      <c r="F43" s="104" t="s">
        <v>218</v>
      </c>
      <c r="G43" s="206"/>
      <c r="H43" s="206">
        <v>1</v>
      </c>
      <c r="I43" s="206"/>
      <c r="J43" s="206">
        <v>1</v>
      </c>
      <c r="K43" s="206">
        <v>1</v>
      </c>
      <c r="L43" s="184">
        <v>0.25</v>
      </c>
      <c r="M43" s="184">
        <v>0.25</v>
      </c>
      <c r="N43" s="184">
        <v>0.25</v>
      </c>
      <c r="O43" s="184">
        <v>1</v>
      </c>
      <c r="P43" s="184">
        <v>0.25</v>
      </c>
      <c r="Q43" s="184">
        <v>0.2</v>
      </c>
      <c r="R43" s="184">
        <v>0.2</v>
      </c>
      <c r="S43" s="184">
        <v>0.2</v>
      </c>
      <c r="T43" s="184">
        <v>0.2</v>
      </c>
      <c r="U43" s="184">
        <v>0</v>
      </c>
      <c r="V43" s="105">
        <v>0.5</v>
      </c>
      <c r="W43" s="161">
        <f>Таблица32[[#This Row],[Столбец7]]*Таблица32[[#This Row],[Ishga kelish nazoratchi2]]%</f>
        <v>0</v>
      </c>
      <c r="X43" s="131">
        <f>Таблица32[[#This Row],[Столбец7]]*Таблица32[[#This Row],[Ishga vaqtida kelish ketish]]%</f>
        <v>0</v>
      </c>
      <c r="Y43" s="131">
        <f>Таблица32[[#This Row],[Столбец7]]*Таблица32[[#This Row],[Ishga kelish bank klient]]%</f>
        <v>5000</v>
      </c>
      <c r="Z43" s="131">
        <f>Таблица32[[#This Row],[Столбец7]]*Таблица32[[#This Row],[Gruppa buxgalter]]%</f>
        <v>5000</v>
      </c>
      <c r="AA43" s="131">
        <f>Таблица32[[#This Row],[Столбец7]]*Таблица32[[#This Row],[Gruppa bank klient ]]%</f>
        <v>5000</v>
      </c>
      <c r="AB43" s="131">
        <f>Таблица32[[#This Row],[1c]]*Таблица32[[#This Row],[Столбец7]]/100</f>
        <v>5000</v>
      </c>
      <c r="AC43" s="132">
        <f>SUM(Таблица32[[#This Row],[Didox]:[ мехнат]],Таблица32[[#This Row],[Avtokameral]])*Таблица32[[#This Row],[Столбец7]]/100</f>
        <v>5000</v>
      </c>
      <c r="AD43" s="132">
        <f>SUM(Таблица32[[#This Row],[Pul oqimlari]:[Foyda va zarar]])*Таблица32[[#This Row],[Столбец7]]/100</f>
        <v>4000</v>
      </c>
      <c r="AE43" s="131">
        <f>Таблица32[[#This Row],[Столбец7]]*Таблица32[[#This Row],[Nazoratchi]]%</f>
        <v>2500</v>
      </c>
      <c r="AF43" s="131">
        <f>Таблица32[[#This Row],[Ishga vaqtida kelish nazoratchi]]+Таблица32[[#This Row],[Nazoratchi2]]</f>
        <v>2500</v>
      </c>
      <c r="AG4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19000</v>
      </c>
      <c r="AH43" s="131">
        <f>Таблица32[[#This Row],[Ishga kelish bank klient3]]+Таблица32[[#This Row],[Gruppa bank klient 2]]</f>
        <v>10000</v>
      </c>
    </row>
    <row r="44" spans="1:34" ht="18.75" x14ac:dyDescent="0.3">
      <c r="A44" s="130">
        <v>42</v>
      </c>
      <c r="B44" s="104" t="s">
        <v>107</v>
      </c>
      <c r="C44" s="104" t="s">
        <v>434</v>
      </c>
      <c r="D44" s="104" t="s">
        <v>428</v>
      </c>
      <c r="E44" s="122">
        <v>1500000</v>
      </c>
      <c r="F44" s="104" t="s">
        <v>238</v>
      </c>
      <c r="G44" s="206">
        <v>-0.05</v>
      </c>
      <c r="H44" s="206">
        <v>1</v>
      </c>
      <c r="I44" s="209"/>
      <c r="J44" s="206">
        <v>1</v>
      </c>
      <c r="K44" s="206">
        <v>1</v>
      </c>
      <c r="L44" s="184">
        <v>0.25</v>
      </c>
      <c r="M44" s="184">
        <v>0.25</v>
      </c>
      <c r="N44" s="184"/>
      <c r="O44" s="184"/>
      <c r="P44" s="184">
        <v>0.25</v>
      </c>
      <c r="Q44" s="184">
        <v>-0.2</v>
      </c>
      <c r="R44" s="184">
        <v>0.2</v>
      </c>
      <c r="S44" s="184">
        <v>-0.2</v>
      </c>
      <c r="T44" s="184">
        <v>-0.2</v>
      </c>
      <c r="U44" s="184">
        <v>-0.2</v>
      </c>
      <c r="V44" s="105">
        <v>0.5</v>
      </c>
      <c r="W44" s="161">
        <f>Таблица32[[#This Row],[Столбец7]]*Таблица32[[#This Row],[Ishga kelish nazoratchi2]]%</f>
        <v>0</v>
      </c>
      <c r="X44" s="131">
        <f>Таблица32[[#This Row],[Столбец7]]*Таблица32[[#This Row],[Ishga vaqtida kelish ketish]]%</f>
        <v>-750</v>
      </c>
      <c r="Y44" s="131">
        <f>Таблица32[[#This Row],[Столбец7]]*Таблица32[[#This Row],[Ishga kelish bank klient]]%</f>
        <v>15000</v>
      </c>
      <c r="Z44" s="131">
        <f>Таблица32[[#This Row],[Столбец7]]*Таблица32[[#This Row],[Gruppa buxgalter]]%</f>
        <v>15000</v>
      </c>
      <c r="AA44" s="131">
        <f>Таблица32[[#This Row],[Столбец7]]*Таблица32[[#This Row],[Gruppa bank klient ]]%</f>
        <v>15000</v>
      </c>
      <c r="AB44" s="131">
        <f>Таблица32[[#This Row],[1c]]*Таблица32[[#This Row],[Столбец7]]/100</f>
        <v>0</v>
      </c>
      <c r="AC44" s="132">
        <f>SUM(Таблица32[[#This Row],[Didox]:[ мехнат]],Таблица32[[#This Row],[Avtokameral]])*Таблица32[[#This Row],[Столбец7]]/100</f>
        <v>11250</v>
      </c>
      <c r="AD44" s="132">
        <f>SUM(Таблица32[[#This Row],[Pul oqimlari]:[Foyda va zarar]])*Таблица32[[#This Row],[Столбец7]]/100</f>
        <v>-9000.0000000000018</v>
      </c>
      <c r="AE44" s="131">
        <f>Таблица32[[#This Row],[Столбец7]]*Таблица32[[#This Row],[Nazoratchi]]%</f>
        <v>7500</v>
      </c>
      <c r="AF44" s="131">
        <f>Таблица32[[#This Row],[Ishga vaqtida kelish nazoratchi]]+Таблица32[[#This Row],[Nazoratchi2]]</f>
        <v>7500</v>
      </c>
      <c r="AG44" s="132">
        <f>Таблица32[[#This Row],[Ishga vaqtida kelish ketish2]]+Таблица32[[#This Row],[Gruppa buxgalter4]]+Таблица32[[#This Row],[1C baza3]]+Таблица32[[#This Row],[xatlar4]]+Таблица32[[#This Row],[Belgilangan otchetlar5]]</f>
        <v>16500</v>
      </c>
      <c r="AH44" s="131">
        <f>Таблица32[[#This Row],[Ishga kelish bank klient3]]+Таблица32[[#This Row],[Gruppa bank klient 2]]</f>
        <v>30000</v>
      </c>
    </row>
    <row r="45" spans="1:34" ht="18.75" x14ac:dyDescent="0.3">
      <c r="A45" s="130">
        <v>43</v>
      </c>
      <c r="B45" s="107" t="s">
        <v>142</v>
      </c>
      <c r="C45" s="104" t="s">
        <v>428</v>
      </c>
      <c r="D45" s="104" t="s">
        <v>428</v>
      </c>
      <c r="E45" s="122">
        <v>400000</v>
      </c>
      <c r="F45" s="104" t="s">
        <v>218</v>
      </c>
      <c r="G45" s="206"/>
      <c r="H45" s="206">
        <v>1</v>
      </c>
      <c r="I45" s="206"/>
      <c r="J45" s="206"/>
      <c r="K45" s="206">
        <v>1</v>
      </c>
      <c r="L45" s="184">
        <v>-0.25</v>
      </c>
      <c r="M45" s="184">
        <v>0.25</v>
      </c>
      <c r="N45" s="184"/>
      <c r="O45" s="184"/>
      <c r="P45" s="184">
        <v>0.25</v>
      </c>
      <c r="Q45" s="184">
        <v>0</v>
      </c>
      <c r="R45" s="184">
        <v>0</v>
      </c>
      <c r="S45" s="184">
        <v>0</v>
      </c>
      <c r="T45" s="184">
        <v>0</v>
      </c>
      <c r="U45" s="184">
        <v>0</v>
      </c>
      <c r="V45" s="105"/>
      <c r="W45" s="161">
        <f>Таблица32[[#This Row],[Столбец7]]*Таблица32[[#This Row],[Ishga kelish nazoratchi2]]%</f>
        <v>0</v>
      </c>
      <c r="X45" s="131">
        <f>Таблица32[[#This Row],[Столбец7]]*Таблица32[[#This Row],[Ishga vaqtida kelish ketish]]%</f>
        <v>0</v>
      </c>
      <c r="Y45" s="131">
        <f>Таблица32[[#This Row],[Столбец7]]*Таблица32[[#This Row],[Ishga kelish bank klient]]%</f>
        <v>4000</v>
      </c>
      <c r="Z45" s="131">
        <f>Таблица32[[#This Row],[Столбец7]]*Таблица32[[#This Row],[Gruppa buxgalter]]%</f>
        <v>0</v>
      </c>
      <c r="AA45" s="131">
        <f>Таблица32[[#This Row],[Столбец7]]*Таблица32[[#This Row],[Gruppa bank klient ]]%</f>
        <v>4000</v>
      </c>
      <c r="AB45" s="131">
        <f>Таблица32[[#This Row],[1c]]*Таблица32[[#This Row],[Столбец7]]/100</f>
        <v>0</v>
      </c>
      <c r="AC45" s="132">
        <f>SUM(Таблица32[[#This Row],[Didox]:[ мехнат]],Таблица32[[#This Row],[Avtokameral]])*Таблица32[[#This Row],[Столбец7]]/100</f>
        <v>1000</v>
      </c>
      <c r="AD45" s="132">
        <f>SUM(Таблица32[[#This Row],[Pul oqimlari]:[Foyda va zarar]])*Таблица32[[#This Row],[Столбец7]]/100</f>
        <v>0</v>
      </c>
      <c r="AE45" s="131">
        <f>Таблица32[[#This Row],[Столбец7]]*Таблица32[[#This Row],[Nazoratchi]]%</f>
        <v>0</v>
      </c>
      <c r="AF45" s="131">
        <f>Таблица32[[#This Row],[Ishga vaqtida kelish nazoratchi]]+Таблица32[[#This Row],[Nazoratchi2]]</f>
        <v>0</v>
      </c>
      <c r="AG4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1000</v>
      </c>
      <c r="AH45" s="131">
        <f>Таблица32[[#This Row],[Ishga kelish bank klient3]]+Таблица32[[#This Row],[Gruppa bank klient 2]]</f>
        <v>8000</v>
      </c>
    </row>
    <row r="46" spans="1:34" ht="18" x14ac:dyDescent="0.35">
      <c r="A46" s="130">
        <v>44</v>
      </c>
      <c r="B46" s="104" t="s">
        <v>126</v>
      </c>
      <c r="C46" s="104" t="s">
        <v>224</v>
      </c>
      <c r="D46" s="104" t="s">
        <v>240</v>
      </c>
      <c r="E46" s="122">
        <v>2000000</v>
      </c>
      <c r="F46" s="104" t="s">
        <v>218</v>
      </c>
      <c r="G46" s="206"/>
      <c r="H46" s="206">
        <v>1</v>
      </c>
      <c r="I46" s="206"/>
      <c r="J46" s="206">
        <v>1</v>
      </c>
      <c r="K46" s="206">
        <v>1</v>
      </c>
      <c r="L46" s="184">
        <v>0.25</v>
      </c>
      <c r="M46" s="184">
        <v>0.25</v>
      </c>
      <c r="N46" s="184">
        <v>0.25</v>
      </c>
      <c r="O46" s="184"/>
      <c r="P46" s="184">
        <v>0.25</v>
      </c>
      <c r="Q46" s="184">
        <v>-0.2</v>
      </c>
      <c r="R46" s="183">
        <v>0.2</v>
      </c>
      <c r="S46" s="183">
        <v>0.2</v>
      </c>
      <c r="T46" s="184">
        <v>-0.2</v>
      </c>
      <c r="U46" s="184">
        <v>-0.2</v>
      </c>
      <c r="V46" s="105">
        <v>0.5</v>
      </c>
      <c r="W46" s="161">
        <f>Таблица32[[#This Row],[Столбец7]]*Таблица32[[#This Row],[Ishga kelish nazoratchi2]]%</f>
        <v>0</v>
      </c>
      <c r="X46" s="131">
        <f>Таблица32[[#This Row],[Столбец7]]*Таблица32[[#This Row],[Ishga vaqtida kelish ketish]]%</f>
        <v>0</v>
      </c>
      <c r="Y46" s="131">
        <f>Таблица32[[#This Row],[Столбец7]]*Таблица32[[#This Row],[Ishga kelish bank klient]]%</f>
        <v>20000</v>
      </c>
      <c r="Z46" s="131">
        <f>Таблица32[[#This Row],[Столбец7]]*Таблица32[[#This Row],[Gruppa buxgalter]]%</f>
        <v>20000</v>
      </c>
      <c r="AA46" s="131">
        <f>Таблица32[[#This Row],[Столбец7]]*Таблица32[[#This Row],[Gruppa bank klient ]]%</f>
        <v>20000</v>
      </c>
      <c r="AB46" s="131">
        <f>Таблица32[[#This Row],[1c]]*Таблица32[[#This Row],[Столбец7]]/100</f>
        <v>0</v>
      </c>
      <c r="AC46" s="132">
        <f>SUM(Таблица32[[#This Row],[Didox]:[ мехнат]],Таблица32[[#This Row],[Avtokameral]])*Таблица32[[#This Row],[Столбец7]]/100</f>
        <v>20000</v>
      </c>
      <c r="AD46" s="132">
        <f>SUM(Таблица32[[#This Row],[Pul oqimlari]:[Foyda va zarar]])*Таблица32[[#This Row],[Столбец7]]/100</f>
        <v>-4000</v>
      </c>
      <c r="AE46" s="131">
        <f>Таблица32[[#This Row],[Столбец7]]*Таблица32[[#This Row],[Nazoratchi]]%</f>
        <v>10000</v>
      </c>
      <c r="AF46" s="131">
        <f>Таблица32[[#This Row],[Ishga vaqtida kelish nazoratchi]]+Таблица32[[#This Row],[Nazoratchi2]]</f>
        <v>10000</v>
      </c>
      <c r="AG4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36000</v>
      </c>
      <c r="AH46" s="131">
        <f>Таблица32[[#This Row],[Ishga kelish bank klient3]]+Таблица32[[#This Row],[Gruppa bank klient 2]]</f>
        <v>40000</v>
      </c>
    </row>
    <row r="47" spans="1:34" ht="37.5" x14ac:dyDescent="0.3">
      <c r="A47" s="130">
        <v>45</v>
      </c>
      <c r="B47" s="101" t="s">
        <v>229</v>
      </c>
      <c r="C47" s="67" t="s">
        <v>303</v>
      </c>
      <c r="D47" s="101"/>
      <c r="E47" s="129">
        <v>4000000</v>
      </c>
      <c r="F47" s="104" t="s">
        <v>218</v>
      </c>
      <c r="G47" s="206">
        <v>-0.25</v>
      </c>
      <c r="H47" s="206"/>
      <c r="I47" s="206"/>
      <c r="J47" s="206">
        <v>1</v>
      </c>
      <c r="K47" s="206"/>
      <c r="L47" s="184">
        <v>0.25</v>
      </c>
      <c r="M47" s="184">
        <v>0.25</v>
      </c>
      <c r="N47" s="184">
        <v>0.25</v>
      </c>
      <c r="O47" s="184">
        <v>1</v>
      </c>
      <c r="P47" s="184">
        <v>-0.25</v>
      </c>
      <c r="Q47" s="184">
        <v>0.2</v>
      </c>
      <c r="R47" s="184">
        <v>0.2</v>
      </c>
      <c r="S47" s="184">
        <v>0.2</v>
      </c>
      <c r="T47" s="184">
        <v>-0.2</v>
      </c>
      <c r="U47" s="184">
        <v>-0.2</v>
      </c>
      <c r="V47" s="105">
        <v>0.5</v>
      </c>
      <c r="W47" s="161">
        <f>Таблица32[[#This Row],[Столбец7]]*Таблица32[[#This Row],[Ishga kelish nazoratchi2]]%</f>
        <v>0</v>
      </c>
      <c r="X47" s="131">
        <f>Таблица32[[#This Row],[Столбец7]]*Таблица32[[#This Row],[Ishga vaqtida kelish ketish]]%</f>
        <v>-10000</v>
      </c>
      <c r="Y47" s="131">
        <f>Таблица32[[#This Row],[Столбец7]]*Таблица32[[#This Row],[Ishga kelish bank klient]]%</f>
        <v>0</v>
      </c>
      <c r="Z47" s="131">
        <f>Таблица32[[#This Row],[Столбец7]]*Таблица32[[#This Row],[Gruppa buxgalter]]%</f>
        <v>40000</v>
      </c>
      <c r="AA47" s="131">
        <f>Таблица32[[#This Row],[Столбец7]]*Таблица32[[#This Row],[Gruppa bank klient ]]%</f>
        <v>0</v>
      </c>
      <c r="AB47" s="131">
        <f>Таблица32[[#This Row],[1c]]*Таблица32[[#This Row],[Столбец7]]/100</f>
        <v>40000</v>
      </c>
      <c r="AC47" s="132">
        <f>SUM(Таблица32[[#This Row],[Didox]:[ мехнат]],Таблица32[[#This Row],[Avtokameral]])*Таблица32[[#This Row],[Столбец7]]/100</f>
        <v>20000</v>
      </c>
      <c r="AD47" s="132">
        <f>SUM(Таблица32[[#This Row],[Pul oqimlari]:[Foyda va zarar]])*Таблица32[[#This Row],[Столбец7]]/100</f>
        <v>8000.0000000000027</v>
      </c>
      <c r="AE47" s="131">
        <f>Таблица32[[#This Row],[Столбец7]]*Таблица32[[#This Row],[Nazoratchi]]%</f>
        <v>20000</v>
      </c>
      <c r="AF47" s="131">
        <f>Таблица32[[#This Row],[Ishga vaqtida kelish nazoratchi]]+Таблица32[[#This Row],[Nazoratchi2]]</f>
        <v>20000</v>
      </c>
      <c r="AG4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98000</v>
      </c>
      <c r="AH47" s="131">
        <f>Таблица32[[#This Row],[Ishga kelish bank klient3]]+Таблица32[[#This Row],[Gruppa bank klient 2]]</f>
        <v>0</v>
      </c>
    </row>
    <row r="48" spans="1:34" ht="37.5" x14ac:dyDescent="0.3">
      <c r="A48" s="130">
        <v>46</v>
      </c>
      <c r="B48" s="104" t="s">
        <v>211</v>
      </c>
      <c r="C48" s="104" t="s">
        <v>394</v>
      </c>
      <c r="D48" s="104" t="s">
        <v>240</v>
      </c>
      <c r="E48" s="122">
        <v>700000</v>
      </c>
      <c r="F48" s="104" t="s">
        <v>218</v>
      </c>
      <c r="G48" s="206"/>
      <c r="H48" s="206">
        <v>1</v>
      </c>
      <c r="I48" s="206"/>
      <c r="J48" s="206">
        <v>1</v>
      </c>
      <c r="K48" s="206">
        <v>1</v>
      </c>
      <c r="L48" s="184">
        <v>0.25</v>
      </c>
      <c r="M48" s="184">
        <v>0.25</v>
      </c>
      <c r="N48" s="184"/>
      <c r="O48" s="184">
        <v>1</v>
      </c>
      <c r="P48" s="184">
        <v>0.25</v>
      </c>
      <c r="Q48" s="184">
        <v>0.2</v>
      </c>
      <c r="R48" s="184">
        <v>0.2</v>
      </c>
      <c r="S48" s="184">
        <v>-0.2</v>
      </c>
      <c r="T48" s="184">
        <v>-0.2</v>
      </c>
      <c r="U48" s="184">
        <v>-0.2</v>
      </c>
      <c r="V48" s="105">
        <v>0.5</v>
      </c>
      <c r="W48" s="161">
        <f>Таблица32[[#This Row],[Столбец7]]*Таблица32[[#This Row],[Ishga kelish nazoratchi2]]%</f>
        <v>0</v>
      </c>
      <c r="X48" s="131">
        <f>Таблица32[[#This Row],[Столбец7]]*Таблица32[[#This Row],[Ishga vaqtida kelish ketish]]%</f>
        <v>0</v>
      </c>
      <c r="Y48" s="131">
        <f>Таблица32[[#This Row],[Столбец7]]*Таблица32[[#This Row],[Ishga kelish bank klient]]%</f>
        <v>7000</v>
      </c>
      <c r="Z48" s="131">
        <f>Таблица32[[#This Row],[Столбец7]]*Таблица32[[#This Row],[Gruppa buxgalter]]%</f>
        <v>7000</v>
      </c>
      <c r="AA48" s="131">
        <f>Таблица32[[#This Row],[Столбец7]]*Таблица32[[#This Row],[Gruppa bank klient ]]%</f>
        <v>7000</v>
      </c>
      <c r="AB48" s="131">
        <f>Таблица32[[#This Row],[1c]]*Таблица32[[#This Row],[Столбец7]]/100</f>
        <v>7000</v>
      </c>
      <c r="AC48" s="132">
        <f>SUM(Таблица32[[#This Row],[Didox]:[ мехнат]],Таблица32[[#This Row],[Avtokameral]])*Таблица32[[#This Row],[Столбец7]]/100</f>
        <v>5250</v>
      </c>
      <c r="AD48" s="132">
        <f>SUM(Таблица32[[#This Row],[Pul oqimlari]:[Foyda va zarar]])*Таблица32[[#This Row],[Столбец7]]/100</f>
        <v>-1400</v>
      </c>
      <c r="AE48" s="131">
        <f>Таблица32[[#This Row],[Столбец7]]*Таблица32[[#This Row],[Nazoratchi]]%</f>
        <v>3500</v>
      </c>
      <c r="AF48" s="131">
        <f>Таблица32[[#This Row],[Ishga vaqtida kelish nazoratchi]]+Таблица32[[#This Row],[Nazoratchi2]]</f>
        <v>3500</v>
      </c>
      <c r="AG4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17850</v>
      </c>
      <c r="AH48" s="131">
        <f>Таблица32[[#This Row],[Ishga kelish bank klient3]]+Таблица32[[#This Row],[Gruppa bank klient 2]]</f>
        <v>14000</v>
      </c>
    </row>
    <row r="49" spans="1:34" ht="18.75" x14ac:dyDescent="0.3">
      <c r="A49" s="130">
        <v>47</v>
      </c>
      <c r="B49" s="101" t="s">
        <v>223</v>
      </c>
      <c r="C49" s="67" t="s">
        <v>394</v>
      </c>
      <c r="D49" s="101" t="s">
        <v>240</v>
      </c>
      <c r="E49" s="129">
        <v>1000000</v>
      </c>
      <c r="F49" s="104" t="s">
        <v>218</v>
      </c>
      <c r="G49" s="206"/>
      <c r="H49" s="206">
        <v>1</v>
      </c>
      <c r="I49" s="209"/>
      <c r="J49" s="206">
        <v>1</v>
      </c>
      <c r="K49" s="206">
        <v>1</v>
      </c>
      <c r="L49" s="184">
        <v>0.25</v>
      </c>
      <c r="M49" s="184">
        <v>0.25</v>
      </c>
      <c r="N49" s="184"/>
      <c r="O49" s="184">
        <v>1</v>
      </c>
      <c r="P49" s="184">
        <v>0.25</v>
      </c>
      <c r="Q49" s="184">
        <v>0</v>
      </c>
      <c r="R49" s="184">
        <v>0.2</v>
      </c>
      <c r="S49" s="184">
        <v>0.2</v>
      </c>
      <c r="T49" s="184">
        <v>0</v>
      </c>
      <c r="U49" s="184">
        <v>0</v>
      </c>
      <c r="V49" s="105">
        <v>0.5</v>
      </c>
      <c r="W49" s="161">
        <f>Таблица32[[#This Row],[Столбец7]]*Таблица32[[#This Row],[Ishga kelish nazoratchi2]]%</f>
        <v>0</v>
      </c>
      <c r="X49" s="131">
        <f>Таблица32[[#This Row],[Столбец7]]*Таблица32[[#This Row],[Ishga vaqtida kelish ketish]]%</f>
        <v>0</v>
      </c>
      <c r="Y49" s="131">
        <f>Таблица32[[#This Row],[Столбец7]]*Таблица32[[#This Row],[Ishga kelish bank klient]]%</f>
        <v>10000</v>
      </c>
      <c r="Z49" s="131">
        <f>Таблица32[[#This Row],[Столбец7]]*Таблица32[[#This Row],[Gruppa buxgalter]]%</f>
        <v>10000</v>
      </c>
      <c r="AA49" s="131">
        <f>Таблица32[[#This Row],[Столбец7]]*Таблица32[[#This Row],[Gruppa bank klient ]]%</f>
        <v>10000</v>
      </c>
      <c r="AB49" s="131">
        <f>Таблица32[[#This Row],[1c]]*Таблица32[[#This Row],[Столбец7]]/100</f>
        <v>10000</v>
      </c>
      <c r="AC49" s="132">
        <f>SUM(Таблица32[[#This Row],[Didox]:[ мехнат]],Таблица32[[#This Row],[Avtokameral]])*Таблица32[[#This Row],[Столбец7]]/100</f>
        <v>7500</v>
      </c>
      <c r="AD49" s="132">
        <f>SUM(Таблица32[[#This Row],[Pul oqimlari]:[Foyda va zarar]])*Таблица32[[#This Row],[Столбец7]]/100</f>
        <v>4000</v>
      </c>
      <c r="AE49" s="131">
        <f>Таблица32[[#This Row],[Столбец7]]*Таблица32[[#This Row],[Nazoratchi]]%</f>
        <v>5000</v>
      </c>
      <c r="AF49" s="131">
        <f>Таблица32[[#This Row],[Ishga vaqtida kelish nazoratchi]]+Таблица32[[#This Row],[Nazoratchi2]]</f>
        <v>5000</v>
      </c>
      <c r="AG4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31500</v>
      </c>
      <c r="AH49" s="131">
        <f>Таблица32[[#This Row],[Ishga kelish bank klient3]]+Таблица32[[#This Row],[Gruppa bank klient 2]]</f>
        <v>20000</v>
      </c>
    </row>
    <row r="50" spans="1:34" ht="18.75" x14ac:dyDescent="0.3">
      <c r="A50" s="130">
        <v>48</v>
      </c>
      <c r="B50" s="104" t="s">
        <v>132</v>
      </c>
      <c r="C50" s="104" t="s">
        <v>224</v>
      </c>
      <c r="D50" s="104"/>
      <c r="E50" s="122">
        <v>3000000</v>
      </c>
      <c r="F50" s="104" t="s">
        <v>218</v>
      </c>
      <c r="G50" s="206"/>
      <c r="H50" s="206"/>
      <c r="I50" s="209"/>
      <c r="J50" s="206">
        <v>-1</v>
      </c>
      <c r="K50" s="206"/>
      <c r="L50" s="184">
        <v>0.25</v>
      </c>
      <c r="M50" s="184">
        <v>0.25</v>
      </c>
      <c r="N50" s="184">
        <v>0.25</v>
      </c>
      <c r="O50" s="184">
        <v>1</v>
      </c>
      <c r="P50" s="184">
        <v>0.25</v>
      </c>
      <c r="Q50" s="184">
        <v>0.2</v>
      </c>
      <c r="R50" s="184">
        <v>0.2</v>
      </c>
      <c r="S50" s="184">
        <v>0.2</v>
      </c>
      <c r="T50" s="184">
        <v>0.2</v>
      </c>
      <c r="U50" s="184">
        <v>0.2</v>
      </c>
      <c r="V50" s="105">
        <v>-1</v>
      </c>
      <c r="W50" s="161">
        <f>Таблица32[[#This Row],[Столбец7]]*Таблица32[[#This Row],[Ishga kelish nazoratchi2]]%</f>
        <v>0</v>
      </c>
      <c r="X50" s="131">
        <f>Таблица32[[#This Row],[Столбец7]]*Таблица32[[#This Row],[Ishga vaqtida kelish ketish]]%</f>
        <v>0</v>
      </c>
      <c r="Y50" s="131">
        <f>Таблица32[[#This Row],[Столбец7]]*Таблица32[[#This Row],[Ishga kelish bank klient]]%</f>
        <v>0</v>
      </c>
      <c r="Z50" s="131">
        <f>Таблица32[[#This Row],[Столбец7]]*Таблица32[[#This Row],[Gruppa buxgalter]]%</f>
        <v>-30000</v>
      </c>
      <c r="AA50" s="131">
        <f>Таблица32[[#This Row],[Столбец7]]*Таблица32[[#This Row],[Gruppa bank klient ]]%</f>
        <v>0</v>
      </c>
      <c r="AB50" s="131">
        <f>Таблица32[[#This Row],[1c]]*Таблица32[[#This Row],[Столбец7]]/100</f>
        <v>30000</v>
      </c>
      <c r="AC50" s="132">
        <f>SUM(Таблица32[[#This Row],[Didox]:[ мехнат]],Таблица32[[#This Row],[Avtokameral]])*Таблица32[[#This Row],[Столбец7]]/100</f>
        <v>30000</v>
      </c>
      <c r="AD50" s="132">
        <f>SUM(Таблица32[[#This Row],[Pul oqimlari]:[Foyda va zarar]])*Таблица32[[#This Row],[Столбец7]]/100</f>
        <v>30000</v>
      </c>
      <c r="AE50" s="131">
        <f>Таблица32[[#This Row],[Столбец7]]*Таблица32[[#This Row],[Nazoratchi]]%</f>
        <v>-30000</v>
      </c>
      <c r="AF50" s="131">
        <f>Таблица32[[#This Row],[Ishga vaqtida kelish nazoratchi]]+Таблица32[[#This Row],[Nazoratchi2]]</f>
        <v>-30000</v>
      </c>
      <c r="AG5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60000</v>
      </c>
      <c r="AH50" s="131">
        <f>Таблица32[[#This Row],[Ishga kelish bank klient3]]+Таблица32[[#This Row],[Gruppa bank klient 2]]</f>
        <v>0</v>
      </c>
    </row>
    <row r="51" spans="1:34" ht="37.5" x14ac:dyDescent="0.3">
      <c r="A51" s="130">
        <v>49</v>
      </c>
      <c r="B51" s="104" t="s">
        <v>183</v>
      </c>
      <c r="C51" s="104" t="s">
        <v>335</v>
      </c>
      <c r="D51" s="104" t="s">
        <v>240</v>
      </c>
      <c r="E51" s="122">
        <v>1000000</v>
      </c>
      <c r="F51" s="104" t="s">
        <v>218</v>
      </c>
      <c r="G51" s="206">
        <v>-0.35</v>
      </c>
      <c r="H51" s="206">
        <v>1</v>
      </c>
      <c r="I51" s="209"/>
      <c r="J51" s="206">
        <v>1</v>
      </c>
      <c r="K51" s="206">
        <v>1</v>
      </c>
      <c r="L51" s="184">
        <v>0.25</v>
      </c>
      <c r="M51" s="184">
        <v>-0.25</v>
      </c>
      <c r="N51" s="184"/>
      <c r="O51" s="184">
        <v>1</v>
      </c>
      <c r="P51" s="184">
        <v>0.25</v>
      </c>
      <c r="Q51" s="184">
        <v>0.2</v>
      </c>
      <c r="R51" s="184">
        <v>0.2</v>
      </c>
      <c r="S51" s="184">
        <v>0.2</v>
      </c>
      <c r="T51" s="184">
        <v>0.2</v>
      </c>
      <c r="U51" s="184">
        <v>0.2</v>
      </c>
      <c r="V51" s="105">
        <v>0.5</v>
      </c>
      <c r="W51" s="161">
        <f>Таблица32[[#This Row],[Столбец7]]*Таблица32[[#This Row],[Ishga kelish nazoratchi2]]%</f>
        <v>0</v>
      </c>
      <c r="X51" s="131">
        <f>Таблица32[[#This Row],[Столбец7]]*Таблица32[[#This Row],[Ishga vaqtida kelish ketish]]%</f>
        <v>-3499.9999999999995</v>
      </c>
      <c r="Y51" s="131">
        <f>Таблица32[[#This Row],[Столбец7]]*Таблица32[[#This Row],[Ishga kelish bank klient]]%</f>
        <v>10000</v>
      </c>
      <c r="Z51" s="131">
        <f>Таблица32[[#This Row],[Столбец7]]*Таблица32[[#This Row],[Gruppa buxgalter]]%</f>
        <v>10000</v>
      </c>
      <c r="AA51" s="131">
        <f>Таблица32[[#This Row],[Столбец7]]*Таблица32[[#This Row],[Gruppa bank klient ]]%</f>
        <v>10000</v>
      </c>
      <c r="AB51" s="131">
        <f>Таблица32[[#This Row],[1c]]*Таблица32[[#This Row],[Столбец7]]/100</f>
        <v>10000</v>
      </c>
      <c r="AC51" s="132">
        <f>SUM(Таблица32[[#This Row],[Didox]:[ мехнат]],Таблица32[[#This Row],[Avtokameral]])*Таблица32[[#This Row],[Столбец7]]/100</f>
        <v>2500</v>
      </c>
      <c r="AD51" s="132">
        <f>SUM(Таблица32[[#This Row],[Pul oqimlari]:[Foyda va zarar]])*Таблица32[[#This Row],[Столбец7]]/100</f>
        <v>10000</v>
      </c>
      <c r="AE51" s="131">
        <f>Таблица32[[#This Row],[Столбец7]]*Таблица32[[#This Row],[Nazoratchi]]%</f>
        <v>5000</v>
      </c>
      <c r="AF51" s="131">
        <f>Таблица32[[#This Row],[Ishga vaqtida kelish nazoratchi]]+Таблица32[[#This Row],[Nazoratchi2]]</f>
        <v>5000</v>
      </c>
      <c r="AG5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51" s="131">
        <f>Таблица32[[#This Row],[Ishga kelish bank klient3]]+Таблица32[[#This Row],[Gruppa bank klient 2]]</f>
        <v>20000</v>
      </c>
    </row>
    <row r="52" spans="1:34" ht="37.5" x14ac:dyDescent="0.3">
      <c r="A52" s="130">
        <v>50</v>
      </c>
      <c r="B52" s="104" t="s">
        <v>110</v>
      </c>
      <c r="C52" s="104" t="s">
        <v>335</v>
      </c>
      <c r="D52" s="104" t="s">
        <v>428</v>
      </c>
      <c r="E52" s="122">
        <v>2000000</v>
      </c>
      <c r="F52" s="104" t="s">
        <v>218</v>
      </c>
      <c r="G52" s="206">
        <v>-0.35</v>
      </c>
      <c r="H52" s="206">
        <v>1</v>
      </c>
      <c r="I52" s="209"/>
      <c r="J52" s="206">
        <v>1</v>
      </c>
      <c r="K52" s="206">
        <v>1</v>
      </c>
      <c r="L52" s="184">
        <v>0.25</v>
      </c>
      <c r="M52" s="184">
        <v>0.25</v>
      </c>
      <c r="N52" s="184">
        <v>0.25</v>
      </c>
      <c r="O52" s="184">
        <v>1</v>
      </c>
      <c r="P52" s="184">
        <v>0.25</v>
      </c>
      <c r="Q52" s="184">
        <v>0.2</v>
      </c>
      <c r="R52" s="184">
        <v>0.2</v>
      </c>
      <c r="S52" s="184">
        <v>0.2</v>
      </c>
      <c r="T52" s="184">
        <v>0.2</v>
      </c>
      <c r="U52" s="184">
        <v>0.2</v>
      </c>
      <c r="V52" s="105">
        <v>0.5</v>
      </c>
      <c r="W52" s="161">
        <f>Таблица32[[#This Row],[Столбец7]]*Таблица32[[#This Row],[Ishga kelish nazoratchi2]]%</f>
        <v>0</v>
      </c>
      <c r="X52" s="131">
        <f>Таблица32[[#This Row],[Столбец7]]*Таблица32[[#This Row],[Ishga vaqtida kelish ketish]]%</f>
        <v>-6999.9999999999991</v>
      </c>
      <c r="Y52" s="131">
        <f>Таблица32[[#This Row],[Столбец7]]*Таблица32[[#This Row],[Ishga kelish bank klient]]%</f>
        <v>20000</v>
      </c>
      <c r="Z52" s="131">
        <f>Таблица32[[#This Row],[Столбец7]]*Таблица32[[#This Row],[Gruppa buxgalter]]%</f>
        <v>20000</v>
      </c>
      <c r="AA52" s="131">
        <f>Таблица32[[#This Row],[Столбец7]]*Таблица32[[#This Row],[Gruppa bank klient ]]%</f>
        <v>20000</v>
      </c>
      <c r="AB52" s="131">
        <f>Таблица32[[#This Row],[1c]]*Таблица32[[#This Row],[Столбец7]]/100</f>
        <v>20000</v>
      </c>
      <c r="AC52" s="132">
        <f>SUM(Таблица32[[#This Row],[Didox]:[ мехнат]],Таблица32[[#This Row],[Avtokameral]])*Таблица32[[#This Row],[Столбец7]]/100</f>
        <v>20000</v>
      </c>
      <c r="AD52" s="132">
        <f>SUM(Таблица32[[#This Row],[Pul oqimlari]:[Foyda va zarar]])*Таблица32[[#This Row],[Столбец7]]/100</f>
        <v>20000</v>
      </c>
      <c r="AE52" s="131">
        <f>Таблица32[[#This Row],[Столбец7]]*Таблица32[[#This Row],[Nazoratchi]]%</f>
        <v>10000</v>
      </c>
      <c r="AF52" s="131">
        <f>Таблица32[[#This Row],[Ishga vaqtida kelish nazoratchi]]+Таблица32[[#This Row],[Nazoratchi2]]</f>
        <v>10000</v>
      </c>
      <c r="AG5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73000</v>
      </c>
      <c r="AH52" s="131">
        <f>Таблица32[[#This Row],[Ishga kelish bank klient3]]+Таблица32[[#This Row],[Gruppa bank klient 2]]</f>
        <v>40000</v>
      </c>
    </row>
    <row r="53" spans="1:34" ht="18.75" x14ac:dyDescent="0.3">
      <c r="A53" s="130">
        <v>51</v>
      </c>
      <c r="B53" s="104" t="s">
        <v>231</v>
      </c>
      <c r="C53" s="106" t="s">
        <v>309</v>
      </c>
      <c r="D53" s="104" t="s">
        <v>240</v>
      </c>
      <c r="E53" s="122">
        <v>2500000</v>
      </c>
      <c r="F53" s="104" t="s">
        <v>218</v>
      </c>
      <c r="G53" s="206">
        <v>-0.8</v>
      </c>
      <c r="H53" s="206">
        <v>1</v>
      </c>
      <c r="I53" s="206"/>
      <c r="J53" s="206">
        <v>1</v>
      </c>
      <c r="K53" s="206">
        <v>1</v>
      </c>
      <c r="L53" s="184">
        <v>0.25</v>
      </c>
      <c r="M53" s="184">
        <v>0.25</v>
      </c>
      <c r="N53" s="184">
        <v>0.25</v>
      </c>
      <c r="O53" s="184">
        <v>1</v>
      </c>
      <c r="P53" s="184">
        <v>0.25</v>
      </c>
      <c r="Q53" s="184">
        <v>0.2</v>
      </c>
      <c r="R53" s="184">
        <v>0.2</v>
      </c>
      <c r="S53" s="184">
        <v>0.2</v>
      </c>
      <c r="T53" s="184">
        <v>-0.2</v>
      </c>
      <c r="U53" s="184">
        <v>0.2</v>
      </c>
      <c r="V53" s="206">
        <v>0.5</v>
      </c>
      <c r="W53" s="161">
        <f>Таблица32[[#This Row],[Столбец7]]*Таблица32[[#This Row],[Ishga kelish nazoratchi2]]%</f>
        <v>0</v>
      </c>
      <c r="X53" s="131">
        <f>Таблица32[[#This Row],[Столбец7]]*Таблица32[[#This Row],[Ishga vaqtida kelish ketish]]%</f>
        <v>-20000</v>
      </c>
      <c r="Y53" s="131">
        <f>Таблица32[[#This Row],[Столбец7]]*Таблица32[[#This Row],[Ishga kelish bank klient]]%</f>
        <v>25000</v>
      </c>
      <c r="Z53" s="131">
        <f>Таблица32[[#This Row],[Столбец7]]*Таблица32[[#This Row],[Gruppa buxgalter]]%</f>
        <v>25000</v>
      </c>
      <c r="AA53" s="131">
        <f>Таблица32[[#This Row],[Столбец7]]*Таблица32[[#This Row],[Gruppa bank klient ]]%</f>
        <v>25000</v>
      </c>
      <c r="AB53" s="131">
        <f>Таблица32[[#This Row],[1c]]*Таблица32[[#This Row],[Столбец7]]/100</f>
        <v>25000</v>
      </c>
      <c r="AC53" s="132">
        <f>SUM(Таблица32[[#This Row],[Didox]:[ мехнат]],Таблица32[[#This Row],[Avtokameral]])*Таблица32[[#This Row],[Столбец7]]/100</f>
        <v>25000</v>
      </c>
      <c r="AD53" s="132">
        <f>SUM(Таблица32[[#This Row],[Pul oqimlari]:[Foyda va zarar]])*Таблица32[[#This Row],[Столбец7]]/100</f>
        <v>15000.000000000002</v>
      </c>
      <c r="AE53" s="131">
        <f>Таблица32[[#This Row],[Столбец7]]*Таблица32[[#This Row],[Nazoratchi]]%</f>
        <v>12500</v>
      </c>
      <c r="AF53" s="131">
        <f>Таблица32[[#This Row],[Ishga vaqtida kelish nazoratchi]]+Таблица32[[#This Row],[Nazoratchi2]]</f>
        <v>12500</v>
      </c>
      <c r="AG5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70000</v>
      </c>
      <c r="AH53" s="131">
        <f>Таблица32[[#This Row],[Ishga kelish bank klient3]]+Таблица32[[#This Row],[Gruppa bank klient 2]]</f>
        <v>50000</v>
      </c>
    </row>
    <row r="54" spans="1:34" ht="18.75" x14ac:dyDescent="0.3">
      <c r="A54" s="130">
        <v>52</v>
      </c>
      <c r="B54" s="104" t="s">
        <v>315</v>
      </c>
      <c r="C54" s="104" t="s">
        <v>217</v>
      </c>
      <c r="D54" s="104" t="s">
        <v>240</v>
      </c>
      <c r="E54" s="122">
        <v>1000000</v>
      </c>
      <c r="F54" s="104" t="s">
        <v>238</v>
      </c>
      <c r="G54" s="206"/>
      <c r="H54" s="206">
        <v>1</v>
      </c>
      <c r="I54" s="206"/>
      <c r="J54" s="206">
        <v>1</v>
      </c>
      <c r="K54" s="206">
        <v>1</v>
      </c>
      <c r="L54" s="184">
        <v>0.25</v>
      </c>
      <c r="M54" s="184">
        <v>-0.25</v>
      </c>
      <c r="N54" s="184"/>
      <c r="O54" s="184"/>
      <c r="P54" s="184">
        <v>-0.25</v>
      </c>
      <c r="Q54" s="184">
        <v>-0.2</v>
      </c>
      <c r="R54" s="184">
        <v>-0.2</v>
      </c>
      <c r="S54" s="184">
        <v>-0.2</v>
      </c>
      <c r="T54" s="184">
        <v>-0.2</v>
      </c>
      <c r="U54" s="184">
        <v>-0.2</v>
      </c>
      <c r="V54" s="105">
        <v>0.5</v>
      </c>
      <c r="W54" s="161">
        <f>Таблица32[[#This Row],[Столбец7]]*Таблица32[[#This Row],[Ishga kelish nazoratchi2]]%</f>
        <v>0</v>
      </c>
      <c r="X54" s="131">
        <f>Таблица32[[#This Row],[Столбец7]]*Таблица32[[#This Row],[Ishga vaqtida kelish ketish]]%</f>
        <v>0</v>
      </c>
      <c r="Y54" s="131">
        <f>Таблица32[[#This Row],[Столбец7]]*Таблица32[[#This Row],[Ishga kelish bank klient]]%</f>
        <v>10000</v>
      </c>
      <c r="Z54" s="131">
        <f>Таблица32[[#This Row],[Столбец7]]*Таблица32[[#This Row],[Gruppa buxgalter]]%</f>
        <v>10000</v>
      </c>
      <c r="AA54" s="131">
        <f>Таблица32[[#This Row],[Столбец7]]*Таблица32[[#This Row],[Gruppa bank klient ]]%</f>
        <v>10000</v>
      </c>
      <c r="AB54" s="131">
        <f>Таблица32[[#This Row],[1c]]*Таблица32[[#This Row],[Столбец7]]/100</f>
        <v>0</v>
      </c>
      <c r="AC54" s="132">
        <f>SUM(Таблица32[[#This Row],[Didox]:[ мехнат]],Таблица32[[#This Row],[Avtokameral]])*Таблица32[[#This Row],[Столбец7]]/100</f>
        <v>-2500</v>
      </c>
      <c r="AD54" s="132">
        <f>SUM(Таблица32[[#This Row],[Pul oqimlari]:[Foyda va zarar]])*Таблица32[[#This Row],[Столбец7]]/100</f>
        <v>-10000</v>
      </c>
      <c r="AE54" s="131">
        <f>Таблица32[[#This Row],[Столбец7]]*Таблица32[[#This Row],[Nazoratchi]]%</f>
        <v>5000</v>
      </c>
      <c r="AF54" s="131">
        <f>Таблица32[[#This Row],[Ishga vaqtida kelish nazoratchi]]+Таблица32[[#This Row],[Nazoratchi2]]</f>
        <v>5000</v>
      </c>
      <c r="AG5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-2500</v>
      </c>
      <c r="AH54" s="131">
        <f>Таблица32[[#This Row],[Ishga kelish bank klient3]]+Таблица32[[#This Row],[Gruppa bank klient 2]]</f>
        <v>20000</v>
      </c>
    </row>
    <row r="55" spans="1:34" ht="18.75" x14ac:dyDescent="0.3">
      <c r="A55" s="130">
        <v>53</v>
      </c>
      <c r="B55" s="104" t="s">
        <v>216</v>
      </c>
      <c r="C55" s="104" t="s">
        <v>308</v>
      </c>
      <c r="D55" s="104" t="s">
        <v>240</v>
      </c>
      <c r="E55" s="122">
        <v>1500000</v>
      </c>
      <c r="F55" s="104" t="s">
        <v>218</v>
      </c>
      <c r="G55" s="206">
        <v>0.9</v>
      </c>
      <c r="H55" s="206">
        <v>1</v>
      </c>
      <c r="I55" s="209"/>
      <c r="J55" s="206">
        <v>1</v>
      </c>
      <c r="K55" s="206">
        <v>1</v>
      </c>
      <c r="L55" s="184">
        <v>0.25</v>
      </c>
      <c r="M55" s="184">
        <v>0.25</v>
      </c>
      <c r="N55" s="184">
        <v>-0.25</v>
      </c>
      <c r="O55" s="184"/>
      <c r="P55" s="184">
        <v>-0.25</v>
      </c>
      <c r="Q55" s="184">
        <v>0.2</v>
      </c>
      <c r="R55" s="184">
        <v>0.2</v>
      </c>
      <c r="S55" s="184">
        <v>0.2</v>
      </c>
      <c r="T55" s="184">
        <v>-0.2</v>
      </c>
      <c r="U55" s="184">
        <v>-0.2</v>
      </c>
      <c r="V55" s="105">
        <v>0.5</v>
      </c>
      <c r="W55" s="161">
        <f>Таблица32[[#This Row],[Столбец7]]*Таблица32[[#This Row],[Ishga kelish nazoratchi2]]%</f>
        <v>0</v>
      </c>
      <c r="X55" s="131">
        <f>Таблица32[[#This Row],[Столбец7]]*Таблица32[[#This Row],[Ishga vaqtida kelish ketish]]%</f>
        <v>13500.000000000002</v>
      </c>
      <c r="Y55" s="131">
        <f>Таблица32[[#This Row],[Столбец7]]*Таблица32[[#This Row],[Ishga kelish bank klient]]%</f>
        <v>15000</v>
      </c>
      <c r="Z55" s="131">
        <f>Таблица32[[#This Row],[Столбец7]]*Таблица32[[#This Row],[Gruppa buxgalter]]%</f>
        <v>15000</v>
      </c>
      <c r="AA55" s="131">
        <f>Таблица32[[#This Row],[Столбец7]]*Таблица32[[#This Row],[Gruppa bank klient ]]%</f>
        <v>15000</v>
      </c>
      <c r="AB55" s="131">
        <f>Таблица32[[#This Row],[1c]]*Таблица32[[#This Row],[Столбец7]]/100</f>
        <v>0</v>
      </c>
      <c r="AC55" s="132">
        <f>SUM(Таблица32[[#This Row],[Didox]:[ мехнат]],Таблица32[[#This Row],[Avtokameral]])*Таблица32[[#This Row],[Столбец7]]/100</f>
        <v>0</v>
      </c>
      <c r="AD55" s="132">
        <f>SUM(Таблица32[[#This Row],[Pul oqimlari]:[Foyda va zarar]])*Таблица32[[#This Row],[Столбец7]]/100</f>
        <v>3000.0000000000014</v>
      </c>
      <c r="AE55" s="131">
        <f>Таблица32[[#This Row],[Столбец7]]*Таблица32[[#This Row],[Nazoratchi]]%</f>
        <v>7500</v>
      </c>
      <c r="AF55" s="131">
        <f>Таблица32[[#This Row],[Ishga vaqtida kelish nazoratchi]]+Таблица32[[#This Row],[Nazoratchi2]]</f>
        <v>7500</v>
      </c>
      <c r="AG5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31500</v>
      </c>
      <c r="AH55" s="131">
        <f>Таблица32[[#This Row],[Ishga kelish bank klient3]]+Таблица32[[#This Row],[Gruppa bank klient 2]]</f>
        <v>30000</v>
      </c>
    </row>
    <row r="56" spans="1:34" ht="18.75" x14ac:dyDescent="0.3">
      <c r="A56" s="130">
        <v>54</v>
      </c>
      <c r="B56" s="107" t="s">
        <v>307</v>
      </c>
      <c r="C56" s="107" t="s">
        <v>218</v>
      </c>
      <c r="D56" s="104" t="s">
        <v>240</v>
      </c>
      <c r="E56" s="122">
        <v>1000000</v>
      </c>
      <c r="F56" s="104" t="s">
        <v>238</v>
      </c>
      <c r="G56" s="206">
        <v>0.05</v>
      </c>
      <c r="H56" s="206">
        <v>1</v>
      </c>
      <c r="I56" s="206"/>
      <c r="J56" s="206">
        <v>1</v>
      </c>
      <c r="K56" s="206">
        <v>1</v>
      </c>
      <c r="L56" s="184">
        <v>-0.25</v>
      </c>
      <c r="M56" s="184">
        <v>0.25</v>
      </c>
      <c r="N56" s="184">
        <v>0.25</v>
      </c>
      <c r="O56" s="184">
        <v>1</v>
      </c>
      <c r="P56" s="184">
        <v>0.25</v>
      </c>
      <c r="Q56" s="184">
        <v>0.2</v>
      </c>
      <c r="R56" s="184">
        <v>0.2</v>
      </c>
      <c r="S56" s="184">
        <v>0.2</v>
      </c>
      <c r="T56" s="184">
        <v>-0.2</v>
      </c>
      <c r="U56" s="184">
        <v>0.2</v>
      </c>
      <c r="V56" s="206">
        <v>0.5</v>
      </c>
      <c r="W56" s="161">
        <f>Таблица32[[#This Row],[Столбец7]]*Таблица32[[#This Row],[Ishga kelish nazoratchi2]]%</f>
        <v>0</v>
      </c>
      <c r="X56" s="131">
        <f>Таблица32[[#This Row],[Столбец7]]*Таблица32[[#This Row],[Ishga vaqtida kelish ketish]]%</f>
        <v>500</v>
      </c>
      <c r="Y56" s="131">
        <f>Таблица32[[#This Row],[Столбец7]]*Таблица32[[#This Row],[Ishga kelish bank klient]]%</f>
        <v>10000</v>
      </c>
      <c r="Z56" s="131">
        <f>Таблица32[[#This Row],[Столбец7]]*Таблица32[[#This Row],[Gruppa buxgalter]]%</f>
        <v>10000</v>
      </c>
      <c r="AA56" s="131">
        <f>Таблица32[[#This Row],[Столбец7]]*Таблица32[[#This Row],[Gruppa bank klient ]]%</f>
        <v>10000</v>
      </c>
      <c r="AB56" s="131">
        <f>Таблица32[[#This Row],[1c]]*Таблица32[[#This Row],[Столбец7]]/100</f>
        <v>10000</v>
      </c>
      <c r="AC56" s="132">
        <f>SUM(Таблица32[[#This Row],[Didox]:[ мехнат]],Таблица32[[#This Row],[Avtokameral]])*Таблица32[[#This Row],[Столбец7]]/100</f>
        <v>5000</v>
      </c>
      <c r="AD56" s="132">
        <f>SUM(Таблица32[[#This Row],[Pul oqimlari]:[Foyda va zarar]])*Таблица32[[#This Row],[Столбец7]]/100</f>
        <v>6000.0000000000009</v>
      </c>
      <c r="AE56" s="131">
        <f>Таблица32[[#This Row],[Столбец7]]*Таблица32[[#This Row],[Nazoratchi]]%</f>
        <v>5000</v>
      </c>
      <c r="AF56" s="131">
        <f>Таблица32[[#This Row],[Ishga vaqtida kelish nazoratchi]]+Таблица32[[#This Row],[Nazoratchi2]]</f>
        <v>5000</v>
      </c>
      <c r="AG5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31500</v>
      </c>
      <c r="AH56" s="131">
        <f>Таблица32[[#This Row],[Ishga kelish bank klient3]]+Таблица32[[#This Row],[Gruppa bank klient 2]]</f>
        <v>20000</v>
      </c>
    </row>
    <row r="57" spans="1:34" ht="18.75" x14ac:dyDescent="0.3">
      <c r="A57" s="130">
        <v>55</v>
      </c>
      <c r="B57" s="104" t="s">
        <v>227</v>
      </c>
      <c r="C57" s="104" t="s">
        <v>217</v>
      </c>
      <c r="D57" s="104" t="s">
        <v>428</v>
      </c>
      <c r="E57" s="122">
        <v>1500000</v>
      </c>
      <c r="F57" s="104" t="s">
        <v>238</v>
      </c>
      <c r="G57" s="206"/>
      <c r="H57" s="206">
        <v>1</v>
      </c>
      <c r="I57" s="206"/>
      <c r="J57" s="206">
        <v>1</v>
      </c>
      <c r="K57" s="206">
        <v>1</v>
      </c>
      <c r="L57" s="184">
        <v>0.25</v>
      </c>
      <c r="M57" s="184">
        <v>0.25</v>
      </c>
      <c r="N57" s="184">
        <v>0.25</v>
      </c>
      <c r="O57" s="184"/>
      <c r="P57" s="184">
        <v>0.25</v>
      </c>
      <c r="Q57" s="184">
        <v>0.2</v>
      </c>
      <c r="R57" s="184">
        <v>0.2</v>
      </c>
      <c r="S57" s="184">
        <v>0.2</v>
      </c>
      <c r="T57" s="184">
        <v>0.2</v>
      </c>
      <c r="U57" s="184">
        <v>0.2</v>
      </c>
      <c r="V57" s="105">
        <v>0.5</v>
      </c>
      <c r="W57" s="161">
        <f>Таблица32[[#This Row],[Столбец7]]*Таблица32[[#This Row],[Ishga kelish nazoratchi2]]%</f>
        <v>0</v>
      </c>
      <c r="X57" s="131">
        <f>Таблица32[[#This Row],[Столбец7]]*Таблица32[[#This Row],[Ishga vaqtida kelish ketish]]%</f>
        <v>0</v>
      </c>
      <c r="Y57" s="131">
        <f>Таблица32[[#This Row],[Столбец7]]*Таблица32[[#This Row],[Ishga kelish bank klient]]%</f>
        <v>15000</v>
      </c>
      <c r="Z57" s="131">
        <f>Таблица32[[#This Row],[Столбец7]]*Таблица32[[#This Row],[Gruppa buxgalter]]%</f>
        <v>15000</v>
      </c>
      <c r="AA57" s="131">
        <f>Таблица32[[#This Row],[Столбец7]]*Таблица32[[#This Row],[Gruppa bank klient ]]%</f>
        <v>15000</v>
      </c>
      <c r="AB57" s="131">
        <f>Таблица32[[#This Row],[1c]]*Таблица32[[#This Row],[Столбец7]]/100</f>
        <v>0</v>
      </c>
      <c r="AC57" s="132">
        <f>SUM(Таблица32[[#This Row],[Didox]:[ мехнат]],Таблица32[[#This Row],[Avtokameral]])*Таблица32[[#This Row],[Столбец7]]/100</f>
        <v>15000</v>
      </c>
      <c r="AD57" s="132">
        <f>SUM(Таблица32[[#This Row],[Pul oqimlari]:[Foyda va zarar]])*Таблица32[[#This Row],[Столбец7]]/100</f>
        <v>15000</v>
      </c>
      <c r="AE57" s="131">
        <f>Таблица32[[#This Row],[Столбец7]]*Таблица32[[#This Row],[Nazoratchi]]%</f>
        <v>7500</v>
      </c>
      <c r="AF57" s="131">
        <f>Таблица32[[#This Row],[Ishga vaqtida kelish nazoratchi]]+Таблица32[[#This Row],[Nazoratchi2]]</f>
        <v>7500</v>
      </c>
      <c r="AG5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45000</v>
      </c>
      <c r="AH57" s="131">
        <f>Таблица32[[#This Row],[Ishga kelish bank klient3]]+Таблица32[[#This Row],[Gruppa bank klient 2]]</f>
        <v>30000</v>
      </c>
    </row>
    <row r="58" spans="1:34" ht="18.75" x14ac:dyDescent="0.3">
      <c r="A58" s="130">
        <v>56</v>
      </c>
      <c r="B58" s="104" t="s">
        <v>109</v>
      </c>
      <c r="C58" s="104" t="s">
        <v>243</v>
      </c>
      <c r="D58" s="104" t="s">
        <v>240</v>
      </c>
      <c r="E58" s="122">
        <v>4000000</v>
      </c>
      <c r="F58" s="104" t="s">
        <v>238</v>
      </c>
      <c r="G58" s="206"/>
      <c r="H58" s="206">
        <v>1</v>
      </c>
      <c r="I58" s="206"/>
      <c r="J58" s="206">
        <v>-0.5</v>
      </c>
      <c r="K58" s="206">
        <v>1</v>
      </c>
      <c r="L58" s="184">
        <v>0.25</v>
      </c>
      <c r="M58" s="184">
        <v>0.25</v>
      </c>
      <c r="N58" s="184"/>
      <c r="O58" s="184">
        <v>1</v>
      </c>
      <c r="P58" s="184">
        <v>0.25</v>
      </c>
      <c r="Q58" s="184">
        <v>0.2</v>
      </c>
      <c r="R58" s="184">
        <v>0.2</v>
      </c>
      <c r="S58" s="184">
        <v>0.2</v>
      </c>
      <c r="T58" s="184">
        <v>0.2</v>
      </c>
      <c r="U58" s="184">
        <v>0.2</v>
      </c>
      <c r="V58" s="206">
        <v>-0.5</v>
      </c>
      <c r="W58" s="161">
        <f>Таблица32[[#This Row],[Столбец7]]*Таблица32[[#This Row],[Ishga kelish nazoratchi2]]%</f>
        <v>0</v>
      </c>
      <c r="X58" s="131">
        <f>Таблица32[[#This Row],[Столбец7]]*Таблица32[[#This Row],[Ishga vaqtida kelish ketish]]%</f>
        <v>0</v>
      </c>
      <c r="Y58" s="131">
        <f>Таблица32[[#This Row],[Столбец7]]*Таблица32[[#This Row],[Ishga kelish bank klient]]%</f>
        <v>40000</v>
      </c>
      <c r="Z58" s="131">
        <f>Таблица32[[#This Row],[Столбец7]]*Таблица32[[#This Row],[Gruppa buxgalter]]%</f>
        <v>-20000</v>
      </c>
      <c r="AA58" s="131">
        <f>Таблица32[[#This Row],[Столбец7]]*Таблица32[[#This Row],[Gruppa bank klient ]]%</f>
        <v>40000</v>
      </c>
      <c r="AB58" s="131">
        <f>Таблица32[[#This Row],[1c]]*Таблица32[[#This Row],[Столбец7]]/100</f>
        <v>40000</v>
      </c>
      <c r="AC58" s="132">
        <f>SUM(Таблица32[[#This Row],[Didox]:[ мехнат]],Таблица32[[#This Row],[Avtokameral]])*Таблица32[[#This Row],[Столбец7]]/100</f>
        <v>30000</v>
      </c>
      <c r="AD58" s="132">
        <f>SUM(Таблица32[[#This Row],[Pul oqimlari]:[Foyda va zarar]])*Таблица32[[#This Row],[Столбец7]]/100</f>
        <v>40000</v>
      </c>
      <c r="AE58" s="131">
        <f>Таблица32[[#This Row],[Столбец7]]*Таблица32[[#This Row],[Nazoratchi]]%</f>
        <v>-20000</v>
      </c>
      <c r="AF58" s="131">
        <f>Таблица32[[#This Row],[Ishga vaqtida kelish nazoratchi]]+Таблица32[[#This Row],[Nazoratchi2]]</f>
        <v>-20000</v>
      </c>
      <c r="AG5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90000</v>
      </c>
      <c r="AH58" s="131">
        <f>Таблица32[[#This Row],[Ishga kelish bank klient3]]+Таблица32[[#This Row],[Gruppa bank klient 2]]</f>
        <v>80000</v>
      </c>
    </row>
    <row r="59" spans="1:34" ht="18.75" x14ac:dyDescent="0.3">
      <c r="A59" s="130">
        <v>57</v>
      </c>
      <c r="B59" s="104" t="s">
        <v>192</v>
      </c>
      <c r="C59" s="104" t="s">
        <v>309</v>
      </c>
      <c r="D59" s="104" t="s">
        <v>240</v>
      </c>
      <c r="E59" s="129">
        <v>2500000</v>
      </c>
      <c r="F59" s="104" t="s">
        <v>218</v>
      </c>
      <c r="G59" s="206">
        <v>-0.8</v>
      </c>
      <c r="H59" s="206">
        <v>1</v>
      </c>
      <c r="I59" s="206"/>
      <c r="J59" s="206">
        <v>-0.5</v>
      </c>
      <c r="K59" s="206">
        <v>1</v>
      </c>
      <c r="L59" s="184">
        <v>0.25</v>
      </c>
      <c r="M59" s="184">
        <v>0.25</v>
      </c>
      <c r="N59" s="184">
        <v>0.25</v>
      </c>
      <c r="O59" s="184">
        <v>1</v>
      </c>
      <c r="P59" s="184">
        <v>0.25</v>
      </c>
      <c r="Q59" s="184">
        <v>0.2</v>
      </c>
      <c r="R59" s="184">
        <v>0.2</v>
      </c>
      <c r="S59" s="184">
        <v>0.2</v>
      </c>
      <c r="T59" s="184">
        <v>0.2</v>
      </c>
      <c r="U59" s="184">
        <v>-0.2</v>
      </c>
      <c r="V59" s="206">
        <v>-0.5</v>
      </c>
      <c r="W59" s="161">
        <f>Таблица32[[#This Row],[Столбец7]]*Таблица32[[#This Row],[Ishga kelish nazoratchi2]]%</f>
        <v>0</v>
      </c>
      <c r="X59" s="131">
        <f>Таблица32[[#This Row],[Столбец7]]*Таблица32[[#This Row],[Ishga vaqtida kelish ketish]]%</f>
        <v>-20000</v>
      </c>
      <c r="Y59" s="131">
        <f>Таблица32[[#This Row],[Столбец7]]*Таблица32[[#This Row],[Ishga kelish bank klient]]%</f>
        <v>25000</v>
      </c>
      <c r="Z59" s="131">
        <f>Таблица32[[#This Row],[Столбец7]]*Таблица32[[#This Row],[Gruppa buxgalter]]%</f>
        <v>-12500</v>
      </c>
      <c r="AA59" s="131">
        <f>Таблица32[[#This Row],[Столбец7]]*Таблица32[[#This Row],[Gruppa bank klient ]]%</f>
        <v>25000</v>
      </c>
      <c r="AB59" s="131">
        <f>Таблица32[[#This Row],[1c]]*Таблица32[[#This Row],[Столбец7]]/100</f>
        <v>25000</v>
      </c>
      <c r="AC59" s="132">
        <f>SUM(Таблица32[[#This Row],[Didox]:[ мехнат]],Таблица32[[#This Row],[Avtokameral]])*Таблица32[[#This Row],[Столбец7]]/100</f>
        <v>25000</v>
      </c>
      <c r="AD59" s="132">
        <f>SUM(Таблица32[[#This Row],[Pul oqimlari]:[Foyda va zarar]])*Таблица32[[#This Row],[Столбец7]]/100</f>
        <v>15000.000000000002</v>
      </c>
      <c r="AE59" s="131">
        <f>Таблица32[[#This Row],[Столбец7]]*Таблица32[[#This Row],[Nazoratchi]]%</f>
        <v>-12500</v>
      </c>
      <c r="AF59" s="131">
        <f>Таблица32[[#This Row],[Ishga vaqtida kelish nazoratchi]]+Таблица32[[#This Row],[Nazoratchi2]]</f>
        <v>-12500</v>
      </c>
      <c r="AG5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32500</v>
      </c>
      <c r="AH59" s="131">
        <f>Таблица32[[#This Row],[Ishga kelish bank klient3]]+Таблица32[[#This Row],[Gruppa bank klient 2]]</f>
        <v>50000</v>
      </c>
    </row>
    <row r="60" spans="1:34" ht="37.5" x14ac:dyDescent="0.3">
      <c r="A60" s="130">
        <v>58</v>
      </c>
      <c r="B60" s="104" t="s">
        <v>248</v>
      </c>
      <c r="C60" s="104" t="s">
        <v>238</v>
      </c>
      <c r="D60" s="104"/>
      <c r="E60" s="122">
        <v>4000000</v>
      </c>
      <c r="F60" s="104" t="s">
        <v>218</v>
      </c>
      <c r="G60" s="206">
        <v>-0.8</v>
      </c>
      <c r="H60" s="206"/>
      <c r="I60" s="206"/>
      <c r="J60" s="206">
        <v>1</v>
      </c>
      <c r="K60" s="206"/>
      <c r="L60" s="184">
        <v>0.25</v>
      </c>
      <c r="M60" s="184">
        <v>0.25</v>
      </c>
      <c r="N60" s="184">
        <v>0.25</v>
      </c>
      <c r="O60" s="184">
        <v>1</v>
      </c>
      <c r="P60" s="184">
        <v>0.25</v>
      </c>
      <c r="Q60" s="184">
        <v>0.2</v>
      </c>
      <c r="R60" s="184">
        <v>0.2</v>
      </c>
      <c r="S60" s="184">
        <v>0.2</v>
      </c>
      <c r="T60" s="184">
        <v>0.2</v>
      </c>
      <c r="U60" s="184">
        <v>0.2</v>
      </c>
      <c r="V60" s="105">
        <v>0.5</v>
      </c>
      <c r="W60" s="161">
        <f>Таблица32[[#This Row],[Столбец7]]*Таблица32[[#This Row],[Ishga kelish nazoratchi2]]%</f>
        <v>0</v>
      </c>
      <c r="X60" s="131">
        <f>Таблица32[[#This Row],[Столбец7]]*Таблица32[[#This Row],[Ishga vaqtida kelish ketish]]%</f>
        <v>-32000</v>
      </c>
      <c r="Y60" s="131">
        <f>Таблица32[[#This Row],[Столбец7]]*Таблица32[[#This Row],[Ishga kelish bank klient]]%</f>
        <v>0</v>
      </c>
      <c r="Z60" s="131">
        <f>Таблица32[[#This Row],[Столбец7]]*Таблица32[[#This Row],[Gruppa buxgalter]]%</f>
        <v>40000</v>
      </c>
      <c r="AA60" s="131">
        <f>Таблица32[[#This Row],[Столбец7]]*Таблица32[[#This Row],[Gruppa bank klient ]]%</f>
        <v>0</v>
      </c>
      <c r="AB60" s="131">
        <f>Таблица32[[#This Row],[1c]]*Таблица32[[#This Row],[Столбец7]]/100</f>
        <v>40000</v>
      </c>
      <c r="AC60" s="132">
        <f>SUM(Таблица32[[#This Row],[Didox]:[ мехнат]],Таблица32[[#This Row],[Avtokameral]])*Таблица32[[#This Row],[Столбец7]]/100</f>
        <v>40000</v>
      </c>
      <c r="AD60" s="132">
        <f>SUM(Таблица32[[#This Row],[Pul oqimlari]:[Foyda va zarar]])*Таблица32[[#This Row],[Столбец7]]/100</f>
        <v>40000</v>
      </c>
      <c r="AE60" s="131">
        <f>Таблица32[[#This Row],[Столбец7]]*Таблица32[[#This Row],[Nazoratchi]]%</f>
        <v>20000</v>
      </c>
      <c r="AF60" s="131">
        <f>Таблица32[[#This Row],[Ishga vaqtida kelish nazoratchi]]+Таблица32[[#This Row],[Nazoratchi2]]</f>
        <v>20000</v>
      </c>
      <c r="AG6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128000</v>
      </c>
      <c r="AH60" s="131">
        <f>Таблица32[[#This Row],[Ishga kelish bank klient3]]+Таблица32[[#This Row],[Gruppa bank klient 2]]</f>
        <v>0</v>
      </c>
    </row>
    <row r="61" spans="1:34" ht="18.75" x14ac:dyDescent="0.3">
      <c r="A61" s="130">
        <v>59</v>
      </c>
      <c r="B61" s="104" t="s">
        <v>150</v>
      </c>
      <c r="C61" s="104" t="s">
        <v>335</v>
      </c>
      <c r="D61" s="104" t="s">
        <v>428</v>
      </c>
      <c r="E61" s="122">
        <v>700000</v>
      </c>
      <c r="F61" s="104" t="s">
        <v>218</v>
      </c>
      <c r="G61" s="206">
        <v>-0.35</v>
      </c>
      <c r="H61" s="206">
        <v>1</v>
      </c>
      <c r="I61" s="206"/>
      <c r="J61" s="206">
        <v>1</v>
      </c>
      <c r="K61" s="206">
        <v>1</v>
      </c>
      <c r="L61" s="184">
        <v>0.25</v>
      </c>
      <c r="M61" s="184">
        <v>-0.25</v>
      </c>
      <c r="N61" s="184">
        <v>0.25</v>
      </c>
      <c r="O61" s="184">
        <v>1</v>
      </c>
      <c r="P61" s="184">
        <v>0.25</v>
      </c>
      <c r="Q61" s="184">
        <v>0.2</v>
      </c>
      <c r="R61" s="184">
        <v>0.2</v>
      </c>
      <c r="S61" s="184">
        <v>0.2</v>
      </c>
      <c r="T61" s="184">
        <v>0.2</v>
      </c>
      <c r="U61" s="184">
        <v>0.2</v>
      </c>
      <c r="V61" s="105">
        <v>0.5</v>
      </c>
      <c r="W61" s="161">
        <f>Таблица32[[#This Row],[Столбец7]]*Таблица32[[#This Row],[Ishga kelish nazoratchi2]]%</f>
        <v>0</v>
      </c>
      <c r="X61" s="131">
        <f>Таблица32[[#This Row],[Столбец7]]*Таблица32[[#This Row],[Ishga vaqtida kelish ketish]]%</f>
        <v>-2449.9999999999995</v>
      </c>
      <c r="Y61" s="131">
        <f>Таблица32[[#This Row],[Столбец7]]*Таблица32[[#This Row],[Ishga kelish bank klient]]%</f>
        <v>7000</v>
      </c>
      <c r="Z61" s="131">
        <f>Таблица32[[#This Row],[Столбец7]]*Таблица32[[#This Row],[Gruppa buxgalter]]%</f>
        <v>7000</v>
      </c>
      <c r="AA61" s="131">
        <f>Таблица32[[#This Row],[Столбец7]]*Таблица32[[#This Row],[Gruppa bank klient ]]%</f>
        <v>7000</v>
      </c>
      <c r="AB61" s="131">
        <f>Таблица32[[#This Row],[1c]]*Таблица32[[#This Row],[Столбец7]]/100</f>
        <v>7000</v>
      </c>
      <c r="AC61" s="132">
        <f>SUM(Таблица32[[#This Row],[Didox]:[ мехнат]],Таблица32[[#This Row],[Avtokameral]])*Таблица32[[#This Row],[Столбец7]]/100</f>
        <v>3500</v>
      </c>
      <c r="AD61" s="132">
        <f>SUM(Таблица32[[#This Row],[Pul oqimlari]:[Foyda va zarar]])*Таблица32[[#This Row],[Столбец7]]/100</f>
        <v>7000</v>
      </c>
      <c r="AE61" s="131">
        <f>Таблица32[[#This Row],[Столбец7]]*Таблица32[[#This Row],[Nazoratchi]]%</f>
        <v>3500</v>
      </c>
      <c r="AF61" s="131">
        <f>Таблица32[[#This Row],[Ishga vaqtida kelish nazoratchi]]+Таблица32[[#This Row],[Nazoratchi2]]</f>
        <v>3500</v>
      </c>
      <c r="AG6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22050</v>
      </c>
      <c r="AH61" s="131">
        <f>Таблица32[[#This Row],[Ishga kelish bank klient3]]+Таблица32[[#This Row],[Gruppa bank klient 2]]</f>
        <v>14000</v>
      </c>
    </row>
    <row r="62" spans="1:34" ht="18.75" x14ac:dyDescent="0.3">
      <c r="A62" s="130">
        <v>60</v>
      </c>
      <c r="B62" s="104" t="s">
        <v>232</v>
      </c>
      <c r="C62" s="104" t="s">
        <v>308</v>
      </c>
      <c r="D62" s="104" t="s">
        <v>240</v>
      </c>
      <c r="E62" s="122">
        <v>4350000</v>
      </c>
      <c r="F62" s="104" t="s">
        <v>218</v>
      </c>
      <c r="G62" s="206">
        <v>0.9</v>
      </c>
      <c r="H62" s="206">
        <v>1</v>
      </c>
      <c r="I62" s="206"/>
      <c r="J62" s="206">
        <v>-1</v>
      </c>
      <c r="K62" s="206">
        <v>1</v>
      </c>
      <c r="L62" s="184">
        <v>0.25</v>
      </c>
      <c r="M62" s="184">
        <v>0.25</v>
      </c>
      <c r="N62" s="184">
        <v>-0.25</v>
      </c>
      <c r="O62" s="184"/>
      <c r="P62" s="184">
        <v>0.25</v>
      </c>
      <c r="Q62" s="184">
        <v>0.2</v>
      </c>
      <c r="R62" s="183">
        <v>0.2</v>
      </c>
      <c r="S62" s="183">
        <v>0.2</v>
      </c>
      <c r="T62" s="184">
        <v>0.2</v>
      </c>
      <c r="U62" s="184">
        <v>0.2</v>
      </c>
      <c r="V62" s="206">
        <v>-1</v>
      </c>
      <c r="W62" s="161">
        <f>Таблица32[[#This Row],[Столбец7]]*Таблица32[[#This Row],[Ishga kelish nazoratchi2]]%</f>
        <v>0</v>
      </c>
      <c r="X62" s="131">
        <f>Таблица32[[#This Row],[Столбец7]]*Таблица32[[#This Row],[Ishga vaqtida kelish ketish]]%</f>
        <v>39150.000000000007</v>
      </c>
      <c r="Y62" s="131">
        <f>Таблица32[[#This Row],[Столбец7]]*Таблица32[[#This Row],[Ishga kelish bank klient]]%</f>
        <v>43500</v>
      </c>
      <c r="Z62" s="131">
        <f>Таблица32[[#This Row],[Столбец7]]*Таблица32[[#This Row],[Gruppa buxgalter]]%</f>
        <v>-43500</v>
      </c>
      <c r="AA62" s="131">
        <f>Таблица32[[#This Row],[Столбец7]]*Таблица32[[#This Row],[Gruppa bank klient ]]%</f>
        <v>43500</v>
      </c>
      <c r="AB62" s="131">
        <f>Таблица32[[#This Row],[1c]]*Таблица32[[#This Row],[Столбец7]]/100</f>
        <v>0</v>
      </c>
      <c r="AC62" s="132">
        <f>SUM(Таблица32[[#This Row],[Didox]:[ мехнат]],Таблица32[[#This Row],[Avtokameral]])*Таблица32[[#This Row],[Столбец7]]/100</f>
        <v>21750</v>
      </c>
      <c r="AD62" s="132">
        <f>SUM(Таблица32[[#This Row],[Pul oqimlari]:[Foyda va zarar]])*Таблица32[[#This Row],[Столбец7]]/100</f>
        <v>43500</v>
      </c>
      <c r="AE62" s="131">
        <f>Таблица32[[#This Row],[Столбец7]]*Таблица32[[#This Row],[Nazoratchi]]%</f>
        <v>-43500</v>
      </c>
      <c r="AF62" s="131">
        <f>Таблица32[[#This Row],[Ishga vaqtida kelish nazoratchi]]+Таблица32[[#This Row],[Nazoratchi2]]</f>
        <v>-43500</v>
      </c>
      <c r="AG62" s="132">
        <f>Таблица32[[#This Row],[Ishga vaqtida kelish ketish2]]+Таблица32[[#This Row],[Gruppa buxgalter4]]+Таблица32[[#This Row],[1C baza3]]+Таблица32[[#This Row],[xatlar4]]+Таблица32[[#This Row],[Belgilangan otchetlar5]]</f>
        <v>60900.000000000007</v>
      </c>
      <c r="AH62" s="131">
        <f>Таблица32[[#This Row],[Ishga kelish bank klient3]]+Таблица32[[#This Row],[Gruppa bank klient 2]]</f>
        <v>87000</v>
      </c>
    </row>
    <row r="63" spans="1:34" ht="18.75" x14ac:dyDescent="0.3">
      <c r="A63" s="130">
        <v>61</v>
      </c>
      <c r="B63" s="120" t="s">
        <v>236</v>
      </c>
      <c r="C63" s="104" t="s">
        <v>309</v>
      </c>
      <c r="D63" s="104" t="s">
        <v>428</v>
      </c>
      <c r="E63" s="122">
        <v>0</v>
      </c>
      <c r="F63" s="104" t="s">
        <v>218</v>
      </c>
      <c r="G63" s="206">
        <v>-0.8</v>
      </c>
      <c r="H63" s="206">
        <v>1</v>
      </c>
      <c r="I63" s="209"/>
      <c r="J63" s="206">
        <v>1</v>
      </c>
      <c r="K63" s="206">
        <v>1</v>
      </c>
      <c r="L63" s="184">
        <v>0.25</v>
      </c>
      <c r="M63" s="184">
        <v>-0.25</v>
      </c>
      <c r="N63" s="184"/>
      <c r="O63" s="184"/>
      <c r="P63" s="184">
        <v>0.25</v>
      </c>
      <c r="Q63" s="184">
        <v>0</v>
      </c>
      <c r="R63" s="184">
        <v>0</v>
      </c>
      <c r="S63" s="184">
        <v>0</v>
      </c>
      <c r="T63" s="184">
        <v>0</v>
      </c>
      <c r="U63" s="184">
        <v>0</v>
      </c>
      <c r="V63" s="206">
        <v>0.5</v>
      </c>
      <c r="W63" s="161">
        <f>Таблица32[[#This Row],[Столбец7]]*Таблица32[[#This Row],[Ishga kelish nazoratchi2]]%</f>
        <v>0</v>
      </c>
      <c r="X63" s="131">
        <f>Таблица32[[#This Row],[Столбец7]]*Таблица32[[#This Row],[Ishga vaqtida kelish ketish]]%</f>
        <v>0</v>
      </c>
      <c r="Y63" s="131">
        <f>Таблица32[[#This Row],[Столбец7]]*Таблица32[[#This Row],[Ishga kelish bank klient]]%</f>
        <v>0</v>
      </c>
      <c r="Z63" s="131">
        <f>Таблица32[[#This Row],[Столбец7]]*Таблица32[[#This Row],[Gruppa buxgalter]]%</f>
        <v>0</v>
      </c>
      <c r="AA63" s="131">
        <f>Таблица32[[#This Row],[Столбец7]]*Таблица32[[#This Row],[Gruppa bank klient ]]%</f>
        <v>0</v>
      </c>
      <c r="AB63" s="131">
        <f>Таблица32[[#This Row],[1c]]*Таблица32[[#This Row],[Столбец7]]/100</f>
        <v>0</v>
      </c>
      <c r="AC63" s="132">
        <f>SUM(Таблица32[[#This Row],[Didox]:[ мехнат]],Таблица32[[#This Row],[Avtokameral]])*Таблица32[[#This Row],[Столбец7]]/100</f>
        <v>0</v>
      </c>
      <c r="AD63" s="132">
        <f>SUM(Таблица32[[#This Row],[Pul oqimlari]:[Foyda va zarar]])*Таблица32[[#This Row],[Столбец7]]/100</f>
        <v>0</v>
      </c>
      <c r="AE63" s="131">
        <f>Таблица32[[#This Row],[Столбец7]]*Таблица32[[#This Row],[Nazoratchi]]%</f>
        <v>0</v>
      </c>
      <c r="AF63" s="131">
        <f>Таблица32[[#This Row],[Ishga vaqtida kelish nazoratchi]]+Таблица32[[#This Row],[Nazoratchi2]]</f>
        <v>0</v>
      </c>
      <c r="AG6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63" s="131">
        <f>Таблица32[[#This Row],[Ishga kelish bank klient3]]+Таблица32[[#This Row],[Gruppa bank klient 2]]</f>
        <v>0</v>
      </c>
    </row>
    <row r="64" spans="1:34" ht="18.75" x14ac:dyDescent="0.3">
      <c r="A64" s="130">
        <v>62</v>
      </c>
      <c r="B64" s="104" t="s">
        <v>239</v>
      </c>
      <c r="C64" s="104" t="s">
        <v>303</v>
      </c>
      <c r="D64" s="104"/>
      <c r="E64" s="122">
        <v>5000000</v>
      </c>
      <c r="F64" s="104" t="s">
        <v>218</v>
      </c>
      <c r="G64" s="206">
        <v>-0.25</v>
      </c>
      <c r="H64" s="206"/>
      <c r="I64" s="206"/>
      <c r="J64" s="206">
        <v>1</v>
      </c>
      <c r="K64" s="206"/>
      <c r="L64" s="184">
        <v>0</v>
      </c>
      <c r="M64" s="184">
        <v>0.25</v>
      </c>
      <c r="N64" s="184">
        <v>0.25</v>
      </c>
      <c r="O64" s="184"/>
      <c r="P64" s="184">
        <v>0.25</v>
      </c>
      <c r="Q64" s="116">
        <v>0.2</v>
      </c>
      <c r="R64" s="116">
        <v>0.2</v>
      </c>
      <c r="S64" s="184">
        <v>0.2</v>
      </c>
      <c r="T64" s="184">
        <v>-0.2</v>
      </c>
      <c r="U64" s="116">
        <v>0.2</v>
      </c>
      <c r="V64" s="105">
        <v>0.5</v>
      </c>
      <c r="W64" s="161">
        <f>Таблица32[[#This Row],[Столбец7]]*Таблица32[[#This Row],[Ishga kelish nazoratchi2]]%</f>
        <v>0</v>
      </c>
      <c r="X64" s="131">
        <f>Таблица32[[#This Row],[Столбец7]]*Таблица32[[#This Row],[Ishga vaqtida kelish ketish]]%</f>
        <v>-12500</v>
      </c>
      <c r="Y64" s="131">
        <f>Таблица32[[#This Row],[Столбец7]]*Таблица32[[#This Row],[Ishga kelish bank klient]]%</f>
        <v>0</v>
      </c>
      <c r="Z64" s="131">
        <f>Таблица32[[#This Row],[Столбец7]]*Таблица32[[#This Row],[Gruppa buxgalter]]%</f>
        <v>50000</v>
      </c>
      <c r="AA64" s="131">
        <f>Таблица32[[#This Row],[Столбец7]]*Таблица32[[#This Row],[Gruppa bank klient ]]%</f>
        <v>0</v>
      </c>
      <c r="AB64" s="131">
        <f>Таблица32[[#This Row],[1c]]*Таблица32[[#This Row],[Столбец7]]/100</f>
        <v>0</v>
      </c>
      <c r="AC64" s="132">
        <f>SUM(Таблица32[[#This Row],[Didox]:[ мехнат]],Таблица32[[#This Row],[Avtokameral]])*Таблица32[[#This Row],[Столбец7]]/100</f>
        <v>37500</v>
      </c>
      <c r="AD64" s="132">
        <f>SUM(Таблица32[[#This Row],[Pul oqimlari]:[Foyda va zarar]])*Таблица32[[#This Row],[Столбец7]]/100</f>
        <v>30000.000000000004</v>
      </c>
      <c r="AE64" s="131">
        <f>Таблица32[[#This Row],[Столбец7]]*Таблица32[[#This Row],[Nazoratchi]]%</f>
        <v>25000</v>
      </c>
      <c r="AF64" s="131">
        <f>Таблица32[[#This Row],[Ishga vaqtida kelish nazoratchi]]+Таблица32[[#This Row],[Nazoratchi2]]</f>
        <v>25000</v>
      </c>
      <c r="AG6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105000</v>
      </c>
      <c r="AH64" s="131">
        <f>Таблица32[[#This Row],[Ishga kelish bank klient3]]+Таблица32[[#This Row],[Gruppa bank klient 2]]</f>
        <v>0</v>
      </c>
    </row>
    <row r="65" spans="1:34" ht="18.75" x14ac:dyDescent="0.3">
      <c r="A65" s="130">
        <v>63</v>
      </c>
      <c r="B65" s="107" t="s">
        <v>255</v>
      </c>
      <c r="C65" s="106" t="s">
        <v>560</v>
      </c>
      <c r="D65" s="107" t="s">
        <v>240</v>
      </c>
      <c r="E65" s="122">
        <v>1000000</v>
      </c>
      <c r="F65" s="104" t="s">
        <v>238</v>
      </c>
      <c r="G65" s="206">
        <v>-6</v>
      </c>
      <c r="H65" s="206">
        <v>1</v>
      </c>
      <c r="I65" s="206"/>
      <c r="J65" s="206">
        <v>-0.5</v>
      </c>
      <c r="K65" s="206">
        <v>1</v>
      </c>
      <c r="L65" s="184">
        <v>0.25</v>
      </c>
      <c r="M65" s="184">
        <v>0.25</v>
      </c>
      <c r="N65" s="184"/>
      <c r="O65" s="184"/>
      <c r="P65" s="184">
        <v>0.25</v>
      </c>
      <c r="Q65" s="184">
        <v>-0.2</v>
      </c>
      <c r="R65" s="116">
        <v>0.2</v>
      </c>
      <c r="S65" s="116">
        <v>0.2</v>
      </c>
      <c r="T65" s="184">
        <v>-0.2</v>
      </c>
      <c r="U65" s="184">
        <v>-0.2</v>
      </c>
      <c r="V65" s="105">
        <v>-0.5</v>
      </c>
      <c r="W65" s="161">
        <f>Таблица32[[#This Row],[Столбец7]]*Таблица32[[#This Row],[Ishga kelish nazoratchi2]]%</f>
        <v>0</v>
      </c>
      <c r="X65" s="131">
        <f>Таблица32[[#This Row],[Столбец7]]*Таблица32[[#This Row],[Ishga vaqtida kelish ketish]]%</f>
        <v>-60000</v>
      </c>
      <c r="Y65" s="131">
        <f>Таблица32[[#This Row],[Столбец7]]*Таблица32[[#This Row],[Ishga kelish bank klient]]%</f>
        <v>10000</v>
      </c>
      <c r="Z65" s="131">
        <f>Таблица32[[#This Row],[Столбец7]]*Таблица32[[#This Row],[Gruppa buxgalter]]%</f>
        <v>-5000</v>
      </c>
      <c r="AA65" s="131">
        <f>Таблица32[[#This Row],[Столбец7]]*Таблица32[[#This Row],[Gruppa bank klient ]]%</f>
        <v>10000</v>
      </c>
      <c r="AB65" s="131">
        <f>Таблица32[[#This Row],[1c]]*Таблица32[[#This Row],[Столбец7]]/100</f>
        <v>0</v>
      </c>
      <c r="AC65" s="132">
        <f>SUM(Таблица32[[#This Row],[Didox]:[ мехнат]],Таблица32[[#This Row],[Avtokameral]])*Таблица32[[#This Row],[Столбец7]]/100</f>
        <v>7500</v>
      </c>
      <c r="AD65" s="132">
        <f>SUM(Таблица32[[#This Row],[Pul oqimlari]:[Foyda va zarar]])*Таблица32[[#This Row],[Столбец7]]/100</f>
        <v>-2000</v>
      </c>
      <c r="AE65" s="131">
        <f>Таблица32[[#This Row],[Столбец7]]*Таблица32[[#This Row],[Nazoratchi]]%</f>
        <v>-5000</v>
      </c>
      <c r="AF65" s="131">
        <f>Таблица32[[#This Row],[Ishga vaqtida kelish nazoratchi]]+Таблица32[[#This Row],[Nazoratchi2]]</f>
        <v>-5000</v>
      </c>
      <c r="AG6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-59500</v>
      </c>
      <c r="AH65" s="131">
        <f>Таблица32[[#This Row],[Ishga kelish bank klient3]]+Таблица32[[#This Row],[Gruppa bank klient 2]]</f>
        <v>20000</v>
      </c>
    </row>
    <row r="66" spans="1:34" ht="37.5" x14ac:dyDescent="0.3">
      <c r="A66" s="130">
        <v>64</v>
      </c>
      <c r="B66" s="104" t="s">
        <v>108</v>
      </c>
      <c r="C66" s="104" t="s">
        <v>308</v>
      </c>
      <c r="D66" s="104" t="s">
        <v>428</v>
      </c>
      <c r="E66" s="122">
        <v>2500000</v>
      </c>
      <c r="F66" s="104" t="s">
        <v>218</v>
      </c>
      <c r="G66" s="206">
        <v>0.9</v>
      </c>
      <c r="H66" s="206">
        <v>1</v>
      </c>
      <c r="I66" s="209"/>
      <c r="J66" s="206">
        <v>-0.5</v>
      </c>
      <c r="K66" s="206">
        <v>1</v>
      </c>
      <c r="L66" s="184">
        <v>-0.25</v>
      </c>
      <c r="M66" s="184">
        <v>0.25</v>
      </c>
      <c r="N66" s="184"/>
      <c r="O66" s="184"/>
      <c r="P66" s="184">
        <v>0.25</v>
      </c>
      <c r="Q66" s="183">
        <v>0.2</v>
      </c>
      <c r="R66" s="184">
        <v>0.2</v>
      </c>
      <c r="S66" s="184">
        <v>0.2</v>
      </c>
      <c r="T66" s="183">
        <v>0.2</v>
      </c>
      <c r="U66" s="184">
        <v>0.2</v>
      </c>
      <c r="V66" s="206">
        <v>-0.5</v>
      </c>
      <c r="W66" s="161">
        <f>Таблица32[[#This Row],[Столбец7]]*Таблица32[[#This Row],[Ishga kelish nazoratchi2]]%</f>
        <v>0</v>
      </c>
      <c r="X66" s="131">
        <f>Таблица32[[#This Row],[Столбец7]]*Таблица32[[#This Row],[Ishga vaqtida kelish ketish]]%</f>
        <v>22500.000000000004</v>
      </c>
      <c r="Y66" s="131">
        <f>Таблица32[[#This Row],[Столбец7]]*Таблица32[[#This Row],[Ishga kelish bank klient]]%</f>
        <v>25000</v>
      </c>
      <c r="Z66" s="131">
        <f>Таблица32[[#This Row],[Столбец7]]*Таблица32[[#This Row],[Gruppa buxgalter]]%</f>
        <v>-12500</v>
      </c>
      <c r="AA66" s="131">
        <f>Таблица32[[#This Row],[Столбец7]]*Таблица32[[#This Row],[Gruppa bank klient ]]%</f>
        <v>25000</v>
      </c>
      <c r="AB66" s="131">
        <f>Таблица32[[#This Row],[1c]]*Таблица32[[#This Row],[Столбец7]]/100</f>
        <v>0</v>
      </c>
      <c r="AC66" s="132">
        <f>SUM(Таблица32[[#This Row],[Didox]:[ мехнат]],Таблица32[[#This Row],[Avtokameral]])*Таблица32[[#This Row],[Столбец7]]/100</f>
        <v>6250</v>
      </c>
      <c r="AD66" s="132">
        <f>SUM(Таблица32[[#This Row],[Pul oqimlari]:[Foyda va zarar]])*Таблица32[[#This Row],[Столбец7]]/100</f>
        <v>25000</v>
      </c>
      <c r="AE66" s="131">
        <f>Таблица32[[#This Row],[Столбец7]]*Таблица32[[#This Row],[Nazoratchi]]%</f>
        <v>-12500</v>
      </c>
      <c r="AF66" s="131">
        <f>Таблица32[[#This Row],[Ishga vaqtida kelish nazoratchi]]+Таблица32[[#This Row],[Nazoratchi2]]</f>
        <v>-12500</v>
      </c>
      <c r="AG6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41250</v>
      </c>
      <c r="AH66" s="131">
        <f>Таблица32[[#This Row],[Ishga kelish bank klient3]]+Таблица32[[#This Row],[Gruppa bank klient 2]]</f>
        <v>50000</v>
      </c>
    </row>
    <row r="67" spans="1:34" ht="18.75" x14ac:dyDescent="0.3">
      <c r="A67" s="130">
        <v>65</v>
      </c>
      <c r="B67" s="101" t="s">
        <v>221</v>
      </c>
      <c r="C67" s="67" t="s">
        <v>219</v>
      </c>
      <c r="D67" s="101" t="s">
        <v>240</v>
      </c>
      <c r="E67" s="129">
        <v>0</v>
      </c>
      <c r="F67" s="104" t="s">
        <v>218</v>
      </c>
      <c r="G67" s="206"/>
      <c r="H67" s="206">
        <v>1</v>
      </c>
      <c r="I67" s="206"/>
      <c r="J67" s="206">
        <v>-0.5</v>
      </c>
      <c r="K67" s="206">
        <v>1</v>
      </c>
      <c r="L67" s="184">
        <v>-0.25</v>
      </c>
      <c r="M67" s="184">
        <v>0.25</v>
      </c>
      <c r="N67" s="184"/>
      <c r="O67" s="184"/>
      <c r="P67" s="184">
        <v>0.25</v>
      </c>
      <c r="Q67" s="184">
        <v>0</v>
      </c>
      <c r="R67" s="184">
        <v>-0.2</v>
      </c>
      <c r="S67" s="184">
        <v>0</v>
      </c>
      <c r="T67" s="184">
        <v>0</v>
      </c>
      <c r="U67" s="184">
        <v>0</v>
      </c>
      <c r="V67" s="206">
        <v>-0.5</v>
      </c>
      <c r="W67" s="161">
        <f>Таблица32[[#This Row],[Столбец7]]*Таблица32[[#This Row],[Ishga kelish nazoratchi2]]%</f>
        <v>0</v>
      </c>
      <c r="X67" s="131">
        <f>Таблица32[[#This Row],[Столбец7]]*Таблица32[[#This Row],[Ishga vaqtida kelish ketish]]%</f>
        <v>0</v>
      </c>
      <c r="Y67" s="131">
        <f>Таблица32[[#This Row],[Столбец7]]*Таблица32[[#This Row],[Ishga kelish bank klient]]%</f>
        <v>0</v>
      </c>
      <c r="Z67" s="131">
        <f>Таблица32[[#This Row],[Столбец7]]*Таблица32[[#This Row],[Gruppa buxgalter]]%</f>
        <v>0</v>
      </c>
      <c r="AA67" s="131">
        <f>Таблица32[[#This Row],[Столбец7]]*Таблица32[[#This Row],[Gruppa bank klient ]]%</f>
        <v>0</v>
      </c>
      <c r="AB67" s="131">
        <f>Таблица32[[#This Row],[1c]]*Таблица32[[#This Row],[Столбец7]]/100</f>
        <v>0</v>
      </c>
      <c r="AC67" s="132">
        <f>SUM(Таблица32[[#This Row],[Didox]:[ мехнат]],Таблица32[[#This Row],[Avtokameral]])*Таблица32[[#This Row],[Столбец7]]/100</f>
        <v>0</v>
      </c>
      <c r="AD67" s="132">
        <f>SUM(Таблица32[[#This Row],[Pul oqimlari]:[Foyda va zarar]])*Таблица32[[#This Row],[Столбец7]]/100</f>
        <v>0</v>
      </c>
      <c r="AE67" s="131">
        <f>Таблица32[[#This Row],[Столбец7]]*Таблица32[[#This Row],[Nazoratchi]]%</f>
        <v>0</v>
      </c>
      <c r="AF67" s="131">
        <f>Таблица32[[#This Row],[Ishga vaqtida kelish nazoratchi]]+Таблица32[[#This Row],[Nazoratchi2]]</f>
        <v>0</v>
      </c>
      <c r="AG6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67" s="131">
        <f>Таблица32[[#This Row],[Ishga kelish bank klient3]]+Таблица32[[#This Row],[Gruppa bank klient 2]]</f>
        <v>0</v>
      </c>
    </row>
    <row r="68" spans="1:34" ht="18.75" x14ac:dyDescent="0.3">
      <c r="A68" s="130">
        <v>66</v>
      </c>
      <c r="B68" s="101" t="s">
        <v>228</v>
      </c>
      <c r="C68" s="101" t="s">
        <v>434</v>
      </c>
      <c r="D68" s="101" t="s">
        <v>240</v>
      </c>
      <c r="E68" s="129">
        <v>4000000</v>
      </c>
      <c r="F68" s="105" t="s">
        <v>238</v>
      </c>
      <c r="G68" s="206">
        <v>-0.05</v>
      </c>
      <c r="H68" s="206">
        <v>1</v>
      </c>
      <c r="I68" s="206"/>
      <c r="J68" s="206">
        <v>1</v>
      </c>
      <c r="K68" s="206">
        <v>1</v>
      </c>
      <c r="L68" s="184">
        <v>0.25</v>
      </c>
      <c r="M68" s="184">
        <v>0.25</v>
      </c>
      <c r="N68" s="184">
        <v>0.25</v>
      </c>
      <c r="O68" s="184"/>
      <c r="P68" s="184">
        <v>-0.25</v>
      </c>
      <c r="Q68" s="184">
        <v>0.2</v>
      </c>
      <c r="R68" s="184">
        <v>-0.2</v>
      </c>
      <c r="S68" s="184">
        <v>-0.2</v>
      </c>
      <c r="T68" s="184">
        <v>0.2</v>
      </c>
      <c r="U68" s="184">
        <v>-0.2</v>
      </c>
      <c r="V68" s="105">
        <v>0.5</v>
      </c>
      <c r="W68" s="161">
        <f>Таблица32[[#This Row],[Столбец7]]*Таблица32[[#This Row],[Ishga kelish nazoratchi2]]%</f>
        <v>0</v>
      </c>
      <c r="X68" s="131">
        <f>Таблица32[[#This Row],[Столбец7]]*Таблица32[[#This Row],[Ishga vaqtida kelish ketish]]%</f>
        <v>-2000</v>
      </c>
      <c r="Y68" s="131">
        <f>Таблица32[[#This Row],[Столбец7]]*Таблица32[[#This Row],[Ishga kelish bank klient]]%</f>
        <v>40000</v>
      </c>
      <c r="Z68" s="131">
        <f>Таблица32[[#This Row],[Столбец7]]*Таблица32[[#This Row],[Gruppa buxgalter]]%</f>
        <v>40000</v>
      </c>
      <c r="AA68" s="131">
        <f>Таблица32[[#This Row],[Столбец7]]*Таблица32[[#This Row],[Gruppa bank klient ]]%</f>
        <v>40000</v>
      </c>
      <c r="AB68" s="131">
        <f>Таблица32[[#This Row],[1c]]*Таблица32[[#This Row],[Столбец7]]/100</f>
        <v>0</v>
      </c>
      <c r="AC68" s="132">
        <f>SUM(Таблица32[[#This Row],[Didox]:[ мехнат]],Таблица32[[#This Row],[Avtokameral]])*Таблица32[[#This Row],[Столбец7]]/100</f>
        <v>20000</v>
      </c>
      <c r="AD68" s="132">
        <f>SUM(Таблица32[[#This Row],[Pul oqimlari]:[Foyda va zarar]])*Таблица32[[#This Row],[Столбец7]]/100</f>
        <v>-8000</v>
      </c>
      <c r="AE68" s="131">
        <f>Таблица32[[#This Row],[Столбец7]]*Таблица32[[#This Row],[Nazoratchi]]%</f>
        <v>20000</v>
      </c>
      <c r="AF68" s="131">
        <f>Таблица32[[#This Row],[Ishga vaqtida kelish nazoratchi]]+Таблица32[[#This Row],[Nazoratchi2]]</f>
        <v>20000</v>
      </c>
      <c r="AG6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50000</v>
      </c>
      <c r="AH68" s="131">
        <f>Таблица32[[#This Row],[Ishga kelish bank klient3]]+Таблица32[[#This Row],[Gruppa bank klient 2]]</f>
        <v>80000</v>
      </c>
    </row>
    <row r="69" spans="1:34" ht="18.75" x14ac:dyDescent="0.3">
      <c r="A69" s="130">
        <v>67</v>
      </c>
      <c r="B69" s="106" t="s">
        <v>247</v>
      </c>
      <c r="C69" s="107" t="s">
        <v>434</v>
      </c>
      <c r="D69" s="104" t="s">
        <v>428</v>
      </c>
      <c r="E69" s="127">
        <v>3000000</v>
      </c>
      <c r="F69" s="104" t="s">
        <v>238</v>
      </c>
      <c r="G69" s="206">
        <v>-0.05</v>
      </c>
      <c r="H69" s="206">
        <v>1</v>
      </c>
      <c r="I69" s="206"/>
      <c r="J69" s="206">
        <v>1</v>
      </c>
      <c r="K69" s="206">
        <v>1</v>
      </c>
      <c r="L69" s="183">
        <v>-0.25</v>
      </c>
      <c r="M69" s="183">
        <v>0.25</v>
      </c>
      <c r="N69" s="184"/>
      <c r="O69" s="184"/>
      <c r="P69" s="184">
        <v>-0.25</v>
      </c>
      <c r="Q69" s="184">
        <v>0.2</v>
      </c>
      <c r="R69" s="184">
        <v>0.2</v>
      </c>
      <c r="S69" s="184">
        <v>0.2</v>
      </c>
      <c r="T69" s="184">
        <v>0.2</v>
      </c>
      <c r="U69" s="184">
        <v>-0.2</v>
      </c>
      <c r="V69" s="105">
        <v>0.5</v>
      </c>
      <c r="W69" s="161">
        <f>Таблица32[[#This Row],[Столбец7]]*Таблица32[[#This Row],[Ishga kelish nazoratchi2]]%</f>
        <v>0</v>
      </c>
      <c r="X69" s="131">
        <f>Таблица32[[#This Row],[Столбец7]]*Таблица32[[#This Row],[Ishga vaqtida kelish ketish]]%</f>
        <v>-1500</v>
      </c>
      <c r="Y69" s="131">
        <f>Таблица32[[#This Row],[Столбец7]]*Таблица32[[#This Row],[Ishga kelish bank klient]]%</f>
        <v>30000</v>
      </c>
      <c r="Z69" s="131">
        <f>Таблица32[[#This Row],[Столбец7]]*Таблица32[[#This Row],[Gruppa buxgalter]]%</f>
        <v>30000</v>
      </c>
      <c r="AA69" s="131">
        <f>Таблица32[[#This Row],[Столбец7]]*Таблица32[[#This Row],[Gruppa bank klient ]]%</f>
        <v>30000</v>
      </c>
      <c r="AB69" s="131">
        <f>Таблица32[[#This Row],[1c]]*Таблица32[[#This Row],[Столбец7]]/100</f>
        <v>0</v>
      </c>
      <c r="AC69" s="132">
        <f>SUM(Таблица32[[#This Row],[Didox]:[ мехнат]],Таблица32[[#This Row],[Avtokameral]])*Таблица32[[#This Row],[Столбец7]]/100</f>
        <v>-7500</v>
      </c>
      <c r="AD69" s="132">
        <f>SUM(Таблица32[[#This Row],[Pul oqimlari]:[Foyda va zarar]])*Таблица32[[#This Row],[Столбец7]]/100</f>
        <v>18000.000000000004</v>
      </c>
      <c r="AE69" s="131">
        <f>Таблица32[[#This Row],[Столбец7]]*Таблица32[[#This Row],[Nazoratchi]]%</f>
        <v>15000</v>
      </c>
      <c r="AF69" s="131">
        <f>Таблица32[[#This Row],[Ishga vaqtida kelish nazoratchi]]+Таблица32[[#This Row],[Nazoratchi2]]</f>
        <v>15000</v>
      </c>
      <c r="AG6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39000</v>
      </c>
      <c r="AH69" s="131">
        <f>Таблица32[[#This Row],[Ishga kelish bank klient3]]+Таблица32[[#This Row],[Gruppa bank klient 2]]</f>
        <v>60000</v>
      </c>
    </row>
    <row r="70" spans="1:34" ht="18.75" x14ac:dyDescent="0.3">
      <c r="A70" s="130">
        <v>68</v>
      </c>
      <c r="B70" s="101" t="s">
        <v>220</v>
      </c>
      <c r="C70" s="101" t="s">
        <v>217</v>
      </c>
      <c r="D70" s="101" t="s">
        <v>240</v>
      </c>
      <c r="E70" s="129">
        <v>1500000</v>
      </c>
      <c r="F70" s="105" t="s">
        <v>238</v>
      </c>
      <c r="G70" s="206"/>
      <c r="H70" s="206">
        <v>1</v>
      </c>
      <c r="I70" s="206"/>
      <c r="J70" s="206">
        <v>1</v>
      </c>
      <c r="K70" s="206">
        <v>1</v>
      </c>
      <c r="L70" s="183">
        <v>0.25</v>
      </c>
      <c r="M70" s="183">
        <v>0.25</v>
      </c>
      <c r="N70" s="184"/>
      <c r="O70" s="184"/>
      <c r="P70" s="184">
        <v>-0.25</v>
      </c>
      <c r="Q70" s="184">
        <v>0</v>
      </c>
      <c r="R70" s="184">
        <v>0</v>
      </c>
      <c r="S70" s="184">
        <v>0</v>
      </c>
      <c r="T70" s="184">
        <v>0</v>
      </c>
      <c r="U70" s="184">
        <v>0</v>
      </c>
      <c r="V70" s="105">
        <v>0.5</v>
      </c>
      <c r="W70" s="161">
        <f>Таблица32[[#This Row],[Столбец7]]*Таблица32[[#This Row],[Ishga kelish nazoratchi2]]%</f>
        <v>0</v>
      </c>
      <c r="X70" s="131">
        <f>Таблица32[[#This Row],[Столбец7]]*Таблица32[[#This Row],[Ishga vaqtida kelish ketish]]%</f>
        <v>0</v>
      </c>
      <c r="Y70" s="131">
        <f>Таблица32[[#This Row],[Столбец7]]*Таблица32[[#This Row],[Ishga kelish bank klient]]%</f>
        <v>15000</v>
      </c>
      <c r="Z70" s="131">
        <f>Таблица32[[#This Row],[Столбец7]]*Таблица32[[#This Row],[Gruppa buxgalter]]%</f>
        <v>15000</v>
      </c>
      <c r="AA70" s="131">
        <f>Таблица32[[#This Row],[Столбец7]]*Таблица32[[#This Row],[Gruppa bank klient ]]%</f>
        <v>15000</v>
      </c>
      <c r="AB70" s="131">
        <f>Таблица32[[#This Row],[1c]]*Таблица32[[#This Row],[Столбец7]]/100</f>
        <v>0</v>
      </c>
      <c r="AC70" s="132">
        <f>SUM(Таблица32[[#This Row],[Didox]:[ мехнат]],Таблица32[[#This Row],[Avtokameral]])*Таблица32[[#This Row],[Столбец7]]/100</f>
        <v>3750</v>
      </c>
      <c r="AD70" s="132">
        <f>SUM(Таблица32[[#This Row],[Pul oqimlari]:[Foyda va zarar]])*Таблица32[[#This Row],[Столбец7]]/100</f>
        <v>0</v>
      </c>
      <c r="AE70" s="131">
        <f>Таблица32[[#This Row],[Столбец7]]*Таблица32[[#This Row],[Nazoratchi]]%</f>
        <v>7500</v>
      </c>
      <c r="AF70" s="131">
        <f>Таблица32[[#This Row],[Ishga vaqtida kelish nazoratchi]]+Таблица32[[#This Row],[Nazoratchi2]]</f>
        <v>7500</v>
      </c>
      <c r="AG7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18750</v>
      </c>
      <c r="AH70" s="131">
        <f>Таблица32[[#This Row],[Ishga kelish bank klient3]]+Таблица32[[#This Row],[Gruppa bank klient 2]]</f>
        <v>30000</v>
      </c>
    </row>
    <row r="71" spans="1:34" ht="18.75" x14ac:dyDescent="0.3">
      <c r="A71" s="130">
        <v>69</v>
      </c>
      <c r="B71" s="104" t="s">
        <v>222</v>
      </c>
      <c r="C71" s="104"/>
      <c r="D71" s="104"/>
      <c r="E71" s="122">
        <v>20000000</v>
      </c>
      <c r="F71" s="104"/>
      <c r="G71" s="206"/>
      <c r="H71" s="206"/>
      <c r="I71" s="209"/>
      <c r="J71" s="206"/>
      <c r="K71" s="206"/>
      <c r="L71" s="183">
        <v>0</v>
      </c>
      <c r="M71" s="183">
        <v>0</v>
      </c>
      <c r="N71" s="184"/>
      <c r="O71" s="184"/>
      <c r="P71" s="183">
        <v>0</v>
      </c>
      <c r="Q71" s="184">
        <v>0</v>
      </c>
      <c r="R71" s="184">
        <v>0</v>
      </c>
      <c r="S71" s="184">
        <v>0</v>
      </c>
      <c r="T71" s="184">
        <v>0</v>
      </c>
      <c r="U71" s="184">
        <v>0</v>
      </c>
      <c r="V71" s="105"/>
      <c r="W71" s="161">
        <f>Таблица32[[#This Row],[Столбец7]]*Таблица32[[#This Row],[Ishga kelish nazoratchi2]]%</f>
        <v>0</v>
      </c>
      <c r="X71" s="131">
        <f>Таблица32[[#This Row],[Столбец7]]*Таблица32[[#This Row],[Ishga vaqtida kelish ketish]]%</f>
        <v>0</v>
      </c>
      <c r="Y71" s="131">
        <f>Таблица32[[#This Row],[Столбец7]]*Таблица32[[#This Row],[Ishga kelish bank klient]]%</f>
        <v>0</v>
      </c>
      <c r="Z71" s="131">
        <f>Таблица32[[#This Row],[Столбец7]]*Таблица32[[#This Row],[Gruppa buxgalter]]%</f>
        <v>0</v>
      </c>
      <c r="AA71" s="131">
        <f>Таблица32[[#This Row],[Столбец7]]*Таблица32[[#This Row],[Gruppa bank klient ]]%</f>
        <v>0</v>
      </c>
      <c r="AB71" s="131">
        <f>Таблица32[[#This Row],[1c]]*Таблица32[[#This Row],[Столбец7]]/100</f>
        <v>0</v>
      </c>
      <c r="AC71" s="132">
        <f>SUM(Таблица32[[#This Row],[Didox]:[ мехнат]],Таблица32[[#This Row],[Avtokameral]])*Таблица32[[#This Row],[Столбец7]]/100</f>
        <v>0</v>
      </c>
      <c r="AD71" s="132">
        <f>SUM(Таблица32[[#This Row],[Pul oqimlari]:[Foyda va zarar]])*Таблица32[[#This Row],[Столбец7]]/100</f>
        <v>0</v>
      </c>
      <c r="AE71" s="131">
        <f>Таблица32[[#This Row],[Столбец7]]*Таблица32[[#This Row],[Nazoratchi]]%</f>
        <v>0</v>
      </c>
      <c r="AF71" s="131">
        <f>Таблица32[[#This Row],[Ishga vaqtida kelish nazoratchi]]+Таблица32[[#This Row],[Nazoratchi2]]</f>
        <v>0</v>
      </c>
      <c r="AG7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71" s="131">
        <f>Таблица32[[#This Row],[Ishga kelish bank klient3]]+Таблица32[[#This Row],[Gruppa bank klient 2]]</f>
        <v>0</v>
      </c>
    </row>
    <row r="72" spans="1:34" ht="18.75" x14ac:dyDescent="0.3">
      <c r="A72" s="130">
        <v>70</v>
      </c>
      <c r="B72" s="106" t="s">
        <v>244</v>
      </c>
      <c r="C72" s="104" t="s">
        <v>309</v>
      </c>
      <c r="D72" s="106"/>
      <c r="E72" s="122">
        <v>200000</v>
      </c>
      <c r="F72" s="104" t="s">
        <v>218</v>
      </c>
      <c r="G72" s="206">
        <v>-0.8</v>
      </c>
      <c r="H72" s="206"/>
      <c r="I72" s="206"/>
      <c r="J72" s="206">
        <v>1</v>
      </c>
      <c r="K72" s="206"/>
      <c r="L72" s="183">
        <v>0</v>
      </c>
      <c r="M72" s="183">
        <v>0</v>
      </c>
      <c r="N72" s="184"/>
      <c r="O72" s="184"/>
      <c r="P72" s="183">
        <v>0</v>
      </c>
      <c r="Q72" s="184">
        <v>0</v>
      </c>
      <c r="R72" s="184">
        <v>0</v>
      </c>
      <c r="S72" s="184">
        <v>0</v>
      </c>
      <c r="T72" s="184">
        <v>0</v>
      </c>
      <c r="U72" s="184">
        <v>0</v>
      </c>
      <c r="V72" s="206">
        <v>0.5</v>
      </c>
      <c r="W72" s="161">
        <f>Таблица32[[#This Row],[Столбец7]]*Таблица32[[#This Row],[Ishga kelish nazoratchi2]]%</f>
        <v>0</v>
      </c>
      <c r="X72" s="131">
        <f>Таблица32[[#This Row],[Столбец7]]*Таблица32[[#This Row],[Ishga vaqtida kelish ketish]]%</f>
        <v>-1600</v>
      </c>
      <c r="Y72" s="131">
        <f>Таблица32[[#This Row],[Столбец7]]*Таблица32[[#This Row],[Ishga kelish bank klient]]%</f>
        <v>0</v>
      </c>
      <c r="Z72" s="131">
        <f>Таблица32[[#This Row],[Столбец7]]*Таблица32[[#This Row],[Gruppa buxgalter]]%</f>
        <v>2000</v>
      </c>
      <c r="AA72" s="131">
        <f>Таблица32[[#This Row],[Столбец7]]*Таблица32[[#This Row],[Gruppa bank klient ]]%</f>
        <v>0</v>
      </c>
      <c r="AB72" s="131">
        <f>Таблица32[[#This Row],[1c]]*Таблица32[[#This Row],[Столбец7]]/100</f>
        <v>0</v>
      </c>
      <c r="AC72" s="132">
        <f>SUM(Таблица32[[#This Row],[Didox]:[ мехнат]],Таблица32[[#This Row],[Avtokameral]])*Таблица32[[#This Row],[Столбец7]]/100</f>
        <v>0</v>
      </c>
      <c r="AD72" s="132">
        <f>SUM(Таблица32[[#This Row],[Pul oqimlari]:[Foyda va zarar]])*Таблица32[[#This Row],[Столбец7]]/100</f>
        <v>0</v>
      </c>
      <c r="AE72" s="131">
        <f>Таблица32[[#This Row],[Столбец7]]*Таблица32[[#This Row],[Nazoratchi]]%</f>
        <v>1000</v>
      </c>
      <c r="AF72" s="131">
        <f>Таблица32[[#This Row],[Ishga vaqtida kelish nazoratchi]]+Таблица32[[#This Row],[Nazoratchi2]]</f>
        <v>1000</v>
      </c>
      <c r="AG7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400</v>
      </c>
      <c r="AH72" s="131">
        <f>Таблица32[[#This Row],[Ishga kelish bank klient3]]+Таблица32[[#This Row],[Gruppa bank klient 2]]</f>
        <v>0</v>
      </c>
    </row>
    <row r="73" spans="1:34" ht="18.75" x14ac:dyDescent="0.3">
      <c r="A73" s="130">
        <v>71</v>
      </c>
      <c r="B73" s="104" t="s">
        <v>245</v>
      </c>
      <c r="C73" s="104" t="s">
        <v>219</v>
      </c>
      <c r="D73" s="104"/>
      <c r="E73" s="122">
        <v>1000000</v>
      </c>
      <c r="F73" s="104" t="s">
        <v>218</v>
      </c>
      <c r="G73" s="206"/>
      <c r="H73" s="206"/>
      <c r="I73" s="206"/>
      <c r="J73" s="206">
        <v>-1</v>
      </c>
      <c r="K73" s="206"/>
      <c r="L73" s="183">
        <v>0.25</v>
      </c>
      <c r="M73" s="183">
        <v>0.25</v>
      </c>
      <c r="N73" s="184"/>
      <c r="O73" s="184"/>
      <c r="P73" s="184">
        <v>-0.25</v>
      </c>
      <c r="Q73" s="184">
        <v>0</v>
      </c>
      <c r="R73" s="184">
        <v>0.2</v>
      </c>
      <c r="S73" s="184">
        <v>0.2</v>
      </c>
      <c r="T73" s="184">
        <v>-0.2</v>
      </c>
      <c r="U73" s="184">
        <v>0.2</v>
      </c>
      <c r="V73" s="206">
        <v>-1</v>
      </c>
      <c r="W73" s="161">
        <f>Таблица32[[#This Row],[Столбец7]]*Таблица32[[#This Row],[Ishga kelish nazoratchi2]]%</f>
        <v>0</v>
      </c>
      <c r="X73" s="131">
        <f>Таблица32[[#This Row],[Столбец7]]*Таблица32[[#This Row],[Ishga vaqtida kelish ketish]]%</f>
        <v>0</v>
      </c>
      <c r="Y73" s="131">
        <f>Таблица32[[#This Row],[Столбец7]]*Таблица32[[#This Row],[Ishga kelish bank klient]]%</f>
        <v>0</v>
      </c>
      <c r="Z73" s="131">
        <f>Таблица32[[#This Row],[Столбец7]]*Таблица32[[#This Row],[Gruppa buxgalter]]%</f>
        <v>-10000</v>
      </c>
      <c r="AA73" s="131"/>
      <c r="AB73" s="131">
        <f>Таблица32[[#This Row],[1c]]*Таблица32[[#This Row],[Столбец7]]/100</f>
        <v>0</v>
      </c>
      <c r="AC73" s="132">
        <f>SUM(Таблица32[[#This Row],[Didox]:[ мехнат]],Таблица32[[#This Row],[Avtokameral]])*Таблица32[[#This Row],[Столбец7]]/100</f>
        <v>2500</v>
      </c>
      <c r="AD73" s="132">
        <f>SUM(Таблица32[[#This Row],[Pul oqimlari]:[Foyda va zarar]])*Таблица32[[#This Row],[Столбец7]]/100</f>
        <v>4000</v>
      </c>
      <c r="AE73" s="131">
        <f>Таблица32[[#This Row],[Столбец7]]*Таблица32[[#This Row],[Nazoratchi]]%</f>
        <v>-10000</v>
      </c>
      <c r="AF73" s="131">
        <f>Таблица32[[#This Row],[Ishga vaqtida kelish nazoratchi]]+Таблица32[[#This Row],[Nazoratchi2]]</f>
        <v>-10000</v>
      </c>
      <c r="AG7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-3500</v>
      </c>
      <c r="AH73" s="132">
        <f>Таблица32[[#This Row],[Ishga kelish bank klient3]]+Таблица32[[#This Row],[Gruppa bank klient 2]]</f>
        <v>0</v>
      </c>
    </row>
    <row r="74" spans="1:34" ht="18.75" x14ac:dyDescent="0.3">
      <c r="A74" s="130">
        <v>72</v>
      </c>
      <c r="B74" s="104" t="s">
        <v>301</v>
      </c>
      <c r="C74" s="104" t="s">
        <v>243</v>
      </c>
      <c r="D74" s="104" t="s">
        <v>428</v>
      </c>
      <c r="E74" s="122">
        <v>11000000</v>
      </c>
      <c r="F74" s="104" t="s">
        <v>238</v>
      </c>
      <c r="G74" s="206"/>
      <c r="H74" s="206">
        <v>1</v>
      </c>
      <c r="I74" s="206"/>
      <c r="J74" s="206">
        <v>1</v>
      </c>
      <c r="K74" s="206">
        <v>1</v>
      </c>
      <c r="L74" s="183">
        <v>0.25</v>
      </c>
      <c r="M74" s="183">
        <v>0.25</v>
      </c>
      <c r="N74" s="183"/>
      <c r="O74" s="184"/>
      <c r="P74" s="183">
        <v>0.25</v>
      </c>
      <c r="Q74" s="184">
        <v>0.2</v>
      </c>
      <c r="R74" s="184">
        <v>-0.2</v>
      </c>
      <c r="S74" s="184">
        <v>0</v>
      </c>
      <c r="T74" s="184">
        <v>-0.2</v>
      </c>
      <c r="U74" s="184">
        <v>-0.2</v>
      </c>
      <c r="V74" s="105">
        <v>0.5</v>
      </c>
      <c r="W74" s="161">
        <f>Таблица32[[#This Row],[Столбец7]]*Таблица32[[#This Row],[Ishga kelish nazoratchi2]]%</f>
        <v>0</v>
      </c>
      <c r="X74" s="131">
        <f>Таблица32[[#This Row],[Столбец7]]*Таблица32[[#This Row],[Ishga vaqtida kelish ketish]]%</f>
        <v>0</v>
      </c>
      <c r="Y74" s="131">
        <f>Таблица32[[#This Row],[Столбец7]]*Таблица32[[#This Row],[Ishga kelish bank klient]]%</f>
        <v>110000</v>
      </c>
      <c r="Z74" s="131">
        <f>Таблица32[[#This Row],[Столбец7]]*Таблица32[[#This Row],[Gruppa buxgalter]]%</f>
        <v>110000</v>
      </c>
      <c r="AA74" s="131">
        <f>Таблица32[[#This Row],[Столбец7]]*Таблица32[[#This Row],[Gruppa bank klient ]]%</f>
        <v>110000</v>
      </c>
      <c r="AB74" s="131">
        <f>Таблица32[[#This Row],[1c]]*Таблица32[[#This Row],[Столбец7]]/100</f>
        <v>0</v>
      </c>
      <c r="AC74" s="132">
        <f>SUM(Таблица32[[#This Row],[Didox]:[ мехнат]],Таблица32[[#This Row],[Avtokameral]])*Таблица32[[#This Row],[Столбец7]]/100</f>
        <v>82500</v>
      </c>
      <c r="AD74" s="132">
        <f>SUM(Таблица32[[#This Row],[Pul oqimlari]:[Foyda va zarar]])*Таблица32[[#This Row],[Столбец7]]/100</f>
        <v>-44000</v>
      </c>
      <c r="AE74" s="131">
        <f>Таблица32[[#This Row],[Столбец7]]*Таблица32[[#This Row],[Nazoratchi]]%</f>
        <v>55000</v>
      </c>
      <c r="AF74" s="131">
        <f>Таблица32[[#This Row],[Ishga vaqtida kelish nazoratchi]]+Таблица32[[#This Row],[Nazoratchi2]]</f>
        <v>55000</v>
      </c>
      <c r="AG7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148500</v>
      </c>
      <c r="AH74" s="131">
        <f>Таблица32[[#This Row],[Ishga kelish bank klient3]]+Таблица32[[#This Row],[Gruppa bank klient 2]]</f>
        <v>220000</v>
      </c>
    </row>
    <row r="75" spans="1:34" ht="18.75" x14ac:dyDescent="0.3">
      <c r="A75" s="130">
        <v>73</v>
      </c>
      <c r="B75" s="104" t="s">
        <v>316</v>
      </c>
      <c r="C75" s="104" t="s">
        <v>217</v>
      </c>
      <c r="D75" s="104" t="s">
        <v>240</v>
      </c>
      <c r="E75" s="122">
        <v>1000000</v>
      </c>
      <c r="F75" s="104" t="s">
        <v>238</v>
      </c>
      <c r="G75" s="206"/>
      <c r="H75" s="206">
        <v>1</v>
      </c>
      <c r="I75" s="209"/>
      <c r="J75" s="206">
        <v>1</v>
      </c>
      <c r="K75" s="206">
        <v>1</v>
      </c>
      <c r="L75" s="183">
        <v>-0.25</v>
      </c>
      <c r="M75" s="183">
        <v>-0.25</v>
      </c>
      <c r="N75" s="183"/>
      <c r="O75" s="184"/>
      <c r="P75" s="184">
        <v>0.25</v>
      </c>
      <c r="Q75" s="184">
        <v>-0.2</v>
      </c>
      <c r="R75" s="184">
        <v>-0.2</v>
      </c>
      <c r="S75" s="184">
        <v>-0.2</v>
      </c>
      <c r="T75" s="184">
        <v>-0.2</v>
      </c>
      <c r="U75" s="184">
        <v>-0.2</v>
      </c>
      <c r="V75" s="105">
        <v>0.5</v>
      </c>
      <c r="W75" s="161">
        <f>Таблица32[[#This Row],[Столбец7]]*Таблица32[[#This Row],[Ishga kelish nazoratchi2]]%</f>
        <v>0</v>
      </c>
      <c r="X75" s="131">
        <f>Таблица32[[#This Row],[Столбец7]]*Таблица32[[#This Row],[Ishga vaqtida kelish ketish]]%</f>
        <v>0</v>
      </c>
      <c r="Y75" s="131">
        <f>Таблица32[[#This Row],[Столбец7]]*Таблица32[[#This Row],[Ishga kelish bank klient]]%</f>
        <v>10000</v>
      </c>
      <c r="Z75" s="131">
        <f>Таблица32[[#This Row],[Столбец7]]*Таблица32[[#This Row],[Gruppa buxgalter]]%</f>
        <v>10000</v>
      </c>
      <c r="AA75" s="131">
        <f>Таблица32[[#This Row],[Столбец7]]*Таблица32[[#This Row],[Gruppa bank klient ]]%</f>
        <v>10000</v>
      </c>
      <c r="AB75" s="131">
        <f>Таблица32[[#This Row],[1c]]*Таблица32[[#This Row],[Столбец7]]/100</f>
        <v>0</v>
      </c>
      <c r="AC75" s="132">
        <f>SUM(Таблица32[[#This Row],[Didox]:[ мехнат]],Таблица32[[#This Row],[Avtokameral]])*Таблица32[[#This Row],[Столбец7]]/100</f>
        <v>-2500</v>
      </c>
      <c r="AD75" s="132">
        <f>SUM(Таблица32[[#This Row],[Pul oqimlari]:[Foyda va zarar]])*Таблица32[[#This Row],[Столбец7]]/100</f>
        <v>-10000</v>
      </c>
      <c r="AE75" s="131">
        <f>Таблица32[[#This Row],[Столбец7]]*Таблица32[[#This Row],[Nazoratchi]]%</f>
        <v>5000</v>
      </c>
      <c r="AF75" s="131">
        <f>Таблица32[[#This Row],[Ishga vaqtida kelish nazoratchi]]+Таблица32[[#This Row],[Nazoratchi2]]</f>
        <v>5000</v>
      </c>
      <c r="AG7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-2500</v>
      </c>
      <c r="AH75" s="131">
        <f>Таблица32[[#This Row],[Ishga kelish bank klient3]]+Таблица32[[#This Row],[Gruppa bank klient 2]]</f>
        <v>20000</v>
      </c>
    </row>
    <row r="76" spans="1:34" ht="18.75" x14ac:dyDescent="0.3">
      <c r="A76" s="130">
        <v>74</v>
      </c>
      <c r="B76" s="106" t="s">
        <v>333</v>
      </c>
      <c r="C76" s="104" t="s">
        <v>238</v>
      </c>
      <c r="D76" s="104" t="s">
        <v>428</v>
      </c>
      <c r="E76" s="122">
        <v>2500000</v>
      </c>
      <c r="F76" s="104" t="s">
        <v>218</v>
      </c>
      <c r="G76" s="206">
        <v>-0.8</v>
      </c>
      <c r="H76" s="206">
        <v>1</v>
      </c>
      <c r="I76" s="209"/>
      <c r="J76" s="206">
        <v>-1</v>
      </c>
      <c r="K76" s="206">
        <v>1</v>
      </c>
      <c r="L76" s="183">
        <v>0.25</v>
      </c>
      <c r="M76" s="183">
        <v>0.25</v>
      </c>
      <c r="N76" s="184">
        <v>0.25</v>
      </c>
      <c r="O76" s="184"/>
      <c r="P76" s="183">
        <v>0.25</v>
      </c>
      <c r="Q76" s="116">
        <v>0.2</v>
      </c>
      <c r="R76" s="116">
        <v>0.2</v>
      </c>
      <c r="S76" s="116">
        <v>0.2</v>
      </c>
      <c r="T76" s="116">
        <v>0.2</v>
      </c>
      <c r="U76" s="116">
        <v>0.2</v>
      </c>
      <c r="V76" s="105">
        <v>-1</v>
      </c>
      <c r="W76" s="161">
        <f>Таблица32[[#This Row],[Столбец7]]*Таблица32[[#This Row],[Ishga kelish nazoratchi2]]%</f>
        <v>0</v>
      </c>
      <c r="X76" s="131">
        <f>Таблица32[[#This Row],[Столбец7]]*Таблица32[[#This Row],[Ishga vaqtida kelish ketish]]%</f>
        <v>-20000</v>
      </c>
      <c r="Y76" s="131">
        <f>Таблица32[[#This Row],[Столбец7]]*Таблица32[[#This Row],[Ishga kelish bank klient]]%</f>
        <v>25000</v>
      </c>
      <c r="Z76" s="131">
        <f>Таблица32[[#This Row],[Столбец7]]*Таблица32[[#This Row],[Gruppa buxgalter]]%</f>
        <v>-25000</v>
      </c>
      <c r="AA76" s="131">
        <f>Таблица32[[#This Row],[Столбец7]]*Таблица32[[#This Row],[Gruppa bank klient ]]%</f>
        <v>25000</v>
      </c>
      <c r="AB76" s="131">
        <f>Таблица32[[#This Row],[1c]]*Таблица32[[#This Row],[Столбец7]]/100</f>
        <v>0</v>
      </c>
      <c r="AC76" s="132">
        <f>SUM(Таблица32[[#This Row],[Didox]:[ мехнат]],Таблица32[[#This Row],[Avtokameral]])*Таблица32[[#This Row],[Столбец7]]/100</f>
        <v>25000</v>
      </c>
      <c r="AD76" s="132">
        <f>SUM(Таблица32[[#This Row],[Pul oqimlari]:[Foyda va zarar]])*Таблица32[[#This Row],[Столбец7]]/100</f>
        <v>25000</v>
      </c>
      <c r="AE76" s="131">
        <f>Таблица32[[#This Row],[Столбец7]]*Таблица32[[#This Row],[Nazoratchi]]%</f>
        <v>-25000</v>
      </c>
      <c r="AF76" s="131">
        <f>Таблица32[[#This Row],[Ishga vaqtida kelish nazoratchi]]+Таблица32[[#This Row],[Nazoratchi2]]</f>
        <v>-25000</v>
      </c>
      <c r="AG7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5000</v>
      </c>
      <c r="AH76" s="131">
        <f>Таблица32[[#This Row],[Ishga kelish bank klient3]]+Таблица32[[#This Row],[Gruppa bank klient 2]]</f>
        <v>50000</v>
      </c>
    </row>
    <row r="77" spans="1:34" ht="18.75" x14ac:dyDescent="0.3">
      <c r="A77" s="130">
        <v>75</v>
      </c>
      <c r="B77" s="104" t="s">
        <v>272</v>
      </c>
      <c r="C77" s="104" t="s">
        <v>238</v>
      </c>
      <c r="D77" s="106" t="s">
        <v>240</v>
      </c>
      <c r="E77" s="122">
        <v>700000</v>
      </c>
      <c r="F77" s="104" t="s">
        <v>218</v>
      </c>
      <c r="G77" s="206">
        <v>-0.8</v>
      </c>
      <c r="H77" s="206">
        <v>1</v>
      </c>
      <c r="I77" s="209"/>
      <c r="J77" s="206">
        <v>1</v>
      </c>
      <c r="K77" s="206">
        <v>1</v>
      </c>
      <c r="L77" s="183">
        <v>0.25</v>
      </c>
      <c r="M77" s="183">
        <v>0.25</v>
      </c>
      <c r="N77" s="184"/>
      <c r="O77" s="184"/>
      <c r="P77" s="183">
        <v>0.25</v>
      </c>
      <c r="Q77" s="184">
        <v>0</v>
      </c>
      <c r="R77" s="116">
        <v>0.2</v>
      </c>
      <c r="S77" s="116">
        <v>0.2</v>
      </c>
      <c r="T77" s="184">
        <v>0</v>
      </c>
      <c r="U77" s="184">
        <v>0</v>
      </c>
      <c r="V77" s="105">
        <v>0.5</v>
      </c>
      <c r="W77" s="161">
        <f>Таблица32[[#This Row],[Столбец7]]*Таблица32[[#This Row],[Ishga kelish nazoratchi2]]%</f>
        <v>0</v>
      </c>
      <c r="X77" s="131">
        <f>Таблица32[[#This Row],[Столбец7]]*Таблица32[[#This Row],[Ishga vaqtida kelish ketish]]%</f>
        <v>-5600</v>
      </c>
      <c r="Y77" s="131">
        <f>Таблица32[[#This Row],[Столбец7]]*Таблица32[[#This Row],[Ishga kelish bank klient]]%</f>
        <v>7000</v>
      </c>
      <c r="Z77" s="131">
        <f>Таблица32[[#This Row],[Столбец7]]*Таблица32[[#This Row],[Gruppa buxgalter]]%</f>
        <v>7000</v>
      </c>
      <c r="AA77" s="131">
        <f>Таблица32[[#This Row],[Столбец7]]*Таблица32[[#This Row],[Gruppa bank klient ]]%</f>
        <v>7000</v>
      </c>
      <c r="AB77" s="131">
        <f>Таблица32[[#This Row],[1c]]*Таблица32[[#This Row],[Столбец7]]/100</f>
        <v>0</v>
      </c>
      <c r="AC77" s="132">
        <f>SUM(Таблица32[[#This Row],[Didox]:[ мехнат]],Таблица32[[#This Row],[Avtokameral]])*Таблица32[[#This Row],[Столбец7]]/100</f>
        <v>5250</v>
      </c>
      <c r="AD77" s="132">
        <f>SUM(Таблица32[[#This Row],[Pul oqimlari]:[Foyda va zarar]])*Таблица32[[#This Row],[Столбец7]]/100</f>
        <v>2800</v>
      </c>
      <c r="AE77" s="131">
        <f>Таблица32[[#This Row],[Столбец7]]*Таблица32[[#This Row],[Nazoratchi]]%</f>
        <v>3500</v>
      </c>
      <c r="AF77" s="131">
        <f>Таблица32[[#This Row],[Ishga vaqtida kelish nazoratchi]]+Таблица32[[#This Row],[Nazoratchi2]]</f>
        <v>3500</v>
      </c>
      <c r="AG7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9450</v>
      </c>
      <c r="AH77" s="131">
        <f>Таблица32[[#This Row],[Ishga kelish bank klient3]]+Таблица32[[#This Row],[Gruppa bank klient 2]]</f>
        <v>14000</v>
      </c>
    </row>
    <row r="78" spans="1:34" ht="18.75" x14ac:dyDescent="0.3">
      <c r="A78" s="130">
        <v>76</v>
      </c>
      <c r="B78" s="104" t="s">
        <v>249</v>
      </c>
      <c r="C78" s="104" t="s">
        <v>218</v>
      </c>
      <c r="D78" s="104"/>
      <c r="E78" s="127">
        <v>170000</v>
      </c>
      <c r="F78" s="104" t="s">
        <v>238</v>
      </c>
      <c r="G78" s="206">
        <v>0.05</v>
      </c>
      <c r="H78" s="206"/>
      <c r="I78" s="206"/>
      <c r="J78" s="206">
        <v>1</v>
      </c>
      <c r="K78" s="206"/>
      <c r="L78" s="183">
        <v>0</v>
      </c>
      <c r="M78" s="183">
        <v>0</v>
      </c>
      <c r="N78" s="184"/>
      <c r="O78" s="184"/>
      <c r="P78" s="183">
        <v>0</v>
      </c>
      <c r="Q78" s="183">
        <v>0</v>
      </c>
      <c r="R78" s="183">
        <v>0</v>
      </c>
      <c r="S78" s="183">
        <v>0</v>
      </c>
      <c r="T78" s="183">
        <v>0</v>
      </c>
      <c r="U78" s="183">
        <v>0</v>
      </c>
      <c r="V78" s="206">
        <v>0.5</v>
      </c>
      <c r="W78" s="161">
        <f>Таблица32[[#This Row],[Столбец7]]*Таблица32[[#This Row],[Ishga kelish nazoratchi2]]%</f>
        <v>0</v>
      </c>
      <c r="X78" s="131">
        <f>Таблица32[[#This Row],[Столбец7]]*Таблица32[[#This Row],[Ishga vaqtida kelish ketish]]%</f>
        <v>85</v>
      </c>
      <c r="Y78" s="131">
        <f>Таблица32[[#This Row],[Столбец7]]*Таблица32[[#This Row],[Ishga kelish bank klient]]%</f>
        <v>0</v>
      </c>
      <c r="Z78" s="131">
        <f>Таблица32[[#This Row],[Столбец7]]*Таблица32[[#This Row],[Gruppa buxgalter]]%</f>
        <v>1700</v>
      </c>
      <c r="AA78" s="131">
        <f>Таблица32[[#This Row],[Столбец7]]*Таблица32[[#This Row],[Gruppa bank klient ]]%</f>
        <v>0</v>
      </c>
      <c r="AB78" s="131">
        <f>Таблица32[[#This Row],[1c]]*Таблица32[[#This Row],[Столбец7]]/100</f>
        <v>0</v>
      </c>
      <c r="AC78" s="132">
        <f>SUM(Таблица32[[#This Row],[Didox]:[ мехнат]],Таблица32[[#This Row],[Avtokameral]])*Таблица32[[#This Row],[Столбец7]]/100</f>
        <v>0</v>
      </c>
      <c r="AD78" s="132">
        <f>SUM(Таблица32[[#This Row],[Pul oqimlari]:[Foyda va zarar]])*Таблица32[[#This Row],[Столбец7]]/100</f>
        <v>0</v>
      </c>
      <c r="AE78" s="131">
        <f>Таблица32[[#This Row],[Столбец7]]*Таблица32[[#This Row],[Nazoratchi]]%</f>
        <v>850</v>
      </c>
      <c r="AF78" s="131">
        <f>Таблица32[[#This Row],[Ishga vaqtida kelish nazoratchi]]+Таблица32[[#This Row],[Nazoratchi2]]</f>
        <v>850</v>
      </c>
      <c r="AG7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1785</v>
      </c>
      <c r="AH78" s="131">
        <f>Таблица32[[#This Row],[Ishga kelish bank klient3]]+Таблица32[[#This Row],[Gruppa bank klient 2]]</f>
        <v>0</v>
      </c>
    </row>
    <row r="79" spans="1:34" ht="18.75" x14ac:dyDescent="0.3">
      <c r="A79" s="130">
        <v>77</v>
      </c>
      <c r="B79" s="101" t="s">
        <v>321</v>
      </c>
      <c r="C79" s="104" t="s">
        <v>335</v>
      </c>
      <c r="D79" s="104" t="s">
        <v>240</v>
      </c>
      <c r="E79" s="122">
        <v>1000000</v>
      </c>
      <c r="F79" s="104" t="s">
        <v>218</v>
      </c>
      <c r="G79" s="206">
        <v>-0.35</v>
      </c>
      <c r="H79" s="206">
        <v>1</v>
      </c>
      <c r="I79" s="206"/>
      <c r="J79" s="206">
        <v>1</v>
      </c>
      <c r="K79" s="206">
        <v>1</v>
      </c>
      <c r="L79" s="183">
        <v>0.25</v>
      </c>
      <c r="M79" s="184">
        <v>-0.25</v>
      </c>
      <c r="N79" s="184"/>
      <c r="O79" s="184">
        <v>1</v>
      </c>
      <c r="P79" s="183">
        <v>0.25</v>
      </c>
      <c r="Q79" s="116">
        <v>0.2</v>
      </c>
      <c r="R79" s="116">
        <v>0.2</v>
      </c>
      <c r="S79" s="116">
        <v>0.2</v>
      </c>
      <c r="T79" s="116">
        <v>0.2</v>
      </c>
      <c r="U79" s="116">
        <v>0.2</v>
      </c>
      <c r="V79" s="105">
        <v>0.5</v>
      </c>
      <c r="W79" s="161">
        <f>Таблица32[[#This Row],[Столбец7]]*Таблица32[[#This Row],[Ishga kelish nazoratchi2]]%</f>
        <v>0</v>
      </c>
      <c r="X79" s="131">
        <f>Таблица32[[#This Row],[Столбец7]]*Таблица32[[#This Row],[Ishga vaqtida kelish ketish]]%</f>
        <v>-3499.9999999999995</v>
      </c>
      <c r="Y79" s="131">
        <f>Таблица32[[#This Row],[Столбец7]]*Таблица32[[#This Row],[Ishga kelish bank klient]]%</f>
        <v>10000</v>
      </c>
      <c r="Z79" s="131">
        <f>Таблица32[[#This Row],[Столбец7]]*Таблица32[[#This Row],[Gruppa buxgalter]]%</f>
        <v>10000</v>
      </c>
      <c r="AA79" s="131">
        <f>Таблица32[[#This Row],[Столбец7]]*Таблица32[[#This Row],[Gruppa bank klient ]]%</f>
        <v>10000</v>
      </c>
      <c r="AB79" s="131">
        <f>Таблица32[[#This Row],[1c]]*Таблица32[[#This Row],[Столбец7]]/100</f>
        <v>10000</v>
      </c>
      <c r="AC79" s="132">
        <f>SUM(Таблица32[[#This Row],[Didox]:[ мехнат]],Таблица32[[#This Row],[Avtokameral]])*Таблица32[[#This Row],[Столбец7]]/100</f>
        <v>2500</v>
      </c>
      <c r="AD79" s="132">
        <f>SUM(Таблица32[[#This Row],[Pul oqimlari]:[Foyda va zarar]])*Таблица32[[#This Row],[Столбец7]]/100</f>
        <v>10000</v>
      </c>
      <c r="AE79" s="131">
        <f>Таблица32[[#This Row],[Столбец7]]*Таблица32[[#This Row],[Nazoratchi]]%</f>
        <v>5000</v>
      </c>
      <c r="AF79" s="131">
        <f>Таблица32[[#This Row],[Ishga vaqtida kelish nazoratchi]]+Таблица32[[#This Row],[Nazoratchi2]]</f>
        <v>5000</v>
      </c>
      <c r="AG7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79" s="131">
        <f>Таблица32[[#This Row],[Ishga kelish bank klient3]]+Таблица32[[#This Row],[Gruppa bank klient 2]]</f>
        <v>20000</v>
      </c>
    </row>
    <row r="80" spans="1:34" ht="18.75" x14ac:dyDescent="0.3">
      <c r="A80" s="130">
        <v>78</v>
      </c>
      <c r="B80" s="106" t="s">
        <v>250</v>
      </c>
      <c r="C80" s="104" t="s">
        <v>335</v>
      </c>
      <c r="D80" s="106"/>
      <c r="E80" s="122">
        <v>10000000</v>
      </c>
      <c r="F80" s="104" t="s">
        <v>218</v>
      </c>
      <c r="G80" s="206">
        <v>-0.35</v>
      </c>
      <c r="H80" s="206"/>
      <c r="I80" s="206"/>
      <c r="J80" s="206">
        <v>1</v>
      </c>
      <c r="K80" s="206"/>
      <c r="L80" s="184">
        <v>0</v>
      </c>
      <c r="M80" s="184">
        <v>-0.25</v>
      </c>
      <c r="N80" s="184">
        <v>0</v>
      </c>
      <c r="O80" s="184">
        <v>1</v>
      </c>
      <c r="P80" s="183">
        <v>0.25</v>
      </c>
      <c r="Q80" s="116">
        <v>0.2</v>
      </c>
      <c r="R80" s="184">
        <v>0</v>
      </c>
      <c r="S80" s="184">
        <v>0</v>
      </c>
      <c r="T80" s="116">
        <v>0.2</v>
      </c>
      <c r="U80" s="116">
        <v>0.2</v>
      </c>
      <c r="V80" s="105">
        <v>0.5</v>
      </c>
      <c r="W80" s="161">
        <f>Таблица32[[#This Row],[Столбец7]]*Таблица32[[#This Row],[Ishga kelish nazoratchi2]]%</f>
        <v>0</v>
      </c>
      <c r="X80" s="131">
        <f>Таблица32[[#This Row],[Столбец7]]*Таблица32[[#This Row],[Ishga vaqtida kelish ketish]]%</f>
        <v>-35000</v>
      </c>
      <c r="Y80" s="131">
        <f>Таблица32[[#This Row],[Столбец7]]*Таблица32[[#This Row],[Ishga kelish bank klient]]%</f>
        <v>0</v>
      </c>
      <c r="Z80" s="131">
        <f>Таблица32[[#This Row],[Столбец7]]*Таблица32[[#This Row],[Gruppa buxgalter]]%</f>
        <v>100000</v>
      </c>
      <c r="AA80" s="131">
        <f>Таблица32[[#This Row],[Столбец7]]*Таблица32[[#This Row],[Gruppa bank klient ]]%</f>
        <v>0</v>
      </c>
      <c r="AB80" s="131">
        <f>Таблица32[[#This Row],[1c]]*Таблица32[[#This Row],[Столбец7]]/100</f>
        <v>100000</v>
      </c>
      <c r="AC80" s="132">
        <f>SUM(Таблица32[[#This Row],[Didox]:[ мехнат]],Таблица32[[#This Row],[Avtokameral]])*Таблица32[[#This Row],[Столбец7]]/100</f>
        <v>0</v>
      </c>
      <c r="AD80" s="132">
        <f>SUM(Таблица32[[#This Row],[Pul oqimlari]:[Foyda va zarar]])*Таблица32[[#This Row],[Столбец7]]/100</f>
        <v>60000.000000000007</v>
      </c>
      <c r="AE80" s="131">
        <f>Таблица32[[#This Row],[Столбец7]]*Таблица32[[#This Row],[Nazoratchi]]%</f>
        <v>50000</v>
      </c>
      <c r="AF80" s="131">
        <f>Таблица32[[#This Row],[Ishga vaqtida kelish nazoratchi]]+Таблица32[[#This Row],[Nazoratchi2]]</f>
        <v>50000</v>
      </c>
      <c r="AG8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225000</v>
      </c>
      <c r="AH80" s="131">
        <f>Таблица32[[#This Row],[Ishga kelish bank klient3]]+Таблица32[[#This Row],[Gruppa bank klient 2]]</f>
        <v>0</v>
      </c>
    </row>
    <row r="81" spans="1:34" ht="18.75" x14ac:dyDescent="0.3">
      <c r="A81" s="130">
        <v>79</v>
      </c>
      <c r="B81" s="104" t="s">
        <v>322</v>
      </c>
      <c r="C81" s="106" t="s">
        <v>468</v>
      </c>
      <c r="D81" s="104"/>
      <c r="E81" s="122">
        <v>500000</v>
      </c>
      <c r="F81" s="104" t="s">
        <v>238</v>
      </c>
      <c r="G81" s="206"/>
      <c r="H81" s="206"/>
      <c r="I81" s="206"/>
      <c r="J81" s="206">
        <v>1</v>
      </c>
      <c r="K81" s="206"/>
      <c r="L81" s="183">
        <v>0.25</v>
      </c>
      <c r="M81" s="183">
        <v>0.25</v>
      </c>
      <c r="N81" s="184"/>
      <c r="O81" s="184"/>
      <c r="P81" s="183">
        <v>0.25</v>
      </c>
      <c r="Q81" s="183">
        <v>0</v>
      </c>
      <c r="R81" s="183">
        <v>0</v>
      </c>
      <c r="S81" s="183">
        <v>0</v>
      </c>
      <c r="T81" s="183">
        <v>0</v>
      </c>
      <c r="U81" s="183">
        <v>0</v>
      </c>
      <c r="V81" s="105">
        <v>0.5</v>
      </c>
      <c r="W81" s="161">
        <f>Таблица32[[#This Row],[Столбец7]]*Таблица32[[#This Row],[Ishga kelish nazoratchi2]]%</f>
        <v>0</v>
      </c>
      <c r="X81" s="131">
        <f>Таблица32[[#This Row],[Столбец7]]*Таблица32[[#This Row],[Ishga vaqtida kelish ketish]]%</f>
        <v>0</v>
      </c>
      <c r="Y81" s="131">
        <f>Таблица32[[#This Row],[Столбец7]]*Таблица32[[#This Row],[Ishga kelish bank klient]]%</f>
        <v>0</v>
      </c>
      <c r="Z81" s="131">
        <f>Таблица32[[#This Row],[Столбец7]]*Таблица32[[#This Row],[Gruppa buxgalter]]%</f>
        <v>5000</v>
      </c>
      <c r="AA81" s="131">
        <f>Таблица32[[#This Row],[Столбец7]]*Таблица32[[#This Row],[Gruppa bank klient ]]%</f>
        <v>0</v>
      </c>
      <c r="AB81" s="131">
        <v>0</v>
      </c>
      <c r="AC81" s="132">
        <f>SUM(Таблица32[[#This Row],[Didox]:[ мехнат]],Таблица32[[#This Row],[Avtokameral]])*Таблица32[[#This Row],[Столбец7]]/100</f>
        <v>3750</v>
      </c>
      <c r="AD81" s="132">
        <f>SUM(Таблица32[[#This Row],[Pul oqimlari]:[Foyda va zarar]])*Таблица32[[#This Row],[Столбец7]]/100</f>
        <v>0</v>
      </c>
      <c r="AE81" s="131">
        <f>Таблица32[[#This Row],[Столбец7]]*Таблица32[[#This Row],[Nazoratchi]]%</f>
        <v>2500</v>
      </c>
      <c r="AF81" s="131">
        <f>Таблица32[[#This Row],[Ishga vaqtida kelish nazoratchi]]+Таблица32[[#This Row],[Nazoratchi2]]</f>
        <v>2500</v>
      </c>
      <c r="AG81" s="132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81" s="131">
        <f>Таблица32[[#This Row],[Ishga kelish bank klient3]]+Таблица32[[#This Row],[Gruppa bank klient 2]]</f>
        <v>0</v>
      </c>
    </row>
    <row r="82" spans="1:34" ht="18.75" x14ac:dyDescent="0.3">
      <c r="A82" s="130">
        <v>80</v>
      </c>
      <c r="B82" s="106" t="s">
        <v>251</v>
      </c>
      <c r="C82" s="104" t="s">
        <v>238</v>
      </c>
      <c r="D82" s="106" t="s">
        <v>240</v>
      </c>
      <c r="E82" s="122">
        <v>1500000</v>
      </c>
      <c r="F82" s="104" t="s">
        <v>218</v>
      </c>
      <c r="G82" s="206">
        <v>-0.8</v>
      </c>
      <c r="H82" s="206">
        <v>1</v>
      </c>
      <c r="I82" s="206"/>
      <c r="J82" s="206">
        <v>-0.5</v>
      </c>
      <c r="K82" s="206">
        <v>1</v>
      </c>
      <c r="L82" s="183">
        <v>0.25</v>
      </c>
      <c r="M82" s="183">
        <v>0.25</v>
      </c>
      <c r="N82" s="184">
        <v>0.25</v>
      </c>
      <c r="O82" s="184">
        <v>1</v>
      </c>
      <c r="P82" s="183">
        <v>0.25</v>
      </c>
      <c r="Q82" s="184">
        <v>0.2</v>
      </c>
      <c r="R82" s="184">
        <v>0.2</v>
      </c>
      <c r="S82" s="184">
        <v>0.2</v>
      </c>
      <c r="T82" s="184">
        <v>0.2</v>
      </c>
      <c r="U82" s="184">
        <v>0.2</v>
      </c>
      <c r="V82" s="105">
        <v>-0.5</v>
      </c>
      <c r="W82" s="161">
        <f>Таблица32[[#This Row],[Столбец7]]*Таблица32[[#This Row],[Ishga kelish nazoratchi2]]%</f>
        <v>0</v>
      </c>
      <c r="X82" s="131">
        <f>Таблица32[[#This Row],[Столбец7]]*Таблица32[[#This Row],[Ishga vaqtida kelish ketish]]%</f>
        <v>-12000</v>
      </c>
      <c r="Y82" s="131">
        <f>Таблица32[[#This Row],[Столбец7]]*Таблица32[[#This Row],[Ishga kelish bank klient]]%</f>
        <v>15000</v>
      </c>
      <c r="Z82" s="131">
        <f>Таблица32[[#This Row],[Столбец7]]*Таблица32[[#This Row],[Gruppa buxgalter]]%</f>
        <v>-7500</v>
      </c>
      <c r="AA82" s="131">
        <f>Таблица32[[#This Row],[Столбец7]]*Таблица32[[#This Row],[Gruppa bank klient ]]%</f>
        <v>15000</v>
      </c>
      <c r="AB82" s="131">
        <f>Таблица32[[#This Row],[1c]]*Таблица32[[#This Row],[Столбец7]]/100</f>
        <v>15000</v>
      </c>
      <c r="AC82" s="132">
        <f>SUM(Таблица32[[#This Row],[Didox]:[ мехнат]],Таблица32[[#This Row],[Avtokameral]])*Таблица32[[#This Row],[Столбец7]]/100</f>
        <v>15000</v>
      </c>
      <c r="AD82" s="132">
        <f>SUM(Таблица32[[#This Row],[Pul oqimlari]:[Foyda va zarar]])*Таблица32[[#This Row],[Столбец7]]/100</f>
        <v>15000</v>
      </c>
      <c r="AE82" s="131">
        <f>Таблица32[[#This Row],[Столбец7]]*Таблица32[[#This Row],[Nazoratchi]]%</f>
        <v>-7500</v>
      </c>
      <c r="AF82" s="131">
        <f>Таблица32[[#This Row],[Ishga vaqtida kelish nazoratchi]]+Таблица32[[#This Row],[Nazoratchi2]]</f>
        <v>-7500</v>
      </c>
      <c r="AG8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25500</v>
      </c>
      <c r="AH82" s="131">
        <f>Таблица32[[#This Row],[Ishga kelish bank klient3]]+Таблица32[[#This Row],[Gruppa bank klient 2]]</f>
        <v>30000</v>
      </c>
    </row>
    <row r="83" spans="1:34" ht="23.25" customHeight="1" x14ac:dyDescent="0.3">
      <c r="A83" s="130">
        <v>81</v>
      </c>
      <c r="B83" s="106" t="s">
        <v>252</v>
      </c>
      <c r="C83" s="104" t="s">
        <v>335</v>
      </c>
      <c r="D83" s="106" t="s">
        <v>240</v>
      </c>
      <c r="E83" s="122">
        <v>0</v>
      </c>
      <c r="F83" s="104" t="s">
        <v>218</v>
      </c>
      <c r="G83" s="206">
        <v>-0.35</v>
      </c>
      <c r="H83" s="206">
        <v>1</v>
      </c>
      <c r="I83" s="206"/>
      <c r="J83" s="206">
        <v>1</v>
      </c>
      <c r="K83" s="206">
        <v>1</v>
      </c>
      <c r="L83" s="183">
        <v>0.25</v>
      </c>
      <c r="M83" s="183">
        <v>0.25</v>
      </c>
      <c r="N83" s="184"/>
      <c r="O83" s="184"/>
      <c r="P83" s="183">
        <v>0.25</v>
      </c>
      <c r="Q83" s="184">
        <v>0.2</v>
      </c>
      <c r="R83" s="184">
        <v>0.2</v>
      </c>
      <c r="S83" s="184">
        <v>0.2</v>
      </c>
      <c r="T83" s="184">
        <v>0.2</v>
      </c>
      <c r="U83" s="184">
        <v>0.2</v>
      </c>
      <c r="V83" s="105">
        <v>0.5</v>
      </c>
      <c r="W83" s="161">
        <f>Таблица32[[#This Row],[Столбец7]]*Таблица32[[#This Row],[Ishga kelish nazoratchi2]]%</f>
        <v>0</v>
      </c>
      <c r="X83" s="131">
        <f>Таблица32[[#This Row],[Столбец7]]*Таблица32[[#This Row],[Ishga vaqtida kelish ketish]]%</f>
        <v>0</v>
      </c>
      <c r="Y83" s="131">
        <f>Таблица32[[#This Row],[Столбец7]]*Таблица32[[#This Row],[Ishga kelish bank klient]]%</f>
        <v>0</v>
      </c>
      <c r="Z83" s="131">
        <f>Таблица32[[#This Row],[Столбец7]]*Таблица32[[#This Row],[Gruppa buxgalter]]%</f>
        <v>0</v>
      </c>
      <c r="AA83" s="131">
        <f>Таблица32[[#This Row],[Столбец7]]*Таблица32[[#This Row],[Gruppa bank klient ]]%</f>
        <v>0</v>
      </c>
      <c r="AB83" s="131">
        <f>Таблица32[[#This Row],[1c]]*Таблица32[[#This Row],[Столбец7]]/100</f>
        <v>0</v>
      </c>
      <c r="AC83" s="132">
        <f>SUM(Таблица32[[#This Row],[Didox]:[ мехнат]],Таблица32[[#This Row],[Avtokameral]])*Таблица32[[#This Row],[Столбец7]]/100</f>
        <v>0</v>
      </c>
      <c r="AD83" s="132">
        <f>SUM(Таблица32[[#This Row],[Pul oqimlari]:[Foyda va zarar]])*Таблица32[[#This Row],[Столбец7]]/100</f>
        <v>0</v>
      </c>
      <c r="AE83" s="131">
        <f>Таблица32[[#This Row],[Столбец7]]*Таблица32[[#This Row],[Nazoratchi]]%</f>
        <v>0</v>
      </c>
      <c r="AF83" s="131">
        <f>Таблица32[[#This Row],[Ishga vaqtida kelish nazoratchi]]+Таблица32[[#This Row],[Nazoratchi2]]</f>
        <v>0</v>
      </c>
      <c r="AG8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83" s="131">
        <f>Таблица32[[#This Row],[Ishga kelish bank klient3]]+Таблица32[[#This Row],[Gruppa bank klient 2]]</f>
        <v>0</v>
      </c>
    </row>
    <row r="84" spans="1:34" ht="22.5" customHeight="1" x14ac:dyDescent="0.3">
      <c r="A84" s="130">
        <v>82</v>
      </c>
      <c r="B84" s="106" t="s">
        <v>281</v>
      </c>
      <c r="C84" s="109" t="s">
        <v>434</v>
      </c>
      <c r="D84" s="106" t="s">
        <v>240</v>
      </c>
      <c r="E84" s="122">
        <v>800000</v>
      </c>
      <c r="F84" s="104" t="s">
        <v>238</v>
      </c>
      <c r="G84" s="206">
        <v>-0.05</v>
      </c>
      <c r="H84" s="206">
        <v>1</v>
      </c>
      <c r="I84" s="206"/>
      <c r="J84" s="206">
        <v>-0.5</v>
      </c>
      <c r="K84" s="206">
        <v>1</v>
      </c>
      <c r="L84" s="184">
        <v>0.25</v>
      </c>
      <c r="M84" s="184">
        <v>0.25</v>
      </c>
      <c r="N84" s="184"/>
      <c r="O84" s="184"/>
      <c r="P84" s="184">
        <v>0.25</v>
      </c>
      <c r="Q84" s="184">
        <v>-0.2</v>
      </c>
      <c r="R84" s="184">
        <v>0.2</v>
      </c>
      <c r="S84" s="184">
        <v>-0.2</v>
      </c>
      <c r="T84" s="184">
        <v>-0.2</v>
      </c>
      <c r="U84" s="184">
        <v>-0.2</v>
      </c>
      <c r="V84" s="105">
        <v>-0.5</v>
      </c>
      <c r="W84" s="161">
        <f>Таблица32[[#This Row],[Столбец7]]*Таблица32[[#This Row],[Ishga kelish nazoratchi2]]%</f>
        <v>0</v>
      </c>
      <c r="X84" s="131">
        <f>Таблица32[[#This Row],[Столбец7]]*Таблица32[[#This Row],[Ishga vaqtida kelish ketish]]%</f>
        <v>-400</v>
      </c>
      <c r="Y84" s="131">
        <f>Таблица32[[#This Row],[Столбец7]]*Таблица32[[#This Row],[Ishga kelish bank klient]]%</f>
        <v>8000</v>
      </c>
      <c r="Z84" s="131">
        <f>Таблица32[[#This Row],[Столбец7]]*Таблица32[[#This Row],[Gruppa buxgalter]]%</f>
        <v>-4000</v>
      </c>
      <c r="AA84" s="131">
        <f>Таблица32[[#This Row],[Столбец7]]*Таблица32[[#This Row],[Gruppa bank klient ]]%</f>
        <v>8000</v>
      </c>
      <c r="AB84" s="131">
        <f>Таблица32[[#This Row],[1c]]*Таблица32[[#This Row],[Столбец7]]/100</f>
        <v>0</v>
      </c>
      <c r="AC84" s="132">
        <f>SUM(Таблица32[[#This Row],[Didox]:[ мехнат]],Таблица32[[#This Row],[Avtokameral]])*Таблица32[[#This Row],[Столбец7]]/100</f>
        <v>6000</v>
      </c>
      <c r="AD84" s="132">
        <f>SUM(Таблица32[[#This Row],[Pul oqimlari]:[Foyda va zarar]])*Таблица32[[#This Row],[Столбец7]]/100</f>
        <v>-4800.0000000000009</v>
      </c>
      <c r="AE84" s="131">
        <f>Таблица32[[#This Row],[Столбец7]]*Таблица32[[#This Row],[Nazoratchi]]%</f>
        <v>-4000</v>
      </c>
      <c r="AF84" s="131">
        <f>Таблица32[[#This Row],[Ishga vaqtida kelish nazoratchi]]+Таблица32[[#This Row],[Nazoratchi2]]</f>
        <v>-4000</v>
      </c>
      <c r="AG8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-3200.0000000000009</v>
      </c>
      <c r="AH84" s="131">
        <f>Таблица32[[#This Row],[Ishga kelish bank klient3]]+Таблица32[[#This Row],[Gruppa bank klient 2]]</f>
        <v>16000</v>
      </c>
    </row>
    <row r="85" spans="1:34" ht="18.75" x14ac:dyDescent="0.3">
      <c r="A85" s="130">
        <v>83</v>
      </c>
      <c r="B85" s="106" t="s">
        <v>274</v>
      </c>
      <c r="C85" s="104" t="s">
        <v>378</v>
      </c>
      <c r="D85" s="104" t="s">
        <v>326</v>
      </c>
      <c r="E85" s="122">
        <v>15000000</v>
      </c>
      <c r="F85" s="104" t="s">
        <v>218</v>
      </c>
      <c r="G85" s="206"/>
      <c r="H85" s="206"/>
      <c r="I85" s="206"/>
      <c r="J85" s="206"/>
      <c r="K85" s="206"/>
      <c r="L85" s="184">
        <v>0</v>
      </c>
      <c r="M85" s="184">
        <v>0</v>
      </c>
      <c r="N85" s="184"/>
      <c r="O85" s="184"/>
      <c r="P85" s="184">
        <v>0</v>
      </c>
      <c r="Q85" s="183">
        <v>0</v>
      </c>
      <c r="R85" s="183">
        <v>0</v>
      </c>
      <c r="S85" s="183">
        <v>0</v>
      </c>
      <c r="T85" s="183">
        <v>0</v>
      </c>
      <c r="U85" s="183">
        <v>0</v>
      </c>
      <c r="V85" s="206"/>
      <c r="W85" s="161">
        <f>Таблица32[[#This Row],[Столбец7]]*Таблица32[[#This Row],[Ishga kelish nazoratchi2]]%</f>
        <v>0</v>
      </c>
      <c r="X85" s="131">
        <f>Таблица32[[#This Row],[Столбец7]]*Таблица32[[#This Row],[Ishga vaqtida kelish ketish]]%</f>
        <v>0</v>
      </c>
      <c r="Y85" s="131">
        <f>Таблица32[[#This Row],[Столбец7]]*Таблица32[[#This Row],[Ishga kelish bank klient]]%</f>
        <v>0</v>
      </c>
      <c r="Z85" s="131">
        <f>Таблица32[[#This Row],[Столбец7]]*Таблица32[[#This Row],[Gruppa buxgalter]]%</f>
        <v>0</v>
      </c>
      <c r="AA85" s="131">
        <f>Таблица32[[#This Row],[Столбец7]]*Таблица32[[#This Row],[Gruppa bank klient ]]%</f>
        <v>0</v>
      </c>
      <c r="AB85" s="131">
        <f>Таблица32[[#This Row],[1c]]*Таблица32[[#This Row],[Столбец7]]/100</f>
        <v>0</v>
      </c>
      <c r="AC85" s="132">
        <f>SUM(Таблица32[[#This Row],[Didox]:[ мехнат]],Таблица32[[#This Row],[Avtokameral]])*Таблица32[[#This Row],[Столбец7]]/100</f>
        <v>0</v>
      </c>
      <c r="AD85" s="132">
        <f>SUM(Таблица32[[#This Row],[Pul oqimlari]:[Foyda va zarar]])*Таблица32[[#This Row],[Столбец7]]/100</f>
        <v>0</v>
      </c>
      <c r="AE85" s="131">
        <f>Таблица32[[#This Row],[Столбец7]]*Таблица32[[#This Row],[Nazoratchi]]%</f>
        <v>0</v>
      </c>
      <c r="AF85" s="131">
        <f>Таблица32[[#This Row],[Ishga vaqtida kelish nazoratchi]]+Таблица32[[#This Row],[Nazoratchi2]]</f>
        <v>0</v>
      </c>
      <c r="AG8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85" s="131">
        <f>Таблица32[[#This Row],[Ishga kelish bank klient3]]+Таблица32[[#This Row],[Gruppa bank klient 2]]</f>
        <v>0</v>
      </c>
    </row>
    <row r="86" spans="1:34" ht="18.75" x14ac:dyDescent="0.3">
      <c r="A86" s="130">
        <v>84</v>
      </c>
      <c r="B86" s="106" t="s">
        <v>317</v>
      </c>
      <c r="C86" s="104" t="s">
        <v>217</v>
      </c>
      <c r="D86" s="106" t="s">
        <v>240</v>
      </c>
      <c r="E86" s="122">
        <v>1000000</v>
      </c>
      <c r="F86" s="104" t="s">
        <v>238</v>
      </c>
      <c r="G86" s="206"/>
      <c r="H86" s="206">
        <v>1</v>
      </c>
      <c r="I86" s="206"/>
      <c r="J86" s="206">
        <v>1</v>
      </c>
      <c r="K86" s="206">
        <v>1</v>
      </c>
      <c r="L86" s="184">
        <v>-0.25</v>
      </c>
      <c r="M86" s="184">
        <v>-0.25</v>
      </c>
      <c r="N86" s="184"/>
      <c r="O86" s="184"/>
      <c r="P86" s="184">
        <v>-0.25</v>
      </c>
      <c r="Q86" s="184">
        <v>-0.2</v>
      </c>
      <c r="R86" s="184">
        <v>-0.2</v>
      </c>
      <c r="S86" s="184">
        <v>-0.2</v>
      </c>
      <c r="T86" s="184">
        <v>-0.2</v>
      </c>
      <c r="U86" s="184">
        <v>-0.2</v>
      </c>
      <c r="V86" s="105">
        <v>0.5</v>
      </c>
      <c r="W86" s="161">
        <f>Таблица32[[#This Row],[Столбец7]]*Таблица32[[#This Row],[Ishga kelish nazoratchi2]]%</f>
        <v>0</v>
      </c>
      <c r="X86" s="131">
        <f>Таблица32[[#This Row],[Столбец7]]*Таблица32[[#This Row],[Ishga vaqtida kelish ketish]]%</f>
        <v>0</v>
      </c>
      <c r="Y86" s="131">
        <f>Таблица32[[#This Row],[Столбец7]]*Таблица32[[#This Row],[Ishga kelish bank klient]]%</f>
        <v>10000</v>
      </c>
      <c r="Z86" s="131">
        <f>Таблица32[[#This Row],[Столбец7]]*Таблица32[[#This Row],[Gruppa buxgalter]]%</f>
        <v>10000</v>
      </c>
      <c r="AA86" s="131">
        <f>Таблица32[[#This Row],[Столбец7]]*Таблица32[[#This Row],[Gruppa bank klient ]]%</f>
        <v>10000</v>
      </c>
      <c r="AB86" s="131">
        <f>Таблица32[[#This Row],[1c]]*Таблица32[[#This Row],[Столбец7]]/100</f>
        <v>0</v>
      </c>
      <c r="AC86" s="132">
        <f>SUM(Таблица32[[#This Row],[Didox]:[ мехнат]],Таблица32[[#This Row],[Avtokameral]])*Таблица32[[#This Row],[Столбец7]]/100</f>
        <v>-7500</v>
      </c>
      <c r="AD86" s="132">
        <f>SUM(Таблица32[[#This Row],[Pul oqimlari]:[Foyda va zarar]])*Таблица32[[#This Row],[Столбец7]]/100</f>
        <v>-10000</v>
      </c>
      <c r="AE86" s="131">
        <f>Таблица32[[#This Row],[Столбец7]]*Таблица32[[#This Row],[Nazoratchi]]%</f>
        <v>5000</v>
      </c>
      <c r="AF86" s="131">
        <f>Таблица32[[#This Row],[Ishga vaqtida kelish nazoratchi]]+Таблица32[[#This Row],[Nazoratchi2]]</f>
        <v>5000</v>
      </c>
      <c r="AG8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-7500</v>
      </c>
      <c r="AH86" s="131">
        <f>Таблица32[[#This Row],[Ishga kelish bank klient3]]+Таблица32[[#This Row],[Gruppa bank klient 2]]</f>
        <v>20000</v>
      </c>
    </row>
    <row r="87" spans="1:34" ht="18.75" x14ac:dyDescent="0.3">
      <c r="A87" s="130">
        <v>85</v>
      </c>
      <c r="B87" s="106" t="s">
        <v>253</v>
      </c>
      <c r="C87" s="104" t="s">
        <v>428</v>
      </c>
      <c r="D87" s="104" t="s">
        <v>428</v>
      </c>
      <c r="E87" s="122">
        <v>700000</v>
      </c>
      <c r="F87" s="104" t="s">
        <v>218</v>
      </c>
      <c r="G87" s="206"/>
      <c r="H87" s="206">
        <v>1</v>
      </c>
      <c r="I87" s="206"/>
      <c r="J87" s="206"/>
      <c r="K87" s="206">
        <v>1</v>
      </c>
      <c r="L87" s="183">
        <v>0.25</v>
      </c>
      <c r="M87" s="183">
        <v>0.25</v>
      </c>
      <c r="N87" s="184"/>
      <c r="O87" s="184"/>
      <c r="P87" s="183">
        <v>0.25</v>
      </c>
      <c r="Q87" s="183">
        <v>0</v>
      </c>
      <c r="R87" s="183">
        <v>0</v>
      </c>
      <c r="S87" s="183">
        <v>0</v>
      </c>
      <c r="T87" s="183">
        <v>0</v>
      </c>
      <c r="U87" s="183">
        <v>0</v>
      </c>
      <c r="V87" s="105"/>
      <c r="W87" s="161">
        <f>Таблица32[[#This Row],[Столбец7]]*Таблица32[[#This Row],[Ishga kelish nazoratchi2]]%</f>
        <v>0</v>
      </c>
      <c r="X87" s="131">
        <f>Таблица32[[#This Row],[Столбец7]]*Таблица32[[#This Row],[Ishga vaqtida kelish ketish]]%</f>
        <v>0</v>
      </c>
      <c r="Y87" s="131">
        <f>Таблица32[[#This Row],[Столбец7]]*Таблица32[[#This Row],[Ishga kelish bank klient]]%</f>
        <v>7000</v>
      </c>
      <c r="Z87" s="131">
        <f>Таблица32[[#This Row],[Столбец7]]*Таблица32[[#This Row],[Gruppa buxgalter]]%</f>
        <v>0</v>
      </c>
      <c r="AA87" s="131">
        <f>Таблица32[[#This Row],[Столбец7]]*Таблица32[[#This Row],[Gruppa bank klient ]]%</f>
        <v>7000</v>
      </c>
      <c r="AB87" s="131">
        <f>Таблица32[[#This Row],[1c]]*Таблица32[[#This Row],[Столбец7]]/100</f>
        <v>0</v>
      </c>
      <c r="AC87" s="132">
        <f>SUM(Таблица32[[#This Row],[Didox]:[ мехнат]],Таблица32[[#This Row],[Avtokameral]])*Таблица32[[#This Row],[Столбец7]]/100</f>
        <v>5250</v>
      </c>
      <c r="AD87" s="132">
        <f>SUM(Таблица32[[#This Row],[Pul oqimlari]:[Foyda va zarar]])*Таблица32[[#This Row],[Столбец7]]/100</f>
        <v>0</v>
      </c>
      <c r="AE87" s="131">
        <f>Таблица32[[#This Row],[Столбец7]]*Таблица32[[#This Row],[Nazoratchi]]%</f>
        <v>0</v>
      </c>
      <c r="AF87" s="131">
        <f>Таблица32[[#This Row],[Ishga vaqtida kelish nazoratchi]]+Таблица32[[#This Row],[Nazoratchi2]]</f>
        <v>0</v>
      </c>
      <c r="AG8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5250</v>
      </c>
      <c r="AH87" s="131">
        <f>Таблица32[[#This Row],[Ishga kelish bank klient3]]+Таблица32[[#This Row],[Gruppa bank klient 2]]</f>
        <v>14000</v>
      </c>
    </row>
    <row r="88" spans="1:34" ht="25.5" customHeight="1" x14ac:dyDescent="0.3">
      <c r="A88" s="130">
        <v>86</v>
      </c>
      <c r="B88" s="106" t="s">
        <v>271</v>
      </c>
      <c r="C88" s="104" t="s">
        <v>219</v>
      </c>
      <c r="D88" s="104" t="s">
        <v>428</v>
      </c>
      <c r="E88" s="123">
        <v>1000000</v>
      </c>
      <c r="F88" s="104" t="s">
        <v>218</v>
      </c>
      <c r="G88" s="206"/>
      <c r="H88" s="206">
        <v>1</v>
      </c>
      <c r="I88" s="206"/>
      <c r="J88" s="206">
        <v>1</v>
      </c>
      <c r="K88" s="206">
        <v>1</v>
      </c>
      <c r="L88" s="184">
        <v>0.25</v>
      </c>
      <c r="M88" s="184">
        <v>-0.25</v>
      </c>
      <c r="N88" s="184"/>
      <c r="O88" s="183"/>
      <c r="P88" s="184">
        <v>0.25</v>
      </c>
      <c r="Q88" s="184">
        <v>0</v>
      </c>
      <c r="R88" s="184">
        <v>0.2</v>
      </c>
      <c r="S88" s="183">
        <v>0</v>
      </c>
      <c r="T88" s="183">
        <v>0</v>
      </c>
      <c r="U88" s="183">
        <v>0</v>
      </c>
      <c r="V88" s="105">
        <v>0.5</v>
      </c>
      <c r="W88" s="161">
        <f>Таблица32[[#This Row],[Столбец7]]*Таблица32[[#This Row],[Ishga kelish nazoratchi2]]%</f>
        <v>0</v>
      </c>
      <c r="X88" s="131">
        <f>Таблица32[[#This Row],[Столбец7]]*Таблица32[[#This Row],[Ishga vaqtida kelish ketish]]%</f>
        <v>0</v>
      </c>
      <c r="Y88" s="131">
        <f>Таблица32[[#This Row],[Столбец7]]*Таблица32[[#This Row],[Ishga kelish bank klient]]%</f>
        <v>10000</v>
      </c>
      <c r="Z88" s="131">
        <f>Таблица32[[#This Row],[Столбец7]]*Таблица32[[#This Row],[Gruppa buxgalter]]%</f>
        <v>10000</v>
      </c>
      <c r="AA88" s="131">
        <f>Таблица32[[#This Row],[Столбец7]]*Таблица32[[#This Row],[Gruppa bank klient ]]%</f>
        <v>10000</v>
      </c>
      <c r="AB88" s="131">
        <f>Таблица32[[#This Row],[1c]]*Таблица32[[#This Row],[Столбец7]]/100</f>
        <v>0</v>
      </c>
      <c r="AC88" s="132">
        <f>SUM(Таблица32[[#This Row],[Didox]:[ мехнат]],Таблица32[[#This Row],[Avtokameral]])*Таблица32[[#This Row],[Столбец7]]/100</f>
        <v>2500</v>
      </c>
      <c r="AD88" s="132">
        <f>SUM(Таблица32[[#This Row],[Pul oqimlari]:[Foyda va zarar]])*Таблица32[[#This Row],[Столбец7]]/100</f>
        <v>2000</v>
      </c>
      <c r="AE88" s="131">
        <f>Таблица32[[#This Row],[Столбец7]]*Таблица32[[#This Row],[Nazoratchi]]%</f>
        <v>5000</v>
      </c>
      <c r="AF88" s="131">
        <f>Таблица32[[#This Row],[Ishga vaqtida kelish nazoratchi]]+Таблица32[[#This Row],[Nazoratchi2]]</f>
        <v>5000</v>
      </c>
      <c r="AG8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14500</v>
      </c>
      <c r="AH88" s="131">
        <f>Таблица32[[#This Row],[Ishga kelish bank klient3]]+Таблица32[[#This Row],[Gruppa bank klient 2]]</f>
        <v>20000</v>
      </c>
    </row>
    <row r="89" spans="1:34" ht="18.75" x14ac:dyDescent="0.3">
      <c r="A89" s="130">
        <v>87</v>
      </c>
      <c r="B89" s="106" t="s">
        <v>304</v>
      </c>
      <c r="C89" s="104" t="s">
        <v>428</v>
      </c>
      <c r="D89" s="104" t="s">
        <v>428</v>
      </c>
      <c r="E89" s="127">
        <v>700000</v>
      </c>
      <c r="F89" s="104" t="s">
        <v>218</v>
      </c>
      <c r="G89" s="206"/>
      <c r="H89" s="206">
        <v>1</v>
      </c>
      <c r="I89" s="209"/>
      <c r="J89" s="206"/>
      <c r="K89" s="206">
        <v>1</v>
      </c>
      <c r="L89" s="184">
        <v>0.25</v>
      </c>
      <c r="M89" s="184">
        <v>0.25</v>
      </c>
      <c r="N89" s="184">
        <v>0.25</v>
      </c>
      <c r="O89" s="183"/>
      <c r="P89" s="184">
        <v>0.25</v>
      </c>
      <c r="Q89" s="183">
        <v>0</v>
      </c>
      <c r="R89" s="183">
        <v>0</v>
      </c>
      <c r="S89" s="183">
        <v>0</v>
      </c>
      <c r="T89" s="183">
        <v>0</v>
      </c>
      <c r="U89" s="183">
        <v>0</v>
      </c>
      <c r="V89" s="105"/>
      <c r="W89" s="161">
        <f>Таблица32[[#This Row],[Столбец7]]*Таблица32[[#This Row],[Ishga kelish nazoratchi2]]%</f>
        <v>0</v>
      </c>
      <c r="X89" s="131">
        <f>Таблица32[[#This Row],[Столбец7]]*Таблица32[[#This Row],[Ishga vaqtida kelish ketish]]%</f>
        <v>0</v>
      </c>
      <c r="Y89" s="131">
        <f>Таблица32[[#This Row],[Столбец7]]*Таблица32[[#This Row],[Ishga kelish bank klient]]%</f>
        <v>7000</v>
      </c>
      <c r="Z89" s="131">
        <f>Таблица32[[#This Row],[Столбец7]]*Таблица32[[#This Row],[Gruppa buxgalter]]%</f>
        <v>0</v>
      </c>
      <c r="AA89" s="131">
        <f>Таблица32[[#This Row],[Столбец7]]*Таблица32[[#This Row],[Gruppa bank klient ]]%</f>
        <v>7000</v>
      </c>
      <c r="AB89" s="131">
        <f>Таблица32[[#This Row],[1c]]*Таблица32[[#This Row],[Столбец7]]/100</f>
        <v>0</v>
      </c>
      <c r="AC89" s="132">
        <f>SUM(Таблица32[[#This Row],[Didox]:[ мехнат]],Таблица32[[#This Row],[Avtokameral]])*Таблица32[[#This Row],[Столбец7]]/100</f>
        <v>7000</v>
      </c>
      <c r="AD89" s="132">
        <f>SUM(Таблица32[[#This Row],[Pul oqimlari]:[Foyda va zarar]])*Таблица32[[#This Row],[Столбец7]]/100</f>
        <v>0</v>
      </c>
      <c r="AE89" s="131">
        <f>Таблица32[[#This Row],[Столбец7]]*Таблица32[[#This Row],[Nazoratchi]]%</f>
        <v>0</v>
      </c>
      <c r="AF89" s="131">
        <f>Таблица32[[#This Row],[Ishga vaqtida kelish nazoratchi]]+Таблица32[[#This Row],[Nazoratchi2]]</f>
        <v>0</v>
      </c>
      <c r="AG8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89" s="131">
        <f>Таблица32[[#This Row],[Ishga kelish bank klient3]]+Таблица32[[#This Row],[Gruppa bank klient 2]]</f>
        <v>14000</v>
      </c>
    </row>
    <row r="90" spans="1:34" ht="18.75" x14ac:dyDescent="0.3">
      <c r="A90" s="130">
        <v>88</v>
      </c>
      <c r="B90" s="106" t="s">
        <v>273</v>
      </c>
      <c r="C90" s="67" t="s">
        <v>219</v>
      </c>
      <c r="D90" s="106" t="s">
        <v>240</v>
      </c>
      <c r="E90" s="127">
        <v>3000000</v>
      </c>
      <c r="F90" s="104" t="s">
        <v>218</v>
      </c>
      <c r="G90" s="206"/>
      <c r="H90" s="206">
        <v>1</v>
      </c>
      <c r="I90" s="206"/>
      <c r="J90" s="206">
        <v>1</v>
      </c>
      <c r="K90" s="206">
        <v>1</v>
      </c>
      <c r="L90" s="184">
        <v>0.25</v>
      </c>
      <c r="M90" s="184">
        <v>0.25</v>
      </c>
      <c r="N90" s="184"/>
      <c r="O90" s="183"/>
      <c r="P90" s="184">
        <v>0.25</v>
      </c>
      <c r="Q90" s="184">
        <v>0</v>
      </c>
      <c r="R90" s="183">
        <v>0</v>
      </c>
      <c r="S90" s="183">
        <v>0</v>
      </c>
      <c r="T90" s="184">
        <v>0.2</v>
      </c>
      <c r="U90" s="183">
        <v>0</v>
      </c>
      <c r="V90" s="105">
        <v>0.5</v>
      </c>
      <c r="W90" s="161">
        <f>Таблица32[[#This Row],[Столбец7]]*Таблица32[[#This Row],[Ishga kelish nazoratchi2]]%</f>
        <v>0</v>
      </c>
      <c r="X90" s="131">
        <f>Таблица32[[#This Row],[Столбец7]]*Таблица32[[#This Row],[Ishga vaqtida kelish ketish]]%</f>
        <v>0</v>
      </c>
      <c r="Y90" s="131">
        <f>Таблица32[[#This Row],[Столбец7]]*Таблица32[[#This Row],[Ishga kelish bank klient]]%</f>
        <v>30000</v>
      </c>
      <c r="Z90" s="131">
        <f>Таблица32[[#This Row],[Столбец7]]*Таблица32[[#This Row],[Gruppa buxgalter]]%</f>
        <v>30000</v>
      </c>
      <c r="AA90" s="131">
        <f>Таблица32[[#This Row],[Столбец7]]*Таблица32[[#This Row],[Gruppa bank klient ]]%</f>
        <v>30000</v>
      </c>
      <c r="AB90" s="131">
        <f>Таблица32[[#This Row],[1c]]*Таблица32[[#This Row],[Столбец7]]/100</f>
        <v>0</v>
      </c>
      <c r="AC90" s="132">
        <f>SUM(Таблица32[[#This Row],[Didox]:[ мехнат]],Таблица32[[#This Row],[Avtokameral]])*Таблица32[[#This Row],[Столбец7]]/100</f>
        <v>22500</v>
      </c>
      <c r="AD90" s="132">
        <f>SUM(Таблица32[[#This Row],[Pul oqimlari]:[Foyda va zarar]])*Таблица32[[#This Row],[Столбец7]]/100</f>
        <v>6000</v>
      </c>
      <c r="AE90" s="131">
        <f>Таблица32[[#This Row],[Столбец7]]*Таблица32[[#This Row],[Nazoratchi]]%</f>
        <v>15000</v>
      </c>
      <c r="AF90" s="131">
        <f>Таблица32[[#This Row],[Ishga vaqtida kelish nazoratchi]]+Таблица32[[#This Row],[Nazoratchi2]]</f>
        <v>15000</v>
      </c>
      <c r="AG9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58500</v>
      </c>
      <c r="AH90" s="131">
        <f>Таблица32[[#This Row],[Ishga kelish bank klient3]]+Таблица32[[#This Row],[Gruppa bank klient 2]]</f>
        <v>60000</v>
      </c>
    </row>
    <row r="91" spans="1:34" ht="18.75" x14ac:dyDescent="0.3">
      <c r="A91" s="130">
        <v>89</v>
      </c>
      <c r="B91" s="106" t="s">
        <v>275</v>
      </c>
      <c r="C91" s="104" t="s">
        <v>309</v>
      </c>
      <c r="D91" s="106" t="s">
        <v>428</v>
      </c>
      <c r="E91" s="127">
        <v>3000000</v>
      </c>
      <c r="F91" s="104" t="s">
        <v>218</v>
      </c>
      <c r="G91" s="206">
        <v>-0.8</v>
      </c>
      <c r="H91" s="206">
        <v>1</v>
      </c>
      <c r="I91" s="206"/>
      <c r="J91" s="206">
        <v>1</v>
      </c>
      <c r="K91" s="206">
        <v>1</v>
      </c>
      <c r="L91" s="184">
        <v>0</v>
      </c>
      <c r="M91" s="184">
        <v>0.25</v>
      </c>
      <c r="N91" s="184">
        <v>0.25</v>
      </c>
      <c r="O91" s="184"/>
      <c r="P91" s="184">
        <v>-0.25</v>
      </c>
      <c r="Q91" s="184">
        <v>0.2</v>
      </c>
      <c r="R91" s="184">
        <v>0.2</v>
      </c>
      <c r="S91" s="184">
        <v>0.2</v>
      </c>
      <c r="T91" s="184">
        <v>-0.2</v>
      </c>
      <c r="U91" s="184">
        <v>-0.2</v>
      </c>
      <c r="V91" s="206">
        <v>0.5</v>
      </c>
      <c r="W91" s="161">
        <f>Таблица32[[#This Row],[Столбец7]]*Таблица32[[#This Row],[Ishga kelish nazoratchi2]]%</f>
        <v>0</v>
      </c>
      <c r="X91" s="131">
        <f>Таблица32[[#This Row],[Столбец7]]*Таблица32[[#This Row],[Ishga vaqtida kelish ketish]]%</f>
        <v>-24000</v>
      </c>
      <c r="Y91" s="131">
        <f>Таблица32[[#This Row],[Столбец7]]*Таблица32[[#This Row],[Ishga kelish bank klient]]%</f>
        <v>30000</v>
      </c>
      <c r="Z91" s="131">
        <f>Таблица32[[#This Row],[Столбец7]]*Таблица32[[#This Row],[Gruppa buxgalter]]%</f>
        <v>30000</v>
      </c>
      <c r="AA91" s="131">
        <f>Таблица32[[#This Row],[Столбец7]]*Таблица32[[#This Row],[Gruppa bank klient ]]%</f>
        <v>30000</v>
      </c>
      <c r="AB91" s="131">
        <f>Таблица32[[#This Row],[1c]]*Таблица32[[#This Row],[Столбец7]]/100</f>
        <v>0</v>
      </c>
      <c r="AC91" s="132">
        <f>SUM(Таблица32[[#This Row],[Didox]:[ мехнат]],Таблица32[[#This Row],[Avtokameral]])*Таблица32[[#This Row],[Столбец7]]/100</f>
        <v>7500</v>
      </c>
      <c r="AD91" s="132">
        <f>SUM(Таблица32[[#This Row],[Pul oqimlari]:[Foyda va zarar]])*Таблица32[[#This Row],[Столбец7]]/100</f>
        <v>6000.0000000000027</v>
      </c>
      <c r="AE91" s="131">
        <f>Таблица32[[#This Row],[Столбец7]]*Таблица32[[#This Row],[Nazoratchi]]%</f>
        <v>15000</v>
      </c>
      <c r="AF91" s="131">
        <f>Таблица32[[#This Row],[Ishga vaqtida kelish nazoratchi]]+Таблица32[[#This Row],[Nazoratchi2]]</f>
        <v>15000</v>
      </c>
      <c r="AG9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19500.000000000004</v>
      </c>
      <c r="AH91" s="131">
        <f>Таблица32[[#This Row],[Ishga kelish bank klient3]]+Таблица32[[#This Row],[Gruppa bank klient 2]]</f>
        <v>60000</v>
      </c>
    </row>
    <row r="92" spans="1:34" ht="18.75" x14ac:dyDescent="0.3">
      <c r="A92" s="130">
        <v>90</v>
      </c>
      <c r="B92" s="106" t="s">
        <v>276</v>
      </c>
      <c r="C92" s="106" t="s">
        <v>468</v>
      </c>
      <c r="D92" s="104" t="s">
        <v>428</v>
      </c>
      <c r="E92" s="127">
        <v>500000</v>
      </c>
      <c r="F92" s="104" t="s">
        <v>238</v>
      </c>
      <c r="G92" s="206"/>
      <c r="H92" s="206">
        <v>1</v>
      </c>
      <c r="I92" s="206"/>
      <c r="J92" s="206">
        <v>1</v>
      </c>
      <c r="K92" s="206">
        <v>1</v>
      </c>
      <c r="L92" s="184">
        <v>0.25</v>
      </c>
      <c r="M92" s="184">
        <v>0.25</v>
      </c>
      <c r="N92" s="184"/>
      <c r="O92" s="184"/>
      <c r="P92" s="184">
        <v>0.25</v>
      </c>
      <c r="Q92" s="184">
        <v>0</v>
      </c>
      <c r="R92" s="184">
        <v>0</v>
      </c>
      <c r="S92" s="184">
        <v>0</v>
      </c>
      <c r="T92" s="184">
        <v>0</v>
      </c>
      <c r="U92" s="184">
        <v>0</v>
      </c>
      <c r="V92" s="105">
        <v>0.5</v>
      </c>
      <c r="W92" s="161">
        <f>Таблица32[[#This Row],[Столбец7]]*Таблица32[[#This Row],[Ishga kelish nazoratchi2]]%</f>
        <v>0</v>
      </c>
      <c r="X92" s="131">
        <f>Таблица32[[#This Row],[Столбец7]]*Таблица32[[#This Row],[Ishga vaqtida kelish ketish]]%</f>
        <v>0</v>
      </c>
      <c r="Y92" s="131">
        <f>Таблица32[[#This Row],[Столбец7]]*Таблица32[[#This Row],[Ishga kelish bank klient]]%</f>
        <v>5000</v>
      </c>
      <c r="Z92" s="131">
        <f>Таблица32[[#This Row],[Столбец7]]*Таблица32[[#This Row],[Gruppa buxgalter]]%</f>
        <v>5000</v>
      </c>
      <c r="AA92" s="131">
        <f>Таблица32[[#This Row],[Столбец7]]*Таблица32[[#This Row],[Gruppa bank klient ]]%</f>
        <v>5000</v>
      </c>
      <c r="AB92" s="131">
        <f>Таблица32[[#This Row],[1c]]*Таблица32[[#This Row],[Столбец7]]/100</f>
        <v>0</v>
      </c>
      <c r="AC92" s="132">
        <f>SUM(Таблица32[[#This Row],[Didox]:[ мехнат]],Таблица32[[#This Row],[Avtokameral]])*Таблица32[[#This Row],[Столбец7]]/100</f>
        <v>3750</v>
      </c>
      <c r="AD92" s="132">
        <f>SUM(Таблица32[[#This Row],[Pul oqimlari]:[Foyda va zarar]])*Таблица32[[#This Row],[Столбец7]]/100</f>
        <v>0</v>
      </c>
      <c r="AE92" s="131">
        <f>Таблица32[[#This Row],[Столбец7]]*Таблица32[[#This Row],[Nazoratchi]]%</f>
        <v>2500</v>
      </c>
      <c r="AF92" s="131">
        <f>Таблица32[[#This Row],[Ishga vaqtida kelish nazoratchi]]+Таблица32[[#This Row],[Nazoratchi2]]</f>
        <v>2500</v>
      </c>
      <c r="AG9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92" s="131">
        <f>Таблица32[[#This Row],[Ishga kelish bank klient3]]+Таблица32[[#This Row],[Gruppa bank klient 2]]</f>
        <v>10000</v>
      </c>
    </row>
    <row r="93" spans="1:34" ht="18.75" x14ac:dyDescent="0.3">
      <c r="A93" s="130">
        <v>91</v>
      </c>
      <c r="B93" s="106" t="s">
        <v>277</v>
      </c>
      <c r="C93" s="107" t="s">
        <v>308</v>
      </c>
      <c r="D93" s="106"/>
      <c r="E93" s="127">
        <v>2500000</v>
      </c>
      <c r="F93" s="104" t="s">
        <v>218</v>
      </c>
      <c r="G93" s="206">
        <v>0.9</v>
      </c>
      <c r="H93" s="206"/>
      <c r="I93" s="206"/>
      <c r="J93" s="206">
        <v>-0.5</v>
      </c>
      <c r="K93" s="206"/>
      <c r="L93" s="184">
        <v>-0.25</v>
      </c>
      <c r="M93" s="184">
        <v>0.25</v>
      </c>
      <c r="N93" s="184"/>
      <c r="O93" s="184"/>
      <c r="P93" s="184">
        <v>0.25</v>
      </c>
      <c r="Q93" s="184">
        <v>0.2</v>
      </c>
      <c r="R93" s="184">
        <v>0.2</v>
      </c>
      <c r="S93" s="184">
        <v>0.2</v>
      </c>
      <c r="T93" s="184">
        <v>0.2</v>
      </c>
      <c r="U93" s="184">
        <v>-0.2</v>
      </c>
      <c r="V93" s="206">
        <v>-0.5</v>
      </c>
      <c r="W93" s="161">
        <f>Таблица32[[#This Row],[Столбец7]]*Таблица32[[#This Row],[Ishga kelish nazoratchi2]]%</f>
        <v>0</v>
      </c>
      <c r="X93" s="131">
        <f>Таблица32[[#This Row],[Столбец7]]*Таблица32[[#This Row],[Ishga vaqtida kelish ketish]]%</f>
        <v>22500.000000000004</v>
      </c>
      <c r="Y93" s="131">
        <f>Таблица32[[#This Row],[Столбец7]]*Таблица32[[#This Row],[Ishga kelish bank klient]]%</f>
        <v>0</v>
      </c>
      <c r="Z93" s="131">
        <f>Таблица32[[#This Row],[Столбец7]]*Таблица32[[#This Row],[Gruppa buxgalter]]%</f>
        <v>-12500</v>
      </c>
      <c r="AA93" s="131">
        <f>Таблица32[[#This Row],[Столбец7]]*Таблица32[[#This Row],[Gruppa bank klient ]]%</f>
        <v>0</v>
      </c>
      <c r="AB93" s="131">
        <f>Таблица32[[#This Row],[1c]]*Таблица32[[#This Row],[Столбец7]]/100</f>
        <v>0</v>
      </c>
      <c r="AC93" s="132">
        <f>SUM(Таблица32[[#This Row],[Didox]:[ мехнат]],Таблица32[[#This Row],[Avtokameral]])*Таблица32[[#This Row],[Столбец7]]/100</f>
        <v>6250</v>
      </c>
      <c r="AD93" s="132">
        <f>SUM(Таблица32[[#This Row],[Pul oqimlari]:[Foyda va zarar]])*Таблица32[[#This Row],[Столбец7]]/100</f>
        <v>15000.000000000002</v>
      </c>
      <c r="AE93" s="131">
        <f>Таблица32[[#This Row],[Столбец7]]*Таблица32[[#This Row],[Nazoratchi]]%</f>
        <v>-12500</v>
      </c>
      <c r="AF93" s="131">
        <f>Таблица32[[#This Row],[Ishga vaqtida kelish nazoratchi]]+Таблица32[[#This Row],[Nazoratchi2]]</f>
        <v>-12500</v>
      </c>
      <c r="AG9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31250.000000000007</v>
      </c>
      <c r="AH93" s="131">
        <f>Таблица32[[#This Row],[Ishga kelish bank klient3]]+Таблица32[[#This Row],[Gruppa bank klient 2]]</f>
        <v>0</v>
      </c>
    </row>
    <row r="94" spans="1:34" ht="18.75" x14ac:dyDescent="0.3">
      <c r="A94" s="130">
        <v>92</v>
      </c>
      <c r="B94" s="106" t="s">
        <v>278</v>
      </c>
      <c r="C94" s="104" t="s">
        <v>335</v>
      </c>
      <c r="D94" s="106" t="s">
        <v>240</v>
      </c>
      <c r="E94" s="127">
        <v>0</v>
      </c>
      <c r="F94" s="104" t="s">
        <v>218</v>
      </c>
      <c r="G94" s="206">
        <v>-0.35</v>
      </c>
      <c r="H94" s="206">
        <v>1</v>
      </c>
      <c r="I94" s="206"/>
      <c r="J94" s="206">
        <v>1</v>
      </c>
      <c r="K94" s="206">
        <v>1</v>
      </c>
      <c r="L94" s="184">
        <v>0.25</v>
      </c>
      <c r="M94" s="184">
        <v>-0.25</v>
      </c>
      <c r="N94" s="184"/>
      <c r="O94" s="184"/>
      <c r="P94" s="184">
        <v>0.25</v>
      </c>
      <c r="Q94" s="184">
        <v>0.2</v>
      </c>
      <c r="R94" s="184">
        <v>0.2</v>
      </c>
      <c r="S94" s="184">
        <v>0.2</v>
      </c>
      <c r="T94" s="184">
        <v>0.2</v>
      </c>
      <c r="U94" s="184">
        <v>0.2</v>
      </c>
      <c r="V94" s="105">
        <v>0.5</v>
      </c>
      <c r="W94" s="161">
        <f>Таблица32[[#This Row],[Столбец7]]*Таблица32[[#This Row],[Ishga kelish nazoratchi2]]%</f>
        <v>0</v>
      </c>
      <c r="X94" s="131">
        <f>Таблица32[[#This Row],[Столбец7]]*Таблица32[[#This Row],[Ishga vaqtida kelish ketish]]%</f>
        <v>0</v>
      </c>
      <c r="Y94" s="131">
        <f>Таблица32[[#This Row],[Столбец7]]*Таблица32[[#This Row],[Ishga kelish bank klient]]%</f>
        <v>0</v>
      </c>
      <c r="Z94" s="131">
        <f>Таблица32[[#This Row],[Столбец7]]*Таблица32[[#This Row],[Gruppa buxgalter]]%</f>
        <v>0</v>
      </c>
      <c r="AA94" s="131">
        <f>Таблица32[[#This Row],[Столбец7]]*Таблица32[[#This Row],[Gruppa bank klient ]]%</f>
        <v>0</v>
      </c>
      <c r="AB94" s="131">
        <f>Таблица32[[#This Row],[1c]]*Таблица32[[#This Row],[Столбец7]]/100</f>
        <v>0</v>
      </c>
      <c r="AC94" s="132">
        <f>SUM(Таблица32[[#This Row],[Didox]:[ мехнат]],Таблица32[[#This Row],[Avtokameral]])*Таблица32[[#This Row],[Столбец7]]/100</f>
        <v>0</v>
      </c>
      <c r="AD94" s="132">
        <f>SUM(Таблица32[[#This Row],[Pul oqimlari]:[Foyda va zarar]])*Таблица32[[#This Row],[Столбец7]]/100</f>
        <v>0</v>
      </c>
      <c r="AE94" s="131">
        <f>Таблица32[[#This Row],[Столбец7]]*Таблица32[[#This Row],[Nazoratchi]]%</f>
        <v>0</v>
      </c>
      <c r="AF94" s="131">
        <f>Таблица32[[#This Row],[Ishga vaqtida kelish nazoratchi]]+Таблица32[[#This Row],[Nazoratchi2]]</f>
        <v>0</v>
      </c>
      <c r="AG9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94" s="131">
        <f>Таблица32[[#This Row],[Ishga kelish bank klient3]]+Таблица32[[#This Row],[Gruppa bank klient 2]]</f>
        <v>0</v>
      </c>
    </row>
    <row r="95" spans="1:34" ht="18.75" x14ac:dyDescent="0.3">
      <c r="A95" s="130">
        <v>93</v>
      </c>
      <c r="B95" s="106" t="s">
        <v>282</v>
      </c>
      <c r="C95" s="107" t="s">
        <v>394</v>
      </c>
      <c r="D95" s="106" t="s">
        <v>240</v>
      </c>
      <c r="E95" s="122">
        <v>700000</v>
      </c>
      <c r="F95" s="104" t="s">
        <v>218</v>
      </c>
      <c r="G95" s="206"/>
      <c r="H95" s="206">
        <v>1</v>
      </c>
      <c r="I95" s="206"/>
      <c r="J95" s="206">
        <v>1</v>
      </c>
      <c r="K95" s="206">
        <v>1</v>
      </c>
      <c r="L95" s="184">
        <v>0.25</v>
      </c>
      <c r="M95" s="184">
        <v>0.25</v>
      </c>
      <c r="N95" s="254"/>
      <c r="O95" s="184">
        <v>1</v>
      </c>
      <c r="P95" s="184">
        <v>0.25</v>
      </c>
      <c r="Q95" s="184">
        <v>0</v>
      </c>
      <c r="R95" s="184">
        <v>0.2</v>
      </c>
      <c r="S95" s="184">
        <v>0.2</v>
      </c>
      <c r="T95" s="184">
        <v>0</v>
      </c>
      <c r="U95" s="184">
        <v>0</v>
      </c>
      <c r="V95" s="105">
        <v>0.5</v>
      </c>
      <c r="W95" s="161">
        <f>Таблица32[[#This Row],[Столбец7]]*Таблица32[[#This Row],[Ishga kelish nazoratchi2]]%</f>
        <v>0</v>
      </c>
      <c r="X95" s="131">
        <f>Таблица32[[#This Row],[Столбец7]]*Таблица32[[#This Row],[Ishga vaqtida kelish ketish]]%</f>
        <v>0</v>
      </c>
      <c r="Y95" s="131">
        <f>Таблица32[[#This Row],[Столбец7]]*Таблица32[[#This Row],[Ishga kelish bank klient]]%</f>
        <v>7000</v>
      </c>
      <c r="Z95" s="131">
        <f>Таблица32[[#This Row],[Столбец7]]*Таблица32[[#This Row],[Gruppa buxgalter]]%</f>
        <v>7000</v>
      </c>
      <c r="AA95" s="131">
        <f>Таблица32[[#This Row],[Столбец7]]*Таблица32[[#This Row],[Gruppa bank klient ]]%</f>
        <v>7000</v>
      </c>
      <c r="AB95" s="131">
        <f>Таблица32[[#This Row],[1c]]*Таблица32[[#This Row],[Столбец7]]/100</f>
        <v>7000</v>
      </c>
      <c r="AC95" s="132">
        <f>SUM(Таблица32[[#This Row],[Didox]:[ мехнат]],Таблица32[[#This Row],[Avtokameral]])*Таблица32[[#This Row],[Столбец7]]/100</f>
        <v>5250</v>
      </c>
      <c r="AD95" s="132">
        <f>SUM(Таблица32[[#This Row],[Pul oqimlari]:[Foyda va zarar]])*Таблица32[[#This Row],[Столбец7]]/100</f>
        <v>2800</v>
      </c>
      <c r="AE95" s="131">
        <f>Таблица32[[#This Row],[Столбец7]]*Таблица32[[#This Row],[Nazoratchi]]%</f>
        <v>3500</v>
      </c>
      <c r="AF95" s="131">
        <f>Таблица32[[#This Row],[Ishga vaqtida kelish nazoratchi]]+Таблица32[[#This Row],[Nazoratchi2]]</f>
        <v>3500</v>
      </c>
      <c r="AG9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22050</v>
      </c>
      <c r="AH95" s="131">
        <f>Таблица32[[#This Row],[Ishga kelish bank klient3]]+Таблица32[[#This Row],[Gruppa bank klient 2]]</f>
        <v>14000</v>
      </c>
    </row>
    <row r="96" spans="1:34" ht="18.75" x14ac:dyDescent="0.3">
      <c r="A96" s="130">
        <v>94</v>
      </c>
      <c r="B96" s="106" t="s">
        <v>279</v>
      </c>
      <c r="C96" s="106" t="s">
        <v>468</v>
      </c>
      <c r="D96" s="104" t="s">
        <v>428</v>
      </c>
      <c r="E96" s="122">
        <v>700000</v>
      </c>
      <c r="F96" s="104" t="s">
        <v>238</v>
      </c>
      <c r="G96" s="206"/>
      <c r="H96" s="206">
        <v>1</v>
      </c>
      <c r="I96" s="206"/>
      <c r="J96" s="206">
        <v>1</v>
      </c>
      <c r="K96" s="206">
        <v>1</v>
      </c>
      <c r="L96" s="184">
        <v>0.25</v>
      </c>
      <c r="M96" s="184">
        <v>0.25</v>
      </c>
      <c r="N96" s="184"/>
      <c r="O96" s="184">
        <v>1</v>
      </c>
      <c r="P96" s="184">
        <v>0.25</v>
      </c>
      <c r="Q96" s="184">
        <v>0.2</v>
      </c>
      <c r="R96" s="184">
        <v>0.2</v>
      </c>
      <c r="S96" s="184">
        <v>0.2</v>
      </c>
      <c r="T96" s="184">
        <v>0.2</v>
      </c>
      <c r="U96" s="184">
        <v>0.2</v>
      </c>
      <c r="V96" s="105">
        <v>0.5</v>
      </c>
      <c r="W96" s="161">
        <f>Таблица32[[#This Row],[Столбец7]]*Таблица32[[#This Row],[Ishga kelish nazoratchi2]]%</f>
        <v>0</v>
      </c>
      <c r="X96" s="131">
        <f>Таблица32[[#This Row],[Столбец7]]*Таблица32[[#This Row],[Ishga vaqtida kelish ketish]]%</f>
        <v>0</v>
      </c>
      <c r="Y96" s="131">
        <f>Таблица32[[#This Row],[Столбец7]]*Таблица32[[#This Row],[Ishga kelish bank klient]]%</f>
        <v>7000</v>
      </c>
      <c r="Z96" s="131">
        <f>Таблица32[[#This Row],[Столбец7]]*Таблица32[[#This Row],[Gruppa buxgalter]]%</f>
        <v>7000</v>
      </c>
      <c r="AA96" s="131">
        <f>Таблица32[[#This Row],[Столбец7]]*Таблица32[[#This Row],[Gruppa bank klient ]]%</f>
        <v>7000</v>
      </c>
      <c r="AB96" s="131">
        <f>Таблица32[[#This Row],[1c]]*Таблица32[[#This Row],[Столбец7]]/100</f>
        <v>7000</v>
      </c>
      <c r="AC96" s="132">
        <f>SUM(Таблица32[[#This Row],[Didox]:[ мехнат]],Таблица32[[#This Row],[Avtokameral]])*Таблица32[[#This Row],[Столбец7]]/100</f>
        <v>5250</v>
      </c>
      <c r="AD96" s="132">
        <f>SUM(Таблица32[[#This Row],[Pul oqimlari]:[Foyda va zarar]])*Таблица32[[#This Row],[Столбец7]]/100</f>
        <v>7000</v>
      </c>
      <c r="AE96" s="131">
        <f>Таблица32[[#This Row],[Столбец7]]*Таблица32[[#This Row],[Nazoratchi]]%</f>
        <v>3500</v>
      </c>
      <c r="AF96" s="131">
        <f>Таблица32[[#This Row],[Ishga vaqtida kelish nazoratchi]]+Таблица32[[#This Row],[Nazoratchi2]]</f>
        <v>3500</v>
      </c>
      <c r="AG9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26250</v>
      </c>
      <c r="AH96" s="131">
        <f>Таблица32[[#This Row],[Ishga kelish bank klient3]]+Таблица32[[#This Row],[Gruppa bank klient 2]]</f>
        <v>14000</v>
      </c>
    </row>
    <row r="97" spans="1:34" ht="18.75" x14ac:dyDescent="0.3">
      <c r="A97" s="130">
        <v>95</v>
      </c>
      <c r="B97" s="106" t="s">
        <v>280</v>
      </c>
      <c r="C97" s="106" t="s">
        <v>468</v>
      </c>
      <c r="D97" s="106"/>
      <c r="E97" s="122">
        <v>500000</v>
      </c>
      <c r="F97" s="104" t="s">
        <v>238</v>
      </c>
      <c r="G97" s="206"/>
      <c r="H97" s="206"/>
      <c r="I97" s="206"/>
      <c r="J97" s="206">
        <v>1</v>
      </c>
      <c r="K97" s="206"/>
      <c r="L97" s="184">
        <v>0.25</v>
      </c>
      <c r="M97" s="184">
        <v>0.25</v>
      </c>
      <c r="N97" s="184"/>
      <c r="O97" s="184"/>
      <c r="P97" s="184">
        <v>0.25</v>
      </c>
      <c r="Q97" s="184">
        <v>0</v>
      </c>
      <c r="R97" s="184">
        <v>0</v>
      </c>
      <c r="S97" s="184">
        <v>0</v>
      </c>
      <c r="T97" s="184">
        <v>0</v>
      </c>
      <c r="U97" s="184">
        <v>0</v>
      </c>
      <c r="V97" s="105">
        <v>0.5</v>
      </c>
      <c r="W97" s="161">
        <f>Таблица32[[#This Row],[Столбец7]]*Таблица32[[#This Row],[Ishga kelish nazoratchi2]]%</f>
        <v>0</v>
      </c>
      <c r="X97" s="131">
        <f>Таблица32[[#This Row],[Столбец7]]*Таблица32[[#This Row],[Ishga vaqtida kelish ketish]]%</f>
        <v>0</v>
      </c>
      <c r="Y97" s="131">
        <f>Таблица32[[#This Row],[Столбец7]]*Таблица32[[#This Row],[Ishga kelish bank klient]]%</f>
        <v>0</v>
      </c>
      <c r="Z97" s="131">
        <f>Таблица32[[#This Row],[Столбец7]]*Таблица32[[#This Row],[Gruppa buxgalter]]%</f>
        <v>5000</v>
      </c>
      <c r="AA97" s="131">
        <f>Таблица32[[#This Row],[Столбец7]]*Таблица32[[#This Row],[Gruppa bank klient ]]%</f>
        <v>0</v>
      </c>
      <c r="AB97" s="131">
        <f>Таблица32[[#This Row],[1c]]*Таблица32[[#This Row],[Столбец7]]/100</f>
        <v>0</v>
      </c>
      <c r="AC97" s="132">
        <f>SUM(Таблица32[[#This Row],[Didox]:[ мехнат]],Таблица32[[#This Row],[Avtokameral]])*Таблица32[[#This Row],[Столбец7]]/100</f>
        <v>3750</v>
      </c>
      <c r="AD97" s="132">
        <f>SUM(Таблица32[[#This Row],[Pul oqimlari]:[Foyda va zarar]])*Таблица32[[#This Row],[Столбец7]]/100</f>
        <v>0</v>
      </c>
      <c r="AE97" s="131">
        <f>Таблица32[[#This Row],[Столбец7]]*Таблица32[[#This Row],[Nazoratchi]]%</f>
        <v>2500</v>
      </c>
      <c r="AF97" s="131">
        <f>Таблица32[[#This Row],[Ishga vaqtida kelish nazoratchi]]+Таблица32[[#This Row],[Nazoratchi2]]</f>
        <v>2500</v>
      </c>
      <c r="AG9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97" s="131">
        <f>Таблица32[[#This Row],[Ishga kelish bank klient3]]+Таблица32[[#This Row],[Gruppa bank klient 2]]</f>
        <v>0</v>
      </c>
    </row>
    <row r="98" spans="1:34" ht="18.75" x14ac:dyDescent="0.3">
      <c r="A98" s="130">
        <v>96</v>
      </c>
      <c r="B98" s="133" t="s">
        <v>325</v>
      </c>
      <c r="C98" s="104" t="s">
        <v>335</v>
      </c>
      <c r="D98" s="133" t="s">
        <v>240</v>
      </c>
      <c r="E98" s="198">
        <v>1000000</v>
      </c>
      <c r="F98" s="104" t="s">
        <v>218</v>
      </c>
      <c r="G98" s="206">
        <v>-0.35</v>
      </c>
      <c r="H98" s="206">
        <v>1</v>
      </c>
      <c r="I98" s="206"/>
      <c r="J98" s="206">
        <v>1</v>
      </c>
      <c r="K98" s="206">
        <v>1</v>
      </c>
      <c r="L98" s="184">
        <v>0.25</v>
      </c>
      <c r="M98" s="184">
        <v>0.25</v>
      </c>
      <c r="N98" s="184"/>
      <c r="O98" s="184">
        <v>1</v>
      </c>
      <c r="P98" s="184">
        <v>0.25</v>
      </c>
      <c r="Q98" s="184">
        <v>0.2</v>
      </c>
      <c r="R98" s="184">
        <v>0.2</v>
      </c>
      <c r="S98" s="184">
        <v>0.2</v>
      </c>
      <c r="T98" s="184">
        <v>0.2</v>
      </c>
      <c r="U98" s="184">
        <v>0.2</v>
      </c>
      <c r="V98" s="105">
        <v>0.5</v>
      </c>
      <c r="W98" s="161">
        <f>Таблица32[[#This Row],[Столбец7]]*Таблица32[[#This Row],[Ishga kelish nazoratchi2]]%</f>
        <v>0</v>
      </c>
      <c r="X98" s="131">
        <f>Таблица32[[#This Row],[Столбец7]]*Таблица32[[#This Row],[Ishga vaqtida kelish ketish]]%</f>
        <v>-3499.9999999999995</v>
      </c>
      <c r="Y98" s="131">
        <f>Таблица32[[#This Row],[Столбец7]]*Таблица32[[#This Row],[Ishga kelish bank klient]]%</f>
        <v>10000</v>
      </c>
      <c r="Z98" s="131">
        <f>Таблица32[[#This Row],[Столбец7]]*Таблица32[[#This Row],[Gruppa buxgalter]]%</f>
        <v>10000</v>
      </c>
      <c r="AA98" s="131">
        <f>Таблица32[[#This Row],[Столбец7]]*Таблица32[[#This Row],[Gruppa bank klient ]]%</f>
        <v>10000</v>
      </c>
      <c r="AB98" s="131">
        <f>Таблица32[[#This Row],[1c]]*Таблица32[[#This Row],[Столбец7]]/100</f>
        <v>10000</v>
      </c>
      <c r="AC98" s="132">
        <f>SUM(Таблица32[[#This Row],[Didox]:[ мехнат]],Таблица32[[#This Row],[Avtokameral]])*Таблица32[[#This Row],[Столбец7]]/100</f>
        <v>7500</v>
      </c>
      <c r="AD98" s="132">
        <f>SUM(Таблица32[[#This Row],[Pul oqimlari]:[Foyda va zarar]])*Таблица32[[#This Row],[Столбец7]]/100</f>
        <v>10000</v>
      </c>
      <c r="AE98" s="131">
        <f>Таблица32[[#This Row],[Столбец7]]*Таблица32[[#This Row],[Nazoratchi]]%</f>
        <v>5000</v>
      </c>
      <c r="AF98" s="131">
        <f>Таблица32[[#This Row],[Ishga vaqtida kelish nazoratchi]]+Таблица32[[#This Row],[Nazoratchi2]]</f>
        <v>5000</v>
      </c>
      <c r="AG9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34000</v>
      </c>
      <c r="AH98" s="131">
        <f>Таблица32[[#This Row],[Ishga kelish bank klient3]]+Таблица32[[#This Row],[Gruppa bank klient 2]]</f>
        <v>20000</v>
      </c>
    </row>
    <row r="99" spans="1:34" ht="18.75" x14ac:dyDescent="0.3">
      <c r="A99" s="130">
        <v>97</v>
      </c>
      <c r="B99" s="164" t="s">
        <v>411</v>
      </c>
      <c r="C99" s="107" t="s">
        <v>394</v>
      </c>
      <c r="D99" s="164" t="s">
        <v>240</v>
      </c>
      <c r="E99" s="205">
        <v>700000</v>
      </c>
      <c r="F99" s="104" t="s">
        <v>218</v>
      </c>
      <c r="G99" s="206"/>
      <c r="H99" s="206">
        <v>1</v>
      </c>
      <c r="I99" s="206"/>
      <c r="J99" s="206">
        <v>1</v>
      </c>
      <c r="K99" s="206">
        <v>1</v>
      </c>
      <c r="L99" s="184">
        <v>0.25</v>
      </c>
      <c r="M99" s="184">
        <v>0.25</v>
      </c>
      <c r="N99" s="184"/>
      <c r="O99" s="184">
        <v>1</v>
      </c>
      <c r="P99" s="184">
        <v>0.25</v>
      </c>
      <c r="Q99" s="184">
        <v>0</v>
      </c>
      <c r="R99" s="184">
        <v>0.2</v>
      </c>
      <c r="S99" s="184">
        <v>0.2</v>
      </c>
      <c r="T99" s="184">
        <v>0</v>
      </c>
      <c r="U99" s="184">
        <v>0</v>
      </c>
      <c r="V99" s="105">
        <v>0.5</v>
      </c>
      <c r="W99" s="161">
        <f>Таблица32[[#This Row],[Столбец7]]*Таблица32[[#This Row],[Ishga kelish nazoratchi2]]%</f>
        <v>0</v>
      </c>
      <c r="X99" s="131">
        <f>Таблица32[[#This Row],[Столбец7]]*Таблица32[[#This Row],[Ishga vaqtida kelish ketish]]%</f>
        <v>0</v>
      </c>
      <c r="Y99" s="131">
        <f>Таблица32[[#This Row],[Столбец7]]*Таблица32[[#This Row],[Ishga kelish bank klient]]%</f>
        <v>7000</v>
      </c>
      <c r="Z99" s="131">
        <f>Таблица32[[#This Row],[Столбец7]]*Таблица32[[#This Row],[Gruppa buxgalter]]%</f>
        <v>7000</v>
      </c>
      <c r="AA99" s="131">
        <f>Таблица32[[#This Row],[Столбец7]]*Таблица32[[#This Row],[Gruppa bank klient ]]%</f>
        <v>7000</v>
      </c>
      <c r="AB99" s="131">
        <f>Таблица32[[#This Row],[1c]]*Таблица32[[#This Row],[Столбец7]]/100</f>
        <v>7000</v>
      </c>
      <c r="AC99" s="132">
        <f>SUM(Таблица32[[#This Row],[Didox]:[ мехнат]],Таблица32[[#This Row],[Avtokameral]])*Таблица32[[#This Row],[Столбец7]]/100</f>
        <v>5250</v>
      </c>
      <c r="AD99" s="132">
        <f>SUM(Таблица32[[#This Row],[Pul oqimlari]:[Foyda va zarar]])*Таблица32[[#This Row],[Столбец7]]/100</f>
        <v>2800</v>
      </c>
      <c r="AE99" s="131">
        <f>Таблица32[[#This Row],[Столбец7]]*Таблица32[[#This Row],[Nazoratchi]]%</f>
        <v>3500</v>
      </c>
      <c r="AF99" s="131">
        <f>Таблица32[[#This Row],[Ishga vaqtida kelish nazoratchi]]+Таблица32[[#This Row],[Nazoratchi2]]</f>
        <v>3500</v>
      </c>
      <c r="AG9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22050</v>
      </c>
      <c r="AH99" s="131">
        <f>Таблица32[[#This Row],[Ishga kelish bank klient3]]+Таблица32[[#This Row],[Gruppa bank klient 2]]</f>
        <v>14000</v>
      </c>
    </row>
    <row r="100" spans="1:34" ht="18.75" x14ac:dyDescent="0.3">
      <c r="A100" s="130">
        <v>98</v>
      </c>
      <c r="B100" s="164" t="s">
        <v>412</v>
      </c>
      <c r="C100" s="107" t="s">
        <v>468</v>
      </c>
      <c r="D100" s="104" t="s">
        <v>428</v>
      </c>
      <c r="E100" s="205">
        <v>750000</v>
      </c>
      <c r="F100" s="104" t="s">
        <v>238</v>
      </c>
      <c r="G100" s="206"/>
      <c r="H100" s="206">
        <v>1</v>
      </c>
      <c r="I100" s="209"/>
      <c r="J100" s="206">
        <v>1</v>
      </c>
      <c r="K100" s="206">
        <v>1</v>
      </c>
      <c r="L100" s="184">
        <v>0.25</v>
      </c>
      <c r="M100" s="184">
        <v>0.25</v>
      </c>
      <c r="N100" s="184"/>
      <c r="O100" s="184">
        <v>1</v>
      </c>
      <c r="P100" s="184">
        <v>0.25</v>
      </c>
      <c r="Q100" s="184">
        <v>0.2</v>
      </c>
      <c r="R100" s="184">
        <v>0.2</v>
      </c>
      <c r="S100" s="184">
        <v>0.2</v>
      </c>
      <c r="T100" s="184">
        <v>0.2</v>
      </c>
      <c r="U100" s="184">
        <v>0.2</v>
      </c>
      <c r="V100" s="105">
        <v>0.5</v>
      </c>
      <c r="W100" s="161">
        <f>Таблица32[[#This Row],[Столбец7]]*Таблица32[[#This Row],[Ishga kelish nazoratchi2]]%</f>
        <v>0</v>
      </c>
      <c r="X100" s="131">
        <f>Таблица32[[#This Row],[Столбец7]]*Таблица32[[#This Row],[Ishga vaqtida kelish ketish]]%</f>
        <v>0</v>
      </c>
      <c r="Y100" s="131">
        <f>Таблица32[[#This Row],[Столбец7]]*Таблица32[[#This Row],[Ishga kelish bank klient]]%</f>
        <v>7500</v>
      </c>
      <c r="Z100" s="131">
        <f>Таблица32[[#This Row],[Столбец7]]*Таблица32[[#This Row],[Gruppa buxgalter]]%</f>
        <v>7500</v>
      </c>
      <c r="AA100" s="131">
        <f>Таблица32[[#This Row],[Столбец7]]*Таблица32[[#This Row],[Gruppa bank klient ]]%</f>
        <v>7500</v>
      </c>
      <c r="AB100" s="131">
        <f>Таблица32[[#This Row],[1c]]*Таблица32[[#This Row],[Столбец7]]/100</f>
        <v>7500</v>
      </c>
      <c r="AC100" s="132">
        <f>SUM(Таблица32[[#This Row],[Didox]:[ мехнат]],Таблица32[[#This Row],[Avtokameral]])*Таблица32[[#This Row],[Столбец7]]/100</f>
        <v>5625</v>
      </c>
      <c r="AD100" s="132">
        <f>SUM(Таблица32[[#This Row],[Pul oqimlari]:[Foyda va zarar]])*Таблица32[[#This Row],[Столбец7]]/100</f>
        <v>7500</v>
      </c>
      <c r="AE100" s="131">
        <f>Таблица32[[#This Row],[Столбец7]]*Таблица32[[#This Row],[Nazoratchi]]%</f>
        <v>3750</v>
      </c>
      <c r="AF100" s="131">
        <f>Таблица32[[#This Row],[Ishga vaqtida kelish nazoratchi]]+Таблица32[[#This Row],[Nazoratchi2]]</f>
        <v>3750</v>
      </c>
      <c r="AG10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28125</v>
      </c>
      <c r="AH100" s="131">
        <f>Таблица32[[#This Row],[Ishga kelish bank klient3]]+Таблица32[[#This Row],[Gruppa bank klient 2]]</f>
        <v>15000</v>
      </c>
    </row>
    <row r="101" spans="1:34" ht="18.75" x14ac:dyDescent="0.3">
      <c r="A101" s="130">
        <v>99</v>
      </c>
      <c r="B101" s="106" t="s">
        <v>283</v>
      </c>
      <c r="C101" s="106" t="s">
        <v>308</v>
      </c>
      <c r="D101" s="106" t="s">
        <v>240</v>
      </c>
      <c r="E101" s="122">
        <v>700000</v>
      </c>
      <c r="F101" s="104" t="s">
        <v>218</v>
      </c>
      <c r="G101" s="206">
        <v>0.9</v>
      </c>
      <c r="H101" s="206">
        <v>1</v>
      </c>
      <c r="I101" s="206"/>
      <c r="J101" s="206">
        <v>1</v>
      </c>
      <c r="K101" s="206">
        <v>1</v>
      </c>
      <c r="L101" s="184">
        <v>0.25</v>
      </c>
      <c r="M101" s="184">
        <v>0.25</v>
      </c>
      <c r="N101" s="184"/>
      <c r="O101" s="184"/>
      <c r="P101" s="184">
        <v>-0.25</v>
      </c>
      <c r="Q101" s="184">
        <v>0.2</v>
      </c>
      <c r="R101" s="184">
        <v>0.2</v>
      </c>
      <c r="S101" s="184">
        <v>0.2</v>
      </c>
      <c r="T101" s="184">
        <v>0.2</v>
      </c>
      <c r="U101" s="184">
        <v>0.2</v>
      </c>
      <c r="V101" s="105"/>
      <c r="W101" s="161">
        <f>Таблица32[[#This Row],[Столбец7]]*Таблица32[[#This Row],[Ishga kelish nazoratchi2]]%</f>
        <v>0</v>
      </c>
      <c r="X101" s="131">
        <f>Таблица32[[#This Row],[Столбец7]]*Таблица32[[#This Row],[Ishga vaqtida kelish ketish]]%</f>
        <v>6300.0000000000009</v>
      </c>
      <c r="Y101" s="131">
        <f>Таблица32[[#This Row],[Столбец7]]*Таблица32[[#This Row],[Ishga kelish bank klient]]%</f>
        <v>7000</v>
      </c>
      <c r="Z101" s="131">
        <f>Таблица32[[#This Row],[Столбец7]]*Таблица32[[#This Row],[Gruppa buxgalter]]%</f>
        <v>7000</v>
      </c>
      <c r="AA101" s="131">
        <f>Таблица32[[#This Row],[Столбец7]]*Таблица32[[#This Row],[Gruppa bank klient ]]%</f>
        <v>7000</v>
      </c>
      <c r="AB101" s="131">
        <f>Таблица32[[#This Row],[1c]]*Таблица32[[#This Row],[Столбец7]]/100</f>
        <v>0</v>
      </c>
      <c r="AC101" s="132">
        <f>SUM(Таблица32[[#This Row],[Didox]:[ мехнат]],Таблица32[[#This Row],[Avtokameral]])*Таблица32[[#This Row],[Столбец7]]/100</f>
        <v>1750</v>
      </c>
      <c r="AD101" s="132">
        <f>SUM(Таблица32[[#This Row],[Pul oqimlari]:[Foyda va zarar]])*Таблица32[[#This Row],[Столбец7]]/100</f>
        <v>7000</v>
      </c>
      <c r="AE101" s="131">
        <f>Таблица32[[#This Row],[Столбец7]]*Таблица32[[#This Row],[Nazoratchi]]%</f>
        <v>0</v>
      </c>
      <c r="AF101" s="131">
        <f>Таблица32[[#This Row],[Ishga vaqtida kelish nazoratchi]]+Таблица32[[#This Row],[Nazoratchi2]]</f>
        <v>0</v>
      </c>
      <c r="AG10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22050</v>
      </c>
      <c r="AH101" s="131">
        <f>Таблица32[[#This Row],[Ishga kelish bank klient3]]+Таблица32[[#This Row],[Gruppa bank klient 2]]</f>
        <v>14000</v>
      </c>
    </row>
    <row r="102" spans="1:34" ht="18.75" x14ac:dyDescent="0.3">
      <c r="A102" s="130">
        <v>100</v>
      </c>
      <c r="B102" s="106" t="s">
        <v>284</v>
      </c>
      <c r="C102" s="106" t="s">
        <v>434</v>
      </c>
      <c r="D102" s="104" t="s">
        <v>428</v>
      </c>
      <c r="E102" s="122">
        <v>0</v>
      </c>
      <c r="F102" s="104" t="s">
        <v>238</v>
      </c>
      <c r="G102" s="206">
        <v>-0.05</v>
      </c>
      <c r="H102" s="206">
        <v>1</v>
      </c>
      <c r="I102" s="206"/>
      <c r="J102" s="206">
        <v>1</v>
      </c>
      <c r="K102" s="206">
        <v>1</v>
      </c>
      <c r="L102" s="184">
        <v>0</v>
      </c>
      <c r="M102" s="184">
        <v>0</v>
      </c>
      <c r="N102" s="184"/>
      <c r="O102" s="184"/>
      <c r="P102" s="184">
        <v>0</v>
      </c>
      <c r="Q102" s="184">
        <v>0</v>
      </c>
      <c r="R102" s="184">
        <v>0</v>
      </c>
      <c r="S102" s="184">
        <v>0</v>
      </c>
      <c r="T102" s="184">
        <v>0</v>
      </c>
      <c r="U102" s="184">
        <v>0</v>
      </c>
      <c r="V102" s="105">
        <v>0.5</v>
      </c>
      <c r="W102" s="161">
        <f>Таблица32[[#This Row],[Столбец7]]*Таблица32[[#This Row],[Ishga kelish nazoratchi2]]%</f>
        <v>0</v>
      </c>
      <c r="X102" s="131">
        <f>Таблица32[[#This Row],[Столбец7]]*Таблица32[[#This Row],[Ishga vaqtida kelish ketish]]%</f>
        <v>0</v>
      </c>
      <c r="Y102" s="131">
        <f>Таблица32[[#This Row],[Столбец7]]*Таблица32[[#This Row],[Ishga kelish bank klient]]%</f>
        <v>0</v>
      </c>
      <c r="Z102" s="131">
        <f>Таблица32[[#This Row],[Столбец7]]*Таблица32[[#This Row],[Gruppa buxgalter]]%</f>
        <v>0</v>
      </c>
      <c r="AA102" s="131">
        <f>Таблица32[[#This Row],[Столбец7]]*Таблица32[[#This Row],[Gruppa bank klient ]]%</f>
        <v>0</v>
      </c>
      <c r="AB102" s="131">
        <f>Таблица32[[#This Row],[1c]]*Таблица32[[#This Row],[Столбец7]]/100</f>
        <v>0</v>
      </c>
      <c r="AC102" s="132">
        <f>SUM(Таблица32[[#This Row],[Didox]:[ мехнат]],Таблица32[[#This Row],[Avtokameral]])*Таблица32[[#This Row],[Столбец7]]/100</f>
        <v>0</v>
      </c>
      <c r="AD102" s="132">
        <f>SUM(Таблица32[[#This Row],[Pul oqimlari]:[Foyda va zarar]])*Таблица32[[#This Row],[Столбец7]]/100</f>
        <v>0</v>
      </c>
      <c r="AE102" s="131">
        <f>Таблица32[[#This Row],[Столбец7]]*Таблица32[[#This Row],[Nazoratchi]]%</f>
        <v>0</v>
      </c>
      <c r="AF102" s="131">
        <f>Таблица32[[#This Row],[Ishga vaqtida kelish nazoratchi]]+Таблица32[[#This Row],[Nazoratchi2]]</f>
        <v>0</v>
      </c>
      <c r="AG10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02" s="131">
        <f>Таблица32[[#This Row],[Ishga kelish bank klient3]]+Таблица32[[#This Row],[Gruppa bank klient 2]]</f>
        <v>0</v>
      </c>
    </row>
    <row r="103" spans="1:34" ht="18" x14ac:dyDescent="0.35">
      <c r="A103" s="130">
        <v>101</v>
      </c>
      <c r="B103" s="106" t="s">
        <v>319</v>
      </c>
      <c r="C103" s="104" t="s">
        <v>224</v>
      </c>
      <c r="D103" s="104" t="s">
        <v>428</v>
      </c>
      <c r="E103" s="122">
        <v>10000000</v>
      </c>
      <c r="F103" s="104" t="s">
        <v>218</v>
      </c>
      <c r="G103" s="206"/>
      <c r="H103" s="206">
        <v>1</v>
      </c>
      <c r="I103" s="206"/>
      <c r="J103" s="206">
        <v>1</v>
      </c>
      <c r="K103" s="206">
        <v>1</v>
      </c>
      <c r="L103" s="184">
        <v>0.25</v>
      </c>
      <c r="M103" s="184">
        <v>0.25</v>
      </c>
      <c r="N103" s="184">
        <v>0.25</v>
      </c>
      <c r="O103" s="184"/>
      <c r="P103" s="184">
        <v>0.25</v>
      </c>
      <c r="Q103" s="184">
        <v>-0.2</v>
      </c>
      <c r="R103" s="184">
        <v>-0.2</v>
      </c>
      <c r="S103" s="184">
        <v>-0.2</v>
      </c>
      <c r="T103" s="184">
        <v>-0.2</v>
      </c>
      <c r="U103" s="184">
        <v>-0.2</v>
      </c>
      <c r="V103" s="105">
        <v>0.5</v>
      </c>
      <c r="W103" s="161">
        <f>Таблица32[[#This Row],[Столбец7]]*Таблица32[[#This Row],[Ishga kelish nazoratchi2]]%</f>
        <v>0</v>
      </c>
      <c r="X103" s="131">
        <f>Таблица32[[#This Row],[Столбец7]]*Таблица32[[#This Row],[Ishga vaqtida kelish ketish]]%</f>
        <v>0</v>
      </c>
      <c r="Y103" s="131">
        <f>Таблица32[[#This Row],[Столбец7]]*Таблица32[[#This Row],[Ishga kelish bank klient]]%</f>
        <v>100000</v>
      </c>
      <c r="Z103" s="131">
        <f>Таблица32[[#This Row],[Столбец7]]*Таблица32[[#This Row],[Gruppa buxgalter]]%</f>
        <v>100000</v>
      </c>
      <c r="AA103" s="131">
        <f>Таблица32[[#This Row],[Столбец7]]*Таблица32[[#This Row],[Gruppa bank klient ]]%</f>
        <v>100000</v>
      </c>
      <c r="AB103" s="131">
        <f>Таблица32[[#This Row],[1c]]*Таблица32[[#This Row],[Столбец7]]/100</f>
        <v>0</v>
      </c>
      <c r="AC103" s="132">
        <f>SUM(Таблица32[[#This Row],[Didox]:[ мехнат]],Таблица32[[#This Row],[Avtokameral]])*Таблица32[[#This Row],[Столбец7]]/100</f>
        <v>100000</v>
      </c>
      <c r="AD103" s="132">
        <f>SUM(Таблица32[[#This Row],[Pul oqimlari]:[Foyda va zarar]])*Таблица32[[#This Row],[Столбец7]]/100</f>
        <v>-100000</v>
      </c>
      <c r="AE103" s="131">
        <f>Таблица32[[#This Row],[Столбец7]]*Таблица32[[#This Row],[Nazoratchi]]%</f>
        <v>50000</v>
      </c>
      <c r="AF103" s="131">
        <f>Таблица32[[#This Row],[Ishga vaqtida kelish nazoratchi]]+Таблица32[[#This Row],[Nazoratchi2]]</f>
        <v>50000</v>
      </c>
      <c r="AG10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100000</v>
      </c>
      <c r="AH103" s="131">
        <f>Таблица32[[#This Row],[Ishga kelish bank klient3]]+Таблица32[[#This Row],[Gruppa bank klient 2]]</f>
        <v>200000</v>
      </c>
    </row>
    <row r="104" spans="1:34" ht="18.75" x14ac:dyDescent="0.3">
      <c r="A104" s="130">
        <v>102</v>
      </c>
      <c r="B104" s="106" t="s">
        <v>320</v>
      </c>
      <c r="C104" s="107" t="s">
        <v>308</v>
      </c>
      <c r="D104" s="106"/>
      <c r="E104" s="122">
        <f>2500000</f>
        <v>2500000</v>
      </c>
      <c r="F104" s="104" t="s">
        <v>218</v>
      </c>
      <c r="G104" s="206">
        <v>0.9</v>
      </c>
      <c r="H104" s="206"/>
      <c r="I104" s="209"/>
      <c r="J104" s="206">
        <v>-0.5</v>
      </c>
      <c r="K104" s="206"/>
      <c r="L104" s="184">
        <v>0.25</v>
      </c>
      <c r="M104" s="184">
        <v>0.25</v>
      </c>
      <c r="N104" s="184"/>
      <c r="O104" s="184"/>
      <c r="P104" s="184">
        <v>0.25</v>
      </c>
      <c r="Q104" s="184">
        <v>0</v>
      </c>
      <c r="R104" s="184">
        <v>0.2</v>
      </c>
      <c r="S104" s="184">
        <v>0.2</v>
      </c>
      <c r="T104" s="184">
        <v>0.2</v>
      </c>
      <c r="U104" s="184">
        <v>-0.2</v>
      </c>
      <c r="V104" s="206">
        <v>-0.5</v>
      </c>
      <c r="W104" s="161">
        <f>Таблица32[[#This Row],[Столбец7]]*Таблица32[[#This Row],[Ishga kelish nazoratchi2]]%</f>
        <v>0</v>
      </c>
      <c r="X104" s="131">
        <f>Таблица32[[#This Row],[Столбец7]]*Таблица32[[#This Row],[Ishga vaqtida kelish ketish]]%</f>
        <v>22500.000000000004</v>
      </c>
      <c r="Y104" s="131">
        <f>Таблица32[[#This Row],[Столбец7]]*Таблица32[[#This Row],[Ishga kelish bank klient]]%</f>
        <v>0</v>
      </c>
      <c r="Z104" s="131">
        <f>Таблица32[[#This Row],[Столбец7]]*Таблица32[[#This Row],[Gruppa buxgalter]]%</f>
        <v>-12500</v>
      </c>
      <c r="AA104" s="131">
        <f>Таблица32[[#This Row],[Столбец7]]*Таблица32[[#This Row],[Gruppa bank klient ]]%</f>
        <v>0</v>
      </c>
      <c r="AB104" s="131">
        <f>Таблица32[[#This Row],[1c]]*Таблица32[[#This Row],[Столбец7]]/100</f>
        <v>0</v>
      </c>
      <c r="AC104" s="132">
        <f>SUM(Таблица32[[#This Row],[Didox]:[ мехнат]],Таблица32[[#This Row],[Avtokameral]])*Таблица32[[#This Row],[Столбец7]]/100</f>
        <v>18750</v>
      </c>
      <c r="AD104" s="132">
        <f>SUM(Таблица32[[#This Row],[Pul oqimlari]:[Foyda va zarar]])*Таблица32[[#This Row],[Столбец7]]/100</f>
        <v>10000.000000000002</v>
      </c>
      <c r="AE104" s="131">
        <f>Таблица32[[#This Row],[Столбец7]]*Таблица32[[#This Row],[Nazoratchi]]%</f>
        <v>-12500</v>
      </c>
      <c r="AF104" s="131">
        <f>Таблица32[[#This Row],[Ishga vaqtida kelish nazoratchi]]+Таблица32[[#This Row],[Nazoratchi2]]</f>
        <v>-12500</v>
      </c>
      <c r="AG10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38750.000000000007</v>
      </c>
      <c r="AH104" s="131">
        <f>Таблица32[[#This Row],[Ishga kelish bank klient3]]+Таблица32[[#This Row],[Gruppa bank klient 2]]</f>
        <v>0</v>
      </c>
    </row>
    <row r="105" spans="1:34" ht="18.75" x14ac:dyDescent="0.3">
      <c r="A105" s="130">
        <v>103</v>
      </c>
      <c r="B105" s="106" t="s">
        <v>285</v>
      </c>
      <c r="C105" s="107" t="s">
        <v>308</v>
      </c>
      <c r="D105" s="106" t="s">
        <v>240</v>
      </c>
      <c r="E105" s="122">
        <v>2000000</v>
      </c>
      <c r="F105" s="104" t="s">
        <v>218</v>
      </c>
      <c r="G105" s="206">
        <v>0.9</v>
      </c>
      <c r="H105" s="206">
        <v>1</v>
      </c>
      <c r="I105" s="211"/>
      <c r="J105" s="206">
        <v>-1</v>
      </c>
      <c r="K105" s="206">
        <v>1</v>
      </c>
      <c r="L105" s="184">
        <v>0.25</v>
      </c>
      <c r="M105" s="184">
        <v>0.25</v>
      </c>
      <c r="N105" s="184">
        <v>0.25</v>
      </c>
      <c r="O105" s="184"/>
      <c r="P105" s="184">
        <v>-0.25</v>
      </c>
      <c r="Q105" s="184">
        <v>0.2</v>
      </c>
      <c r="R105" s="184">
        <v>0.2</v>
      </c>
      <c r="S105" s="184">
        <v>0.2</v>
      </c>
      <c r="T105" s="184">
        <v>-0.2</v>
      </c>
      <c r="U105" s="184">
        <v>-0.2</v>
      </c>
      <c r="V105" s="105">
        <v>-1</v>
      </c>
      <c r="W105" s="161">
        <f>Таблица32[[#This Row],[Столбец7]]*Таблица32[[#This Row],[Ishga kelish nazoratchi2]]%</f>
        <v>0</v>
      </c>
      <c r="X105" s="131">
        <f>Таблица32[[#This Row],[Столбец7]]*Таблица32[[#This Row],[Ishga vaqtida kelish ketish]]%</f>
        <v>18000.000000000004</v>
      </c>
      <c r="Y105" s="131">
        <f>Таблица32[[#This Row],[Столбец7]]*Таблица32[[#This Row],[Ishga kelish bank klient]]%</f>
        <v>20000</v>
      </c>
      <c r="Z105" s="131">
        <f>Таблица32[[#This Row],[Столбец7]]*Таблица32[[#This Row],[Gruppa buxgalter]]%</f>
        <v>-20000</v>
      </c>
      <c r="AA105" s="131">
        <f>Таблица32[[#This Row],[Столбец7]]*Таблица32[[#This Row],[Gruppa bank klient ]]%</f>
        <v>20000</v>
      </c>
      <c r="AB105" s="131">
        <f>Таблица32[[#This Row],[1c]]*Таблица32[[#This Row],[Столбец7]]/100</f>
        <v>0</v>
      </c>
      <c r="AC105" s="132">
        <f>SUM(Таблица32[[#This Row],[Didox]:[ мехнат]],Таблица32[[#This Row],[Avtokameral]])*Таблица32[[#This Row],[Столбец7]]/100</f>
        <v>10000</v>
      </c>
      <c r="AD105" s="132">
        <f>SUM(Таблица32[[#This Row],[Pul oqimlari]:[Foyda va zarar]])*Таблица32[[#This Row],[Столбец7]]/100</f>
        <v>4000.0000000000014</v>
      </c>
      <c r="AE105" s="131">
        <f>Таблица32[[#This Row],[Столбец7]]*Таблица32[[#This Row],[Nazoratchi]]%</f>
        <v>-20000</v>
      </c>
      <c r="AF105" s="131">
        <f>Таблица32[[#This Row],[Ishga vaqtida kelish nazoratchi]]+Таблица32[[#This Row],[Nazoratchi2]]</f>
        <v>-20000</v>
      </c>
      <c r="AG10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12000.000000000005</v>
      </c>
      <c r="AH105" s="131">
        <f>Таблица32[[#This Row],[Ishga kelish bank klient3]]+Таблица32[[#This Row],[Gruppa bank klient 2]]</f>
        <v>40000</v>
      </c>
    </row>
    <row r="106" spans="1:34" ht="18.75" x14ac:dyDescent="0.3">
      <c r="A106" s="130">
        <v>104</v>
      </c>
      <c r="B106" s="106" t="s">
        <v>286</v>
      </c>
      <c r="C106" s="104" t="s">
        <v>219</v>
      </c>
      <c r="D106" s="104" t="s">
        <v>428</v>
      </c>
      <c r="E106" s="127">
        <v>2500000</v>
      </c>
      <c r="F106" s="104" t="s">
        <v>218</v>
      </c>
      <c r="G106" s="206"/>
      <c r="H106" s="206">
        <v>1</v>
      </c>
      <c r="I106" s="206"/>
      <c r="J106" s="206">
        <v>1</v>
      </c>
      <c r="K106" s="206">
        <v>1</v>
      </c>
      <c r="L106" s="255">
        <v>-0.25</v>
      </c>
      <c r="M106" s="255">
        <v>-0.25</v>
      </c>
      <c r="N106" s="254"/>
      <c r="O106" s="254"/>
      <c r="P106" s="255">
        <v>0.25</v>
      </c>
      <c r="Q106" s="184">
        <v>0</v>
      </c>
      <c r="R106" s="184">
        <v>0.2</v>
      </c>
      <c r="S106" s="184">
        <v>0.2</v>
      </c>
      <c r="T106" s="184">
        <v>0.2</v>
      </c>
      <c r="U106" s="184">
        <v>0.2</v>
      </c>
      <c r="V106" s="105">
        <v>0.5</v>
      </c>
      <c r="W106" s="161">
        <f>Таблица32[[#This Row],[Столбец7]]*Таблица32[[#This Row],[Ishga kelish nazoratchi2]]%</f>
        <v>0</v>
      </c>
      <c r="X106" s="131">
        <f>Таблица32[[#This Row],[Столбец7]]*Таблица32[[#This Row],[Ishga vaqtida kelish ketish]]%</f>
        <v>0</v>
      </c>
      <c r="Y106" s="131">
        <f>Таблица32[[#This Row],[Столбец7]]*Таблица32[[#This Row],[Ishga kelish bank klient]]%</f>
        <v>25000</v>
      </c>
      <c r="Z106" s="131">
        <f>Таблица32[[#This Row],[Столбец7]]*Таблица32[[#This Row],[Gruppa buxgalter]]%</f>
        <v>25000</v>
      </c>
      <c r="AA106" s="131">
        <f>Таблица32[[#This Row],[Столбец7]]*Таблица32[[#This Row],[Gruppa bank klient ]]%</f>
        <v>25000</v>
      </c>
      <c r="AB106" s="131">
        <f>Таблица32[[#This Row],[1c]]*Таблица32[[#This Row],[Столбец7]]/100</f>
        <v>0</v>
      </c>
      <c r="AC106" s="132">
        <f>SUM(Таблица32[[#This Row],[Didox]:[ мехнат]],Таблица32[[#This Row],[Avtokameral]])*Таблица32[[#This Row],[Столбец7]]/100</f>
        <v>-6250</v>
      </c>
      <c r="AD106" s="132">
        <f>SUM(Таблица32[[#This Row],[Pul oqimlari]:[Foyda va zarar]])*Таблица32[[#This Row],[Столбец7]]/100</f>
        <v>20000</v>
      </c>
      <c r="AE106" s="131">
        <f>Таблица32[[#This Row],[Столбец7]]*Таблица32[[#This Row],[Nazoratchi]]%</f>
        <v>12500</v>
      </c>
      <c r="AF106" s="131">
        <f>Таблица32[[#This Row],[Ishga vaqtida kelish nazoratchi]]+Таблица32[[#This Row],[Nazoratchi2]]</f>
        <v>12500</v>
      </c>
      <c r="AG10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38750</v>
      </c>
      <c r="AH106" s="131">
        <f>Таблица32[[#This Row],[Ishga kelish bank klient3]]+Таблица32[[#This Row],[Gruppa bank klient 2]]</f>
        <v>50000</v>
      </c>
    </row>
    <row r="107" spans="1:34" ht="18.75" x14ac:dyDescent="0.3">
      <c r="A107" s="130">
        <v>105</v>
      </c>
      <c r="B107" s="133" t="s">
        <v>287</v>
      </c>
      <c r="C107" s="104" t="s">
        <v>218</v>
      </c>
      <c r="D107" s="133" t="s">
        <v>240</v>
      </c>
      <c r="E107" s="199">
        <v>2000000</v>
      </c>
      <c r="F107" s="104" t="s">
        <v>238</v>
      </c>
      <c r="G107" s="206">
        <v>0.05</v>
      </c>
      <c r="H107" s="206">
        <v>1</v>
      </c>
      <c r="I107" s="206"/>
      <c r="J107" s="206">
        <v>1</v>
      </c>
      <c r="K107" s="206">
        <v>1</v>
      </c>
      <c r="L107" s="184">
        <v>0.25</v>
      </c>
      <c r="M107" s="184">
        <v>0.25</v>
      </c>
      <c r="N107" s="184">
        <v>0.25</v>
      </c>
      <c r="O107" s="184">
        <v>1</v>
      </c>
      <c r="P107" s="184">
        <v>0.25</v>
      </c>
      <c r="Q107" s="184">
        <v>0.2</v>
      </c>
      <c r="R107" s="184">
        <v>0.2</v>
      </c>
      <c r="S107" s="184">
        <v>0.2</v>
      </c>
      <c r="T107" s="184">
        <v>0.2</v>
      </c>
      <c r="U107" s="184">
        <v>0.2</v>
      </c>
      <c r="V107" s="206">
        <v>0.5</v>
      </c>
      <c r="W107" s="161">
        <f>Таблица32[[#This Row],[Столбец7]]*Таблица32[[#This Row],[Ishga kelish nazoratchi2]]%</f>
        <v>0</v>
      </c>
      <c r="X107" s="131">
        <f>Таблица32[[#This Row],[Столбец7]]*Таблица32[[#This Row],[Ishga vaqtida kelish ketish]]%</f>
        <v>1000</v>
      </c>
      <c r="Y107" s="131">
        <f>Таблица32[[#This Row],[Столбец7]]*Таблица32[[#This Row],[Ishga kelish bank klient]]%</f>
        <v>20000</v>
      </c>
      <c r="Z107" s="131">
        <f>Таблица32[[#This Row],[Столбец7]]*Таблица32[[#This Row],[Gruppa buxgalter]]%</f>
        <v>20000</v>
      </c>
      <c r="AA107" s="131">
        <f>Таблица32[[#This Row],[Столбец7]]*Таблица32[[#This Row],[Gruppa bank klient ]]%</f>
        <v>20000</v>
      </c>
      <c r="AB107" s="131">
        <f>Таблица32[[#This Row],[1c]]*Таблица32[[#This Row],[Столбец7]]/100</f>
        <v>20000</v>
      </c>
      <c r="AC107" s="132">
        <f>SUM(Таблица32[[#This Row],[Didox]:[ мехнат]],Таблица32[[#This Row],[Avtokameral]])*Таблица32[[#This Row],[Столбец7]]/100</f>
        <v>20000</v>
      </c>
      <c r="AD107" s="132">
        <f>SUM(Таблица32[[#This Row],[Pul oqimlari]:[Foyda va zarar]])*Таблица32[[#This Row],[Столбец7]]/100</f>
        <v>20000</v>
      </c>
      <c r="AE107" s="131">
        <f>Таблица32[[#This Row],[Столбец7]]*Таблица32[[#This Row],[Nazoratchi]]%</f>
        <v>10000</v>
      </c>
      <c r="AF107" s="131">
        <f>Таблица32[[#This Row],[Ishga vaqtida kelish nazoratchi]]+Таблица32[[#This Row],[Nazoratchi2]]</f>
        <v>10000</v>
      </c>
      <c r="AG10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81000</v>
      </c>
      <c r="AH107" s="131">
        <f>Таблица32[[#This Row],[Ishga kelish bank klient3]]+Таблица32[[#This Row],[Gruppa bank klient 2]]</f>
        <v>40000</v>
      </c>
    </row>
    <row r="108" spans="1:34" ht="18.75" x14ac:dyDescent="0.3">
      <c r="A108" s="130">
        <v>106</v>
      </c>
      <c r="B108" s="133" t="s">
        <v>302</v>
      </c>
      <c r="C108" s="119" t="s">
        <v>219</v>
      </c>
      <c r="D108" s="104" t="s">
        <v>428</v>
      </c>
      <c r="E108" s="179">
        <v>2000000</v>
      </c>
      <c r="F108" s="104" t="s">
        <v>218</v>
      </c>
      <c r="G108" s="206"/>
      <c r="H108" s="206">
        <v>1</v>
      </c>
      <c r="I108" s="206"/>
      <c r="J108" s="206">
        <v>1</v>
      </c>
      <c r="K108" s="206">
        <v>1</v>
      </c>
      <c r="L108" s="184">
        <v>0.25</v>
      </c>
      <c r="M108" s="184">
        <v>-0.25</v>
      </c>
      <c r="N108" s="184"/>
      <c r="O108" s="184"/>
      <c r="P108" s="184">
        <v>-0.25</v>
      </c>
      <c r="Q108" s="184">
        <v>0</v>
      </c>
      <c r="R108" s="184">
        <v>0.2</v>
      </c>
      <c r="S108" s="184">
        <v>0.2</v>
      </c>
      <c r="T108" s="184">
        <v>0.2</v>
      </c>
      <c r="U108" s="184">
        <v>0.2</v>
      </c>
      <c r="V108" s="105">
        <v>0.5</v>
      </c>
      <c r="W108" s="161">
        <f>Таблица32[[#This Row],[Столбец7]]*Таблица32[[#This Row],[Ishga kelish nazoratchi2]]%</f>
        <v>0</v>
      </c>
      <c r="X108" s="131">
        <f>Таблица32[[#This Row],[Столбец7]]*Таблица32[[#This Row],[Ishga vaqtida kelish ketish]]%</f>
        <v>0</v>
      </c>
      <c r="Y108" s="131">
        <f>Таблица32[[#This Row],[Столбец7]]*Таблица32[[#This Row],[Ishga kelish bank klient]]%</f>
        <v>20000</v>
      </c>
      <c r="Z108" s="131">
        <f>Таблица32[[#This Row],[Столбец7]]*Таблица32[[#This Row],[Gruppa buxgalter]]%</f>
        <v>20000</v>
      </c>
      <c r="AA108" s="131">
        <f>Таблица32[[#This Row],[Столбец7]]*Таблица32[[#This Row],[Gruppa bank klient ]]%</f>
        <v>20000</v>
      </c>
      <c r="AB108" s="131">
        <f>Таблица32[[#This Row],[1c]]*Таблица32[[#This Row],[Столбец7]]/100</f>
        <v>0</v>
      </c>
      <c r="AC108" s="132">
        <f>SUM(Таблица32[[#This Row],[Didox]:[ мехнат]],Таблица32[[#This Row],[Avtokameral]])*Таблица32[[#This Row],[Столбец7]]/100</f>
        <v>-5000</v>
      </c>
      <c r="AD108" s="132">
        <f>SUM(Таблица32[[#This Row],[Pul oqimlari]:[Foyda va zarar]])*Таблица32[[#This Row],[Столбец7]]/100</f>
        <v>16000</v>
      </c>
      <c r="AE108" s="131">
        <f>Таблица32[[#This Row],[Столбец7]]*Таблица32[[#This Row],[Nazoratchi]]%</f>
        <v>10000</v>
      </c>
      <c r="AF108" s="131">
        <f>Таблица32[[#This Row],[Ishga vaqtida kelish nazoratchi]]+Таблица32[[#This Row],[Nazoratchi2]]</f>
        <v>10000</v>
      </c>
      <c r="AG10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31000</v>
      </c>
      <c r="AH108" s="131">
        <f>Таблица32[[#This Row],[Ishga kelish bank klient3]]+Таблица32[[#This Row],[Gruppa bank klient 2]]</f>
        <v>40000</v>
      </c>
    </row>
    <row r="109" spans="1:34" ht="18.75" x14ac:dyDescent="0.3">
      <c r="A109" s="130">
        <v>107</v>
      </c>
      <c r="B109" s="133" t="s">
        <v>372</v>
      </c>
      <c r="C109" s="104" t="s">
        <v>428</v>
      </c>
      <c r="D109" s="104" t="s">
        <v>428</v>
      </c>
      <c r="E109" s="179">
        <v>700000</v>
      </c>
      <c r="F109" s="104" t="s">
        <v>218</v>
      </c>
      <c r="G109" s="206"/>
      <c r="H109" s="206">
        <v>1</v>
      </c>
      <c r="I109" s="206"/>
      <c r="J109" s="206"/>
      <c r="K109" s="206">
        <v>1</v>
      </c>
      <c r="L109" s="255">
        <v>-0.25</v>
      </c>
      <c r="M109" s="254">
        <v>0.25</v>
      </c>
      <c r="N109" s="254"/>
      <c r="O109" s="254"/>
      <c r="P109" s="184">
        <v>0.25</v>
      </c>
      <c r="Q109" s="184">
        <v>0</v>
      </c>
      <c r="R109" s="184">
        <v>0</v>
      </c>
      <c r="S109" s="184">
        <v>0</v>
      </c>
      <c r="T109" s="184">
        <v>0</v>
      </c>
      <c r="U109" s="184">
        <v>0</v>
      </c>
      <c r="V109" s="105"/>
      <c r="W109" s="161">
        <f>Таблица32[[#This Row],[Столбец7]]*Таблица32[[#This Row],[Ishga kelish nazoratchi2]]%</f>
        <v>0</v>
      </c>
      <c r="X109" s="131">
        <f>Таблица32[[#This Row],[Столбец7]]*Таблица32[[#This Row],[Ishga vaqtida kelish ketish]]%</f>
        <v>0</v>
      </c>
      <c r="Y109" s="131">
        <f>Таблица32[[#This Row],[Столбец7]]*Таблица32[[#This Row],[Ishga kelish bank klient]]%</f>
        <v>7000</v>
      </c>
      <c r="Z109" s="131">
        <f>Таблица32[[#This Row],[Столбец7]]*Таблица32[[#This Row],[Gruppa buxgalter]]%</f>
        <v>0</v>
      </c>
      <c r="AA109" s="131">
        <f>Таблица32[[#This Row],[Столбец7]]*Таблица32[[#This Row],[Gruppa bank klient ]]%</f>
        <v>7000</v>
      </c>
      <c r="AB109" s="131">
        <f>Таблица32[[#This Row],[1c]]*Таблица32[[#This Row],[Столбец7]]/100</f>
        <v>0</v>
      </c>
      <c r="AC109" s="132">
        <f>SUM(Таблица32[[#This Row],[Didox]:[ мехнат]],Таблица32[[#This Row],[Avtokameral]])*Таблица32[[#This Row],[Столбец7]]/100</f>
        <v>1750</v>
      </c>
      <c r="AD109" s="132">
        <f>SUM(Таблица32[[#This Row],[Pul oqimlari]:[Foyda va zarar]])*Таблица32[[#This Row],[Столбец7]]/100</f>
        <v>0</v>
      </c>
      <c r="AE109" s="131">
        <f>Таблица32[[#This Row],[Столбец7]]*Таблица32[[#This Row],[Nazoratchi]]%</f>
        <v>0</v>
      </c>
      <c r="AF109" s="131">
        <f>Таблица32[[#This Row],[Ishga vaqtida kelish nazoratchi]]+Таблица32[[#This Row],[Nazoratchi2]]</f>
        <v>0</v>
      </c>
      <c r="AG10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1750</v>
      </c>
      <c r="AH109" s="131">
        <f>Таблица32[[#This Row],[Ishga kelish bank klient3]]+Таблица32[[#This Row],[Gruppa bank klient 2]]</f>
        <v>14000</v>
      </c>
    </row>
    <row r="110" spans="1:34" ht="18.75" x14ac:dyDescent="0.3">
      <c r="A110" s="130">
        <v>108</v>
      </c>
      <c r="B110" s="133" t="s">
        <v>305</v>
      </c>
      <c r="C110" s="119" t="s">
        <v>303</v>
      </c>
      <c r="D110" s="133" t="s">
        <v>240</v>
      </c>
      <c r="E110" s="224">
        <v>1500000</v>
      </c>
      <c r="F110" s="104" t="s">
        <v>218</v>
      </c>
      <c r="G110" s="206">
        <v>-0.25</v>
      </c>
      <c r="H110" s="206">
        <v>1</v>
      </c>
      <c r="I110" s="206"/>
      <c r="J110" s="206">
        <v>1</v>
      </c>
      <c r="K110" s="206">
        <v>1</v>
      </c>
      <c r="L110" s="184">
        <v>0.25</v>
      </c>
      <c r="M110" s="184">
        <v>0.25</v>
      </c>
      <c r="N110" s="184">
        <v>0.25</v>
      </c>
      <c r="O110" s="184">
        <v>1</v>
      </c>
      <c r="P110" s="184">
        <v>0.25</v>
      </c>
      <c r="Q110" s="184">
        <v>0.2</v>
      </c>
      <c r="R110" s="184">
        <v>0.2</v>
      </c>
      <c r="S110" s="184">
        <v>0.2</v>
      </c>
      <c r="T110" s="184">
        <v>0.2</v>
      </c>
      <c r="U110" s="184">
        <v>0.2</v>
      </c>
      <c r="V110" s="105">
        <v>0.5</v>
      </c>
      <c r="W110" s="161">
        <f>Таблица32[[#This Row],[Столбец7]]*Таблица32[[#This Row],[Ishga kelish nazoratchi2]]%</f>
        <v>0</v>
      </c>
      <c r="X110" s="131">
        <f>Таблица32[[#This Row],[Столбец7]]*Таблица32[[#This Row],[Ishga vaqtida kelish ketish]]%</f>
        <v>-3750</v>
      </c>
      <c r="Y110" s="131">
        <f>Таблица32[[#This Row],[Столбец7]]*Таблица32[[#This Row],[Ishga kelish bank klient]]%</f>
        <v>15000</v>
      </c>
      <c r="Z110" s="131">
        <f>Таблица32[[#This Row],[Столбец7]]*Таблица32[[#This Row],[Gruppa buxgalter]]%</f>
        <v>15000</v>
      </c>
      <c r="AA110" s="131">
        <f>Таблица32[[#This Row],[Столбец7]]*Таблица32[[#This Row],[Gruppa bank klient ]]%</f>
        <v>15000</v>
      </c>
      <c r="AB110" s="131">
        <f>Таблица32[[#This Row],[1c]]*Таблица32[[#This Row],[Столбец7]]/100</f>
        <v>15000</v>
      </c>
      <c r="AC110" s="132">
        <f>SUM(Таблица32[[#This Row],[Didox]:[ мехнат]],Таблица32[[#This Row],[Avtokameral]])*Таблица32[[#This Row],[Столбец7]]/100</f>
        <v>15000</v>
      </c>
      <c r="AD110" s="132">
        <f>SUM(Таблица32[[#This Row],[Pul oqimlari]:[Foyda va zarar]])*Таблица32[[#This Row],[Столбец7]]/100</f>
        <v>15000</v>
      </c>
      <c r="AE110" s="131">
        <f>Таблица32[[#This Row],[Столбец7]]*Таблица32[[#This Row],[Nazoratchi]]%</f>
        <v>7500</v>
      </c>
      <c r="AF110" s="131">
        <f>Таблица32[[#This Row],[Ishga vaqtida kelish nazoratchi]]+Таблица32[[#This Row],[Nazoratchi2]]</f>
        <v>7500</v>
      </c>
      <c r="AG11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56250</v>
      </c>
      <c r="AH110" s="131">
        <f>Таблица32[[#This Row],[Ishga kelish bank klient3]]+Таблица32[[#This Row],[Gruppa bank klient 2]]</f>
        <v>30000</v>
      </c>
    </row>
    <row r="111" spans="1:34" ht="18.75" x14ac:dyDescent="0.3">
      <c r="A111" s="130">
        <v>109</v>
      </c>
      <c r="B111" s="133" t="s">
        <v>306</v>
      </c>
      <c r="C111" s="119" t="s">
        <v>303</v>
      </c>
      <c r="D111" s="133" t="s">
        <v>240</v>
      </c>
      <c r="E111" s="200">
        <v>3000000</v>
      </c>
      <c r="F111" s="104" t="s">
        <v>218</v>
      </c>
      <c r="G111" s="206">
        <v>-0.25</v>
      </c>
      <c r="H111" s="206">
        <v>1</v>
      </c>
      <c r="I111" s="206"/>
      <c r="J111" s="206">
        <v>1</v>
      </c>
      <c r="K111" s="206">
        <v>1</v>
      </c>
      <c r="L111" s="184">
        <v>0.25</v>
      </c>
      <c r="M111" s="184">
        <v>0.25</v>
      </c>
      <c r="N111" s="184"/>
      <c r="O111" s="184">
        <v>1</v>
      </c>
      <c r="P111" s="183">
        <v>0.25</v>
      </c>
      <c r="Q111" s="184">
        <v>0.2</v>
      </c>
      <c r="R111" s="184">
        <v>0.2</v>
      </c>
      <c r="S111" s="184">
        <v>0.2</v>
      </c>
      <c r="T111" s="184">
        <v>0.2</v>
      </c>
      <c r="U111" s="184">
        <v>0.2</v>
      </c>
      <c r="V111" s="105">
        <v>0.5</v>
      </c>
      <c r="W111" s="161">
        <f>Таблица32[[#This Row],[Столбец7]]*Таблица32[[#This Row],[Ishga kelish nazoratchi2]]%</f>
        <v>0</v>
      </c>
      <c r="X111" s="131">
        <f>Таблица32[[#This Row],[Столбец7]]*Таблица32[[#This Row],[Ishga vaqtida kelish ketish]]%</f>
        <v>-7500</v>
      </c>
      <c r="Y111" s="131">
        <f>Таблица32[[#This Row],[Столбец7]]*Таблица32[[#This Row],[Ishga kelish bank klient]]%</f>
        <v>30000</v>
      </c>
      <c r="Z111" s="131">
        <f>Таблица32[[#This Row],[Столбец7]]*Таблица32[[#This Row],[Gruppa buxgalter]]%</f>
        <v>30000</v>
      </c>
      <c r="AA111" s="131">
        <f>Таблица32[[#This Row],[Столбец7]]*Таблица32[[#This Row],[Gruppa bank klient ]]%</f>
        <v>30000</v>
      </c>
      <c r="AB111" s="131">
        <f>Таблица32[[#This Row],[1c]]*Таблица32[[#This Row],[Столбец7]]/100</f>
        <v>30000</v>
      </c>
      <c r="AC111" s="132">
        <f>SUM(Таблица32[[#This Row],[Didox]:[ мехнат]],Таблица32[[#This Row],[Avtokameral]])*Таблица32[[#This Row],[Столбец7]]/100</f>
        <v>22500</v>
      </c>
      <c r="AD111" s="132">
        <f>SUM(Таблица32[[#This Row],[Pul oqimlari]:[Foyda va zarar]])*Таблица32[[#This Row],[Столбец7]]/100</f>
        <v>30000</v>
      </c>
      <c r="AE111" s="131">
        <f>Таблица32[[#This Row],[Столбец7]]*Таблица32[[#This Row],[Nazoratchi]]%</f>
        <v>15000</v>
      </c>
      <c r="AF111" s="131">
        <f>Таблица32[[#This Row],[Ishga vaqtida kelish nazoratchi]]+Таблица32[[#This Row],[Nazoratchi2]]</f>
        <v>15000</v>
      </c>
      <c r="AG11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105000</v>
      </c>
      <c r="AH111" s="131">
        <f>Таблица32[[#This Row],[Ishga kelish bank klient3]]+Таблица32[[#This Row],[Gruppa bank klient 2]]</f>
        <v>60000</v>
      </c>
    </row>
    <row r="112" spans="1:34" ht="18.75" x14ac:dyDescent="0.3">
      <c r="A112" s="130">
        <v>110</v>
      </c>
      <c r="B112" s="106" t="s">
        <v>323</v>
      </c>
      <c r="C112" s="104" t="s">
        <v>238</v>
      </c>
      <c r="D112" s="104" t="s">
        <v>428</v>
      </c>
      <c r="E112" s="201">
        <v>1000000</v>
      </c>
      <c r="F112" s="104" t="s">
        <v>218</v>
      </c>
      <c r="G112" s="206">
        <v>-0.8</v>
      </c>
      <c r="H112" s="206">
        <v>1</v>
      </c>
      <c r="I112" s="206"/>
      <c r="J112" s="206">
        <v>1</v>
      </c>
      <c r="K112" s="206">
        <v>1</v>
      </c>
      <c r="L112" s="184">
        <v>0.25</v>
      </c>
      <c r="M112" s="184">
        <v>0.25</v>
      </c>
      <c r="N112" s="184">
        <v>0.25</v>
      </c>
      <c r="O112" s="184"/>
      <c r="P112" s="183">
        <v>0.25</v>
      </c>
      <c r="Q112" s="184">
        <v>0.2</v>
      </c>
      <c r="R112" s="184">
        <v>0.2</v>
      </c>
      <c r="S112" s="184">
        <v>0.2</v>
      </c>
      <c r="T112" s="184">
        <v>0.2</v>
      </c>
      <c r="U112" s="184">
        <v>-0.2</v>
      </c>
      <c r="V112" s="105">
        <v>0.5</v>
      </c>
      <c r="W112" s="161">
        <f>Таблица32[[#This Row],[Столбец7]]*Таблица32[[#This Row],[Ishga kelish nazoratchi2]]%</f>
        <v>0</v>
      </c>
      <c r="X112" s="131">
        <f>Таблица32[[#This Row],[Столбец7]]*Таблица32[[#This Row],[Ishga vaqtida kelish ketish]]%</f>
        <v>-8000</v>
      </c>
      <c r="Y112" s="131">
        <f>Таблица32[[#This Row],[Столбец7]]*Таблица32[[#This Row],[Ishga kelish bank klient]]%</f>
        <v>10000</v>
      </c>
      <c r="Z112" s="131">
        <f>Таблица32[[#This Row],[Столбец7]]*Таблица32[[#This Row],[Gruppa buxgalter]]%</f>
        <v>10000</v>
      </c>
      <c r="AA112" s="131">
        <f>Таблица32[[#This Row],[Столбец7]]*Таблица32[[#This Row],[Gruppa bank klient ]]%</f>
        <v>10000</v>
      </c>
      <c r="AB112" s="131">
        <f>Таблица32[[#This Row],[1c]]*Таблица32[[#This Row],[Столбец7]]/100</f>
        <v>0</v>
      </c>
      <c r="AC112" s="132">
        <f>SUM(Таблица32[[#This Row],[Didox]:[ мехнат]],Таблица32[[#This Row],[Avtokameral]])*Таблица32[[#This Row],[Столбец7]]/100</f>
        <v>10000</v>
      </c>
      <c r="AD112" s="132">
        <f>SUM(Таблица32[[#This Row],[Pul oqimlari]:[Foyda va zarar]])*Таблица32[[#This Row],[Столбец7]]/100</f>
        <v>6000.0000000000009</v>
      </c>
      <c r="AE112" s="131">
        <f>Таблица32[[#This Row],[Столбец7]]*Таблица32[[#This Row],[Nazoratchi]]%</f>
        <v>5000</v>
      </c>
      <c r="AF112" s="131">
        <f>Таблица32[[#This Row],[Ishga vaqtida kelish nazoratchi]]+Таблица32[[#This Row],[Nazoratchi2]]</f>
        <v>5000</v>
      </c>
      <c r="AG11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18000</v>
      </c>
      <c r="AH112" s="131">
        <f>Таблица32[[#This Row],[Ishga kelish bank klient3]]+Таблица32[[#This Row],[Gruppa bank klient 2]]</f>
        <v>20000</v>
      </c>
    </row>
    <row r="113" spans="1:34" ht="18.75" x14ac:dyDescent="0.3">
      <c r="A113" s="130">
        <v>111</v>
      </c>
      <c r="B113" s="106" t="s">
        <v>324</v>
      </c>
      <c r="C113" s="106" t="s">
        <v>468</v>
      </c>
      <c r="D113" s="104" t="s">
        <v>428</v>
      </c>
      <c r="E113" s="202">
        <v>700000</v>
      </c>
      <c r="F113" s="104" t="s">
        <v>238</v>
      </c>
      <c r="G113" s="206"/>
      <c r="H113" s="206">
        <v>1</v>
      </c>
      <c r="I113" s="209"/>
      <c r="J113" s="206">
        <v>1</v>
      </c>
      <c r="K113" s="206">
        <v>1</v>
      </c>
      <c r="L113" s="184">
        <v>0.25</v>
      </c>
      <c r="M113" s="184">
        <v>0.25</v>
      </c>
      <c r="N113" s="184"/>
      <c r="O113" s="184"/>
      <c r="P113" s="184">
        <v>0.25</v>
      </c>
      <c r="Q113" s="184">
        <v>0</v>
      </c>
      <c r="R113" s="184">
        <v>0</v>
      </c>
      <c r="S113" s="184">
        <v>0</v>
      </c>
      <c r="T113" s="184">
        <v>0</v>
      </c>
      <c r="U113" s="184">
        <v>0</v>
      </c>
      <c r="V113" s="105">
        <v>0.5</v>
      </c>
      <c r="W113" s="161">
        <f>Таблица32[[#This Row],[Столбец7]]*Таблица32[[#This Row],[Ishga kelish nazoratchi2]]%</f>
        <v>0</v>
      </c>
      <c r="X113" s="131">
        <f>Таблица32[[#This Row],[Столбец7]]*Таблица32[[#This Row],[Ishga vaqtida kelish ketish]]%</f>
        <v>0</v>
      </c>
      <c r="Y113" s="131">
        <f>Таблица32[[#This Row],[Столбец7]]*Таблица32[[#This Row],[Ishga kelish bank klient]]%</f>
        <v>7000</v>
      </c>
      <c r="Z113" s="131">
        <f>Таблица32[[#This Row],[Столбец7]]*Таблица32[[#This Row],[Gruppa buxgalter]]%</f>
        <v>7000</v>
      </c>
      <c r="AA113" s="131">
        <f>Таблица32[[#This Row],[Столбец7]]*Таблица32[[#This Row],[Gruppa bank klient ]]%</f>
        <v>7000</v>
      </c>
      <c r="AB113" s="131">
        <f>Таблица32[[#This Row],[1c]]*Таблица32[[#This Row],[Столбец7]]/100</f>
        <v>0</v>
      </c>
      <c r="AC113" s="132">
        <f>SUM(Таблица32[[#This Row],[Didox]:[ мехнат]],Таблица32[[#This Row],[Avtokameral]])*Таблица32[[#This Row],[Столбец7]]/100</f>
        <v>5250</v>
      </c>
      <c r="AD113" s="132">
        <f>SUM(Таблица32[[#This Row],[Pul oqimlari]:[Foyda va zarar]])*Таблица32[[#This Row],[Столбец7]]/100</f>
        <v>0</v>
      </c>
      <c r="AE113" s="131">
        <f>Таблица32[[#This Row],[Столбец7]]*Таблица32[[#This Row],[Nazoratchi]]%</f>
        <v>3500</v>
      </c>
      <c r="AF113" s="131">
        <f>Таблица32[[#This Row],[Ishga vaqtida kelish nazoratchi]]+Таблица32[[#This Row],[Nazoratchi2]]</f>
        <v>3500</v>
      </c>
      <c r="AG11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12250</v>
      </c>
      <c r="AH113" s="131">
        <f>Таблица32[[#This Row],[Ishga kelish bank klient3]]+Таблица32[[#This Row],[Gruppa bank klient 2]]</f>
        <v>14000</v>
      </c>
    </row>
    <row r="114" spans="1:34" ht="18.75" x14ac:dyDescent="0.3">
      <c r="A114" s="130">
        <v>112</v>
      </c>
      <c r="B114" s="133" t="s">
        <v>332</v>
      </c>
      <c r="C114" s="119" t="s">
        <v>238</v>
      </c>
      <c r="D114" s="104" t="s">
        <v>326</v>
      </c>
      <c r="E114" s="203">
        <v>18000000</v>
      </c>
      <c r="F114" s="104" t="s">
        <v>218</v>
      </c>
      <c r="G114" s="206">
        <v>-0.8</v>
      </c>
      <c r="H114" s="206">
        <v>1</v>
      </c>
      <c r="I114" s="209"/>
      <c r="J114" s="206">
        <v>-0.5</v>
      </c>
      <c r="K114" s="206">
        <v>1</v>
      </c>
      <c r="L114" s="183">
        <v>0.25</v>
      </c>
      <c r="M114" s="183">
        <v>0.25</v>
      </c>
      <c r="N114" s="183">
        <v>0.25</v>
      </c>
      <c r="O114" s="183">
        <v>1</v>
      </c>
      <c r="P114" s="183">
        <v>0.25</v>
      </c>
      <c r="Q114" s="184">
        <v>0.2</v>
      </c>
      <c r="R114" s="184">
        <v>0.2</v>
      </c>
      <c r="S114" s="184">
        <v>0.2</v>
      </c>
      <c r="T114" s="184">
        <v>0.2</v>
      </c>
      <c r="U114" s="184">
        <v>-0.2</v>
      </c>
      <c r="V114" s="105">
        <v>-0.5</v>
      </c>
      <c r="W114" s="161">
        <f>Таблица32[[#This Row],[Столбец7]]*Таблица32[[#This Row],[Ishga kelish nazoratchi2]]%</f>
        <v>0</v>
      </c>
      <c r="X114" s="131">
        <f>Таблица32[[#This Row],[Столбец7]]*Таблица32[[#This Row],[Ishga vaqtida kelish ketish]]%</f>
        <v>-144000</v>
      </c>
      <c r="Y114" s="131">
        <f>Таблица32[[#This Row],[Столбец7]]*Таблица32[[#This Row],[Ishga kelish bank klient]]%</f>
        <v>180000</v>
      </c>
      <c r="Z114" s="131">
        <f>Таблица32[[#This Row],[Столбец7]]*Таблица32[[#This Row],[Gruppa buxgalter]]%</f>
        <v>-90000</v>
      </c>
      <c r="AA114" s="131">
        <f>Таблица32[[#This Row],[Столбец7]]*Таблица32[[#This Row],[Gruppa bank klient ]]%</f>
        <v>180000</v>
      </c>
      <c r="AB114" s="131">
        <f>Таблица32[[#This Row],[1c]]*Таблица32[[#This Row],[Столбец7]]/100</f>
        <v>180000</v>
      </c>
      <c r="AC114" s="132">
        <f>SUM(Таблица32[[#This Row],[Didox]:[ мехнат]],Таблица32[[#This Row],[Avtokameral]])*Таблица32[[#This Row],[Столбец7]]/100</f>
        <v>180000</v>
      </c>
      <c r="AD114" s="132">
        <f>SUM(Таблица32[[#This Row],[Pul oqimlari]:[Foyda va zarar]])*Таблица32[[#This Row],[Столбец7]]/100</f>
        <v>108000.00000000001</v>
      </c>
      <c r="AE114" s="131">
        <f>Таблица32[[#This Row],[Столбец7]]*Таблица32[[#This Row],[Nazoratchi]]%</f>
        <v>-90000</v>
      </c>
      <c r="AF114" s="131">
        <f>Таблица32[[#This Row],[Ishga vaqtida kelish nazoratchi]]+Таблица32[[#This Row],[Nazoratchi2]]</f>
        <v>-90000</v>
      </c>
      <c r="AG11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234000</v>
      </c>
      <c r="AH114" s="131">
        <f>Таблица32[[#This Row],[Ishga kelish bank klient3]]+Таблица32[[#This Row],[Gruppa bank klient 2]]</f>
        <v>360000</v>
      </c>
    </row>
    <row r="115" spans="1:34" ht="18.75" x14ac:dyDescent="0.3">
      <c r="A115" s="130">
        <v>113</v>
      </c>
      <c r="B115" s="133" t="s">
        <v>327</v>
      </c>
      <c r="C115" s="106" t="s">
        <v>309</v>
      </c>
      <c r="D115" s="133"/>
      <c r="E115" s="198">
        <v>3000000</v>
      </c>
      <c r="F115" s="104" t="s">
        <v>218</v>
      </c>
      <c r="G115" s="206">
        <v>-0.8</v>
      </c>
      <c r="H115" s="206"/>
      <c r="I115" s="206"/>
      <c r="J115" s="206">
        <v>-1</v>
      </c>
      <c r="K115" s="206"/>
      <c r="L115" s="184">
        <v>0.25</v>
      </c>
      <c r="M115" s="184">
        <v>0.25</v>
      </c>
      <c r="N115" s="184">
        <v>0.25</v>
      </c>
      <c r="O115" s="184"/>
      <c r="P115" s="184">
        <v>-0.25</v>
      </c>
      <c r="Q115" s="184">
        <v>0.2</v>
      </c>
      <c r="R115" s="184">
        <v>0.2</v>
      </c>
      <c r="S115" s="184">
        <v>0.2</v>
      </c>
      <c r="T115" s="184">
        <v>-0.2</v>
      </c>
      <c r="U115" s="184">
        <v>-0.2</v>
      </c>
      <c r="V115" s="206">
        <v>-1</v>
      </c>
      <c r="W115" s="161">
        <f>Таблица32[[#This Row],[Столбец7]]*Таблица32[[#This Row],[Ishga kelish nazoratchi2]]%</f>
        <v>0</v>
      </c>
      <c r="X115" s="131">
        <f>Таблица32[[#This Row],[Столбец7]]*Таблица32[[#This Row],[Ishga vaqtida kelish ketish]]%</f>
        <v>-24000</v>
      </c>
      <c r="Y115" s="131">
        <f>Таблица32[[#This Row],[Столбец7]]*Таблица32[[#This Row],[Ishga kelish bank klient]]%</f>
        <v>0</v>
      </c>
      <c r="Z115" s="131">
        <f>Таблица32[[#This Row],[Столбец7]]*Таблица32[[#This Row],[Gruppa buxgalter]]%</f>
        <v>-30000</v>
      </c>
      <c r="AA115" s="131">
        <f>Таблица32[[#This Row],[Столбец7]]*Таблица32[[#This Row],[Gruppa bank klient ]]%</f>
        <v>0</v>
      </c>
      <c r="AB115" s="131">
        <f>Таблица32[[#This Row],[1c]]*Таблица32[[#This Row],[Столбец7]]/100</f>
        <v>0</v>
      </c>
      <c r="AC115" s="132">
        <f>SUM(Таблица32[[#This Row],[Didox]:[ мехнат]],Таблица32[[#This Row],[Avtokameral]])*Таблица32[[#This Row],[Столбец7]]/100</f>
        <v>15000</v>
      </c>
      <c r="AD115" s="132">
        <f>SUM(Таблица32[[#This Row],[Pul oqimlari]:[Foyda va zarar]])*Таблица32[[#This Row],[Столбец7]]/100</f>
        <v>6000.0000000000027</v>
      </c>
      <c r="AE115" s="131">
        <f>Таблица32[[#This Row],[Столбец7]]*Таблица32[[#This Row],[Nazoratchi]]%</f>
        <v>-30000</v>
      </c>
      <c r="AF115" s="131">
        <f>Таблица32[[#This Row],[Ishga vaqtida kelish nazoratchi]]+Таблица32[[#This Row],[Nazoratchi2]]</f>
        <v>-30000</v>
      </c>
      <c r="AG11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-33000</v>
      </c>
      <c r="AH115" s="131">
        <f>Таблица32[[#This Row],[Ishga kelish bank klient3]]+Таблица32[[#This Row],[Gruppa bank klient 2]]</f>
        <v>0</v>
      </c>
    </row>
    <row r="116" spans="1:34" ht="18.75" x14ac:dyDescent="0.3">
      <c r="A116" s="130">
        <v>114</v>
      </c>
      <c r="B116" s="133" t="s">
        <v>328</v>
      </c>
      <c r="C116" s="106" t="s">
        <v>309</v>
      </c>
      <c r="D116" s="133"/>
      <c r="E116" s="198">
        <v>3000000</v>
      </c>
      <c r="F116" s="104" t="s">
        <v>218</v>
      </c>
      <c r="G116" s="206">
        <v>-0.8</v>
      </c>
      <c r="H116" s="206"/>
      <c r="I116" s="206"/>
      <c r="J116" s="206">
        <v>1</v>
      </c>
      <c r="K116" s="206"/>
      <c r="L116" s="184">
        <v>0.25</v>
      </c>
      <c r="M116" s="184">
        <v>0.25</v>
      </c>
      <c r="N116" s="184">
        <v>0.25</v>
      </c>
      <c r="O116" s="184">
        <v>1</v>
      </c>
      <c r="P116" s="184">
        <v>0</v>
      </c>
      <c r="Q116" s="184">
        <v>0.2</v>
      </c>
      <c r="R116" s="184">
        <v>0.2</v>
      </c>
      <c r="S116" s="184">
        <v>0.2</v>
      </c>
      <c r="T116" s="184">
        <v>-0.2</v>
      </c>
      <c r="U116" s="184">
        <v>-0.2</v>
      </c>
      <c r="V116" s="206">
        <v>0.5</v>
      </c>
      <c r="W116" s="161">
        <f>Таблица32[[#This Row],[Столбец7]]*Таблица32[[#This Row],[Ishga kelish nazoratchi2]]%</f>
        <v>0</v>
      </c>
      <c r="X116" s="131">
        <f>Таблица32[[#This Row],[Столбец7]]*Таблица32[[#This Row],[Ishga vaqtida kelish ketish]]%</f>
        <v>-24000</v>
      </c>
      <c r="Y116" s="131">
        <f>Таблица32[[#This Row],[Столбец7]]*Таблица32[[#This Row],[Ishga kelish bank klient]]%</f>
        <v>0</v>
      </c>
      <c r="Z116" s="131">
        <f>Таблица32[[#This Row],[Столбец7]]*Таблица32[[#This Row],[Gruppa buxgalter]]%</f>
        <v>30000</v>
      </c>
      <c r="AA116" s="131">
        <f>Таблица32[[#This Row],[Столбец7]]*Таблица32[[#This Row],[Gruppa bank klient ]]%</f>
        <v>0</v>
      </c>
      <c r="AB116" s="131">
        <f>Таблица32[[#This Row],[1c]]*Таблица32[[#This Row],[Столбец7]]/100</f>
        <v>30000</v>
      </c>
      <c r="AC116" s="132">
        <f>SUM(Таблица32[[#This Row],[Didox]:[ мехнат]],Таблица32[[#This Row],[Avtokameral]])*Таблица32[[#This Row],[Столбец7]]/100</f>
        <v>22500</v>
      </c>
      <c r="AD116" s="132">
        <f>SUM(Таблица32[[#This Row],[Pul oqimlari]:[Foyda va zarar]])*Таблица32[[#This Row],[Столбец7]]/100</f>
        <v>6000.0000000000027</v>
      </c>
      <c r="AE116" s="131">
        <f>Таблица32[[#This Row],[Столбец7]]*Таблица32[[#This Row],[Nazoratchi]]%</f>
        <v>15000</v>
      </c>
      <c r="AF116" s="131">
        <f>Таблица32[[#This Row],[Ishga vaqtida kelish nazoratchi]]+Таблица32[[#This Row],[Nazoratchi2]]</f>
        <v>15000</v>
      </c>
      <c r="AG11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64500</v>
      </c>
      <c r="AH116" s="131">
        <f>Таблица32[[#This Row],[Ishga kelish bank klient3]]+Таблица32[[#This Row],[Gruppa bank klient 2]]</f>
        <v>0</v>
      </c>
    </row>
    <row r="117" spans="1:34" ht="18.75" x14ac:dyDescent="0.3">
      <c r="A117" s="130">
        <v>115</v>
      </c>
      <c r="B117" s="171" t="s">
        <v>357</v>
      </c>
      <c r="C117" s="158" t="s">
        <v>335</v>
      </c>
      <c r="D117" s="157"/>
      <c r="E117" s="204">
        <v>2000000</v>
      </c>
      <c r="F117" s="104" t="s">
        <v>218</v>
      </c>
      <c r="G117" s="206">
        <v>-0.35</v>
      </c>
      <c r="H117" s="206"/>
      <c r="I117" s="209"/>
      <c r="J117" s="206">
        <v>1</v>
      </c>
      <c r="K117" s="206"/>
      <c r="L117" s="183">
        <v>0.25</v>
      </c>
      <c r="M117" s="183">
        <v>0.25</v>
      </c>
      <c r="N117" s="183">
        <v>0</v>
      </c>
      <c r="O117" s="183">
        <v>1</v>
      </c>
      <c r="P117" s="183">
        <v>0.25</v>
      </c>
      <c r="Q117" s="183">
        <v>-0.2</v>
      </c>
      <c r="R117" s="183">
        <v>0</v>
      </c>
      <c r="S117" s="183">
        <v>0</v>
      </c>
      <c r="T117" s="183">
        <v>0.2</v>
      </c>
      <c r="U117" s="183">
        <v>0.2</v>
      </c>
      <c r="V117" s="105">
        <v>0.5</v>
      </c>
      <c r="W117" s="161">
        <f>Таблица32[[#This Row],[Столбец7]]*Таблица32[[#This Row],[Ishga kelish nazoratchi2]]%</f>
        <v>0</v>
      </c>
      <c r="X117" s="131">
        <f>Таблица32[[#This Row],[Столбец7]]*Таблица32[[#This Row],[Ishga vaqtida kelish ketish]]%</f>
        <v>-6999.9999999999991</v>
      </c>
      <c r="Y117" s="131">
        <f>Таблица32[[#This Row],[Столбец7]]*Таблица32[[#This Row],[Ishga kelish bank klient]]%</f>
        <v>0</v>
      </c>
      <c r="Z117" s="131">
        <f>Таблица32[[#This Row],[Столбец7]]*Таблица32[[#This Row],[Gruppa buxgalter]]%</f>
        <v>20000</v>
      </c>
      <c r="AA117" s="131">
        <f>Таблица32[[#This Row],[Столбец7]]*Таблица32[[#This Row],[Gruppa bank klient ]]%</f>
        <v>0</v>
      </c>
      <c r="AB117" s="131">
        <f>Таблица32[[#This Row],[1c]]*Таблица32[[#This Row],[Столбец7]]/100</f>
        <v>20000</v>
      </c>
      <c r="AC117" s="132">
        <f>SUM(Таблица32[[#This Row],[Didox]:[ мехнат]],Таблица32[[#This Row],[Avtokameral]])*Таблица32[[#This Row],[Столбец7]]/100</f>
        <v>15000</v>
      </c>
      <c r="AD117" s="132">
        <f>SUM(Таблица32[[#This Row],[Pul oqimlari]:[Foyda va zarar]])*Таблица32[[#This Row],[Столбец7]]/100</f>
        <v>4000</v>
      </c>
      <c r="AE117" s="131">
        <f>Таблица32[[#This Row],[Столбец7]]*Таблица32[[#This Row],[Nazoratchi]]%</f>
        <v>10000</v>
      </c>
      <c r="AF117" s="131">
        <f>Таблица32[[#This Row],[Ishga vaqtida kelish nazoratchi]]+Таблица32[[#This Row],[Nazoratchi2]]</f>
        <v>10000</v>
      </c>
      <c r="AG11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52000</v>
      </c>
      <c r="AH117" s="131">
        <f>Таблица32[[#This Row],[Ishga kelish bank klient3]]+Таблица32[[#This Row],[Gruppa bank klient 2]]</f>
        <v>0</v>
      </c>
    </row>
    <row r="118" spans="1:34" ht="37.5" x14ac:dyDescent="0.3">
      <c r="A118" s="130">
        <v>116</v>
      </c>
      <c r="B118" s="157" t="s">
        <v>358</v>
      </c>
      <c r="C118" s="165" t="s">
        <v>335</v>
      </c>
      <c r="D118" s="104" t="s">
        <v>428</v>
      </c>
      <c r="E118" s="205">
        <v>5000000</v>
      </c>
      <c r="F118" s="104" t="s">
        <v>218</v>
      </c>
      <c r="G118" s="206">
        <v>-0.35</v>
      </c>
      <c r="H118" s="206">
        <v>1</v>
      </c>
      <c r="I118" s="206"/>
      <c r="J118" s="206">
        <v>1</v>
      </c>
      <c r="K118" s="206">
        <v>1</v>
      </c>
      <c r="L118" s="183">
        <v>-0.25</v>
      </c>
      <c r="M118" s="183">
        <v>0.25</v>
      </c>
      <c r="N118" s="184">
        <v>0.25</v>
      </c>
      <c r="O118" s="184">
        <v>1</v>
      </c>
      <c r="P118" s="183">
        <v>0.25</v>
      </c>
      <c r="Q118" s="184">
        <v>0.2</v>
      </c>
      <c r="R118" s="184">
        <v>0.2</v>
      </c>
      <c r="S118" s="184">
        <v>0.2</v>
      </c>
      <c r="T118" s="184">
        <v>0.2</v>
      </c>
      <c r="U118" s="184">
        <v>0.2</v>
      </c>
      <c r="V118" s="105">
        <v>0.5</v>
      </c>
      <c r="W118" s="161">
        <f>Таблица32[[#This Row],[Столбец7]]*Таблица32[[#This Row],[Ishga kelish nazoratchi2]]%</f>
        <v>0</v>
      </c>
      <c r="X118" s="131">
        <f>Таблица32[[#This Row],[Столбец7]]*Таблица32[[#This Row],[Ishga vaqtida kelish ketish]]%</f>
        <v>-17500</v>
      </c>
      <c r="Y118" s="131">
        <f>Таблица32[[#This Row],[Столбец7]]*Таблица32[[#This Row],[Ishga kelish bank klient]]%</f>
        <v>50000</v>
      </c>
      <c r="Z118" s="131">
        <f>Таблица32[[#This Row],[Столбец7]]*Таблица32[[#This Row],[Gruppa buxgalter]]%</f>
        <v>50000</v>
      </c>
      <c r="AA118" s="131">
        <f>Таблица32[[#This Row],[Столбец7]]*Таблица32[[#This Row],[Gruppa bank klient ]]%</f>
        <v>50000</v>
      </c>
      <c r="AB118" s="131">
        <f>Таблица32[[#This Row],[1c]]*Таблица32[[#This Row],[Столбец7]]/100</f>
        <v>50000</v>
      </c>
      <c r="AC118" s="132">
        <f>SUM(Таблица32[[#This Row],[Didox]:[ мехнат]],Таблица32[[#This Row],[Avtokameral]])*Таблица32[[#This Row],[Столбец7]]/100</f>
        <v>25000</v>
      </c>
      <c r="AD118" s="132">
        <f>SUM(Таблица32[[#This Row],[Pul oqimlari]:[Foyda va zarar]])*Таблица32[[#This Row],[Столбец7]]/100</f>
        <v>50000</v>
      </c>
      <c r="AE118" s="131">
        <f>Таблица32[[#This Row],[Столбец7]]*Таблица32[[#This Row],[Nazoratchi]]%</f>
        <v>25000</v>
      </c>
      <c r="AF118" s="131">
        <f>Таблица32[[#This Row],[Ishga vaqtida kelish nazoratchi]]+Таблица32[[#This Row],[Nazoratchi2]]</f>
        <v>25000</v>
      </c>
      <c r="AG11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157500</v>
      </c>
      <c r="AH118" s="131">
        <f>Таблица32[[#This Row],[Ishga kelish bank klient3]]+Таблица32[[#This Row],[Gruppa bank klient 2]]</f>
        <v>100000</v>
      </c>
    </row>
    <row r="119" spans="1:34" ht="18.75" x14ac:dyDescent="0.3">
      <c r="A119" s="130">
        <v>117</v>
      </c>
      <c r="B119" s="157" t="s">
        <v>359</v>
      </c>
      <c r="C119" s="165" t="s">
        <v>335</v>
      </c>
      <c r="D119" s="104" t="s">
        <v>428</v>
      </c>
      <c r="E119" s="205">
        <v>500000</v>
      </c>
      <c r="F119" s="104" t="s">
        <v>218</v>
      </c>
      <c r="G119" s="206">
        <v>-0.35</v>
      </c>
      <c r="H119" s="206">
        <v>1</v>
      </c>
      <c r="I119" s="209"/>
      <c r="J119" s="206">
        <v>1</v>
      </c>
      <c r="K119" s="206">
        <v>1</v>
      </c>
      <c r="L119" s="184">
        <v>0.25</v>
      </c>
      <c r="M119" s="184">
        <v>0.25</v>
      </c>
      <c r="N119" s="184"/>
      <c r="O119" s="183">
        <v>1</v>
      </c>
      <c r="P119" s="184">
        <v>0.25</v>
      </c>
      <c r="Q119" s="184">
        <v>0.2</v>
      </c>
      <c r="R119" s="184">
        <v>0.2</v>
      </c>
      <c r="S119" s="184">
        <v>0.2</v>
      </c>
      <c r="T119" s="184">
        <v>0.2</v>
      </c>
      <c r="U119" s="184">
        <v>0.2</v>
      </c>
      <c r="V119" s="105">
        <v>0.5</v>
      </c>
      <c r="W119" s="161">
        <f>Таблица32[[#This Row],[Столбец7]]*Таблица32[[#This Row],[Ishga kelish nazoratchi2]]%</f>
        <v>0</v>
      </c>
      <c r="X119" s="131">
        <f>Таблица32[[#This Row],[Столбец7]]*Таблица32[[#This Row],[Ishga vaqtida kelish ketish]]%</f>
        <v>-1749.9999999999998</v>
      </c>
      <c r="Y119" s="131">
        <f>Таблица32[[#This Row],[Столбец7]]*Таблица32[[#This Row],[Ishga kelish bank klient]]%</f>
        <v>5000</v>
      </c>
      <c r="Z119" s="131">
        <f>Таблица32[[#This Row],[Столбец7]]*Таблица32[[#This Row],[Gruppa buxgalter]]%</f>
        <v>5000</v>
      </c>
      <c r="AA119" s="131">
        <f>Таблица32[[#This Row],[Столбец7]]*Таблица32[[#This Row],[Gruppa bank klient ]]%</f>
        <v>5000</v>
      </c>
      <c r="AB119" s="131">
        <f>Таблица32[[#This Row],[1c]]*Таблица32[[#This Row],[Столбец7]]/100</f>
        <v>5000</v>
      </c>
      <c r="AC119" s="132">
        <f>SUM(Таблица32[[#This Row],[Didox]:[ мехнат]],Таблица32[[#This Row],[Avtokameral]])*Таблица32[[#This Row],[Столбец7]]/100</f>
        <v>3750</v>
      </c>
      <c r="AD119" s="132">
        <f>SUM(Таблица32[[#This Row],[Pul oqimlari]:[Foyda va zarar]])*Таблица32[[#This Row],[Столбец7]]/100</f>
        <v>5000</v>
      </c>
      <c r="AE119" s="131">
        <f>Таблица32[[#This Row],[Столбец7]]*Таблица32[[#This Row],[Nazoratchi]]%</f>
        <v>2500</v>
      </c>
      <c r="AF119" s="131">
        <f>Таблица32[[#This Row],[Ishga vaqtida kelish nazoratchi]]+Таблица32[[#This Row],[Nazoratchi2]]</f>
        <v>2500</v>
      </c>
      <c r="AG11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17000</v>
      </c>
      <c r="AH119" s="131">
        <f>Таблица32[[#This Row],[Ishga kelish bank klient3]]+Таблица32[[#This Row],[Gruppa bank klient 2]]</f>
        <v>10000</v>
      </c>
    </row>
    <row r="120" spans="1:34" ht="18.75" x14ac:dyDescent="0.3">
      <c r="A120" s="130">
        <v>118</v>
      </c>
      <c r="B120" s="157" t="s">
        <v>360</v>
      </c>
      <c r="C120" s="165" t="s">
        <v>335</v>
      </c>
      <c r="D120" s="104" t="s">
        <v>428</v>
      </c>
      <c r="E120" s="205">
        <v>500000</v>
      </c>
      <c r="F120" s="104" t="s">
        <v>218</v>
      </c>
      <c r="G120" s="206">
        <v>-0.35</v>
      </c>
      <c r="H120" s="206">
        <v>1</v>
      </c>
      <c r="I120" s="206"/>
      <c r="J120" s="206">
        <v>1</v>
      </c>
      <c r="K120" s="206">
        <v>1</v>
      </c>
      <c r="L120" s="183">
        <v>0.25</v>
      </c>
      <c r="M120" s="184">
        <v>0.25</v>
      </c>
      <c r="N120" s="183"/>
      <c r="O120" s="183">
        <v>1</v>
      </c>
      <c r="P120" s="183">
        <v>0.25</v>
      </c>
      <c r="Q120" s="184">
        <v>0.2</v>
      </c>
      <c r="R120" s="184">
        <v>0.2</v>
      </c>
      <c r="S120" s="184">
        <v>0.2</v>
      </c>
      <c r="T120" s="184">
        <v>0.2</v>
      </c>
      <c r="U120" s="184">
        <v>0.2</v>
      </c>
      <c r="V120" s="105">
        <v>0.5</v>
      </c>
      <c r="W120" s="161">
        <f>Таблица32[[#This Row],[Столбец7]]*Таблица32[[#This Row],[Ishga kelish nazoratchi2]]%</f>
        <v>0</v>
      </c>
      <c r="X120" s="131">
        <f>Таблица32[[#This Row],[Столбец7]]*Таблица32[[#This Row],[Ishga vaqtida kelish ketish]]%</f>
        <v>-1749.9999999999998</v>
      </c>
      <c r="Y120" s="131">
        <f>Таблица32[[#This Row],[Столбец7]]*Таблица32[[#This Row],[Ishga kelish bank klient]]%</f>
        <v>5000</v>
      </c>
      <c r="Z120" s="131">
        <f>Таблица32[[#This Row],[Столбец7]]*Таблица32[[#This Row],[Gruppa buxgalter]]%</f>
        <v>5000</v>
      </c>
      <c r="AA120" s="131">
        <f>Таблица32[[#This Row],[Столбец7]]*Таблица32[[#This Row],[Gruppa bank klient ]]%</f>
        <v>5000</v>
      </c>
      <c r="AB120" s="131">
        <f>Таблица32[[#This Row],[1c]]*Таблица32[[#This Row],[Столбец7]]/100</f>
        <v>5000</v>
      </c>
      <c r="AC120" s="132">
        <f>SUM(Таблица32[[#This Row],[Didox]:[ мехнат]],Таблица32[[#This Row],[Avtokameral]])*Таблица32[[#This Row],[Столбец7]]/100</f>
        <v>3750</v>
      </c>
      <c r="AD120" s="132">
        <f>SUM(Таблица32[[#This Row],[Pul oqimlari]:[Foyda va zarar]])*Таблица32[[#This Row],[Столбец7]]/100</f>
        <v>5000</v>
      </c>
      <c r="AE120" s="131">
        <f>Таблица32[[#This Row],[Столбец7]]*Таблица32[[#This Row],[Nazoratchi]]%</f>
        <v>2500</v>
      </c>
      <c r="AF120" s="131">
        <f>Таблица32[[#This Row],[Ishga vaqtida kelish nazoratchi]]+Таблица32[[#This Row],[Nazoratchi2]]</f>
        <v>2500</v>
      </c>
      <c r="AG12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17000</v>
      </c>
      <c r="AH120" s="131">
        <f>Таблица32[[#This Row],[Ishga kelish bank klient3]]+Таблица32[[#This Row],[Gruppa bank klient 2]]</f>
        <v>10000</v>
      </c>
    </row>
    <row r="121" spans="1:34" ht="18.75" x14ac:dyDescent="0.3">
      <c r="A121" s="130">
        <v>119</v>
      </c>
      <c r="B121" s="157" t="s">
        <v>361</v>
      </c>
      <c r="C121" s="165" t="s">
        <v>308</v>
      </c>
      <c r="D121" s="164"/>
      <c r="E121" s="205">
        <v>12000000</v>
      </c>
      <c r="F121" s="104" t="s">
        <v>218</v>
      </c>
      <c r="G121" s="206">
        <v>0.9</v>
      </c>
      <c r="H121" s="206"/>
      <c r="I121" s="206"/>
      <c r="J121" s="206"/>
      <c r="K121" s="206"/>
      <c r="L121" s="183">
        <v>0</v>
      </c>
      <c r="M121" s="184">
        <v>0</v>
      </c>
      <c r="N121" s="184">
        <v>0</v>
      </c>
      <c r="O121" s="184"/>
      <c r="P121" s="183">
        <v>0</v>
      </c>
      <c r="Q121" s="184">
        <v>0</v>
      </c>
      <c r="R121" s="184">
        <v>0</v>
      </c>
      <c r="S121" s="184">
        <v>0</v>
      </c>
      <c r="T121" s="184">
        <v>0</v>
      </c>
      <c r="U121" s="184">
        <v>0</v>
      </c>
      <c r="V121" s="105"/>
      <c r="W121" s="161">
        <f>Таблица32[[#This Row],[Столбец7]]*Таблица32[[#This Row],[Ishga kelish nazoratchi2]]%</f>
        <v>0</v>
      </c>
      <c r="X121" s="131">
        <f>Таблица32[[#This Row],[Столбец7]]*Таблица32[[#This Row],[Ishga vaqtida kelish ketish]]%</f>
        <v>108000.00000000001</v>
      </c>
      <c r="Y121" s="131">
        <f>Таблица32[[#This Row],[Столбец7]]*Таблица32[[#This Row],[Ishga kelish bank klient]]%</f>
        <v>0</v>
      </c>
      <c r="Z121" s="131">
        <f>Таблица32[[#This Row],[Столбец7]]*Таблица32[[#This Row],[Gruppa buxgalter]]%</f>
        <v>0</v>
      </c>
      <c r="AA121" s="131">
        <f>Таблица32[[#This Row],[Столбец7]]*Таблица32[[#This Row],[Gruppa bank klient ]]%</f>
        <v>0</v>
      </c>
      <c r="AB121" s="131">
        <f>Таблица32[[#This Row],[1c]]*Таблица32[[#This Row],[Столбец7]]/100</f>
        <v>0</v>
      </c>
      <c r="AC121" s="132">
        <f>SUM(Таблица32[[#This Row],[Didox]:[ мехнат]],Таблица32[[#This Row],[Avtokameral]])*Таблица32[[#This Row],[Столбец7]]/100</f>
        <v>0</v>
      </c>
      <c r="AD121" s="132">
        <f>SUM(Таблица32[[#This Row],[Pul oqimlari]:[Foyda va zarar]])*Таблица32[[#This Row],[Столбец7]]/100</f>
        <v>0</v>
      </c>
      <c r="AE121" s="131">
        <f>Таблица32[[#This Row],[Столбец7]]*Таблица32[[#This Row],[Nazoratchi]]%</f>
        <v>0</v>
      </c>
      <c r="AF121" s="131">
        <f>Таблица32[[#This Row],[Ishga vaqtida kelish nazoratchi]]+Таблица32[[#This Row],[Nazoratchi2]]</f>
        <v>0</v>
      </c>
      <c r="AG12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108000.00000000001</v>
      </c>
      <c r="AH121" s="131">
        <f>Таблица32[[#This Row],[Ishga kelish bank klient3]]+Таблица32[[#This Row],[Gruppa bank klient 2]]</f>
        <v>0</v>
      </c>
    </row>
    <row r="122" spans="1:34" ht="18.75" x14ac:dyDescent="0.3">
      <c r="A122" s="130">
        <v>120</v>
      </c>
      <c r="B122" s="157" t="s">
        <v>362</v>
      </c>
      <c r="C122" s="106" t="s">
        <v>560</v>
      </c>
      <c r="D122" s="164"/>
      <c r="E122" s="205">
        <v>800000</v>
      </c>
      <c r="F122" s="104" t="s">
        <v>238</v>
      </c>
      <c r="G122" s="206">
        <v>-6</v>
      </c>
      <c r="H122" s="206"/>
      <c r="I122" s="206"/>
      <c r="J122" s="206">
        <v>1</v>
      </c>
      <c r="K122" s="206"/>
      <c r="L122" s="183">
        <v>0</v>
      </c>
      <c r="M122" s="183">
        <v>0</v>
      </c>
      <c r="N122" s="184">
        <v>0</v>
      </c>
      <c r="O122" s="184"/>
      <c r="P122" s="183">
        <v>0</v>
      </c>
      <c r="Q122" s="184">
        <v>0</v>
      </c>
      <c r="R122" s="184">
        <v>0</v>
      </c>
      <c r="S122" s="184">
        <v>0</v>
      </c>
      <c r="T122" s="184">
        <v>0</v>
      </c>
      <c r="U122" s="184">
        <v>0</v>
      </c>
      <c r="V122" s="105">
        <v>0.5</v>
      </c>
      <c r="W122" s="161">
        <f>Таблица32[[#This Row],[Столбец7]]*Таблица32[[#This Row],[Ishga kelish nazoratchi2]]%</f>
        <v>0</v>
      </c>
      <c r="X122" s="131">
        <f>Таблица32[[#This Row],[Столбец7]]*Таблица32[[#This Row],[Ishga vaqtida kelish ketish]]%</f>
        <v>-48000</v>
      </c>
      <c r="Y122" s="131">
        <f>Таблица32[[#This Row],[Столбец7]]*Таблица32[[#This Row],[Ishga kelish bank klient]]%</f>
        <v>0</v>
      </c>
      <c r="Z122" s="131">
        <f>Таблица32[[#This Row],[Столбец7]]*Таблица32[[#This Row],[Gruppa buxgalter]]%</f>
        <v>8000</v>
      </c>
      <c r="AA122" s="131">
        <f>Таблица32[[#This Row],[Столбец7]]*Таблица32[[#This Row],[Gruppa bank klient ]]%</f>
        <v>0</v>
      </c>
      <c r="AB122" s="131">
        <f>Таблица32[[#This Row],[1c]]*Таблица32[[#This Row],[Столбец7]]/100</f>
        <v>0</v>
      </c>
      <c r="AC122" s="132">
        <f>SUM(Таблица32[[#This Row],[Didox]:[ мехнат]],Таблица32[[#This Row],[Avtokameral]])*Таблица32[[#This Row],[Столбец7]]/100</f>
        <v>0</v>
      </c>
      <c r="AD122" s="132">
        <f>SUM(Таблица32[[#This Row],[Pul oqimlari]:[Foyda va zarar]])*Таблица32[[#This Row],[Столбец7]]/100</f>
        <v>0</v>
      </c>
      <c r="AE122" s="131">
        <f>Таблица32[[#This Row],[Столбец7]]*Таблица32[[#This Row],[Nazoratchi]]%</f>
        <v>4000</v>
      </c>
      <c r="AF122" s="131">
        <f>Таблица32[[#This Row],[Ishga vaqtida kelish nazoratchi]]+Таблица32[[#This Row],[Nazoratchi2]]</f>
        <v>4000</v>
      </c>
      <c r="AG12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-40000</v>
      </c>
      <c r="AH122" s="131">
        <f>Таблица32[[#This Row],[Ishga kelish bank klient3]]+Таблица32[[#This Row],[Gruppa bank klient 2]]</f>
        <v>0</v>
      </c>
    </row>
    <row r="123" spans="1:34" ht="18.75" x14ac:dyDescent="0.3">
      <c r="A123" s="130">
        <v>121</v>
      </c>
      <c r="B123" s="157" t="s">
        <v>363</v>
      </c>
      <c r="C123" s="106" t="s">
        <v>560</v>
      </c>
      <c r="D123" s="104" t="s">
        <v>428</v>
      </c>
      <c r="E123" s="205">
        <v>1000000</v>
      </c>
      <c r="F123" s="104" t="s">
        <v>238</v>
      </c>
      <c r="G123" s="206">
        <v>-6</v>
      </c>
      <c r="H123" s="206">
        <v>1</v>
      </c>
      <c r="I123" s="206"/>
      <c r="J123" s="206">
        <v>1</v>
      </c>
      <c r="K123" s="206">
        <v>1</v>
      </c>
      <c r="L123" s="184">
        <v>0.25</v>
      </c>
      <c r="M123" s="184">
        <v>0.25</v>
      </c>
      <c r="N123" s="184">
        <v>0.25</v>
      </c>
      <c r="O123" s="184"/>
      <c r="P123" s="184">
        <v>0.25</v>
      </c>
      <c r="Q123" s="183">
        <v>-0.2</v>
      </c>
      <c r="R123" s="184">
        <v>0.2</v>
      </c>
      <c r="S123" s="184">
        <v>0.2</v>
      </c>
      <c r="T123" s="183">
        <v>-0.2</v>
      </c>
      <c r="U123" s="183">
        <v>-0.2</v>
      </c>
      <c r="V123" s="105">
        <v>0.5</v>
      </c>
      <c r="W123" s="161">
        <f>Таблица32[[#This Row],[Столбец7]]*Таблица32[[#This Row],[Ishga kelish nazoratchi2]]%</f>
        <v>0</v>
      </c>
      <c r="X123" s="131">
        <f>Таблица32[[#This Row],[Столбец7]]*Таблица32[[#This Row],[Ishga vaqtida kelish ketish]]%</f>
        <v>-60000</v>
      </c>
      <c r="Y123" s="131">
        <f>Таблица32[[#This Row],[Столбец7]]*Таблица32[[#This Row],[Ishga kelish bank klient]]%</f>
        <v>10000</v>
      </c>
      <c r="Z123" s="131">
        <f>Таблица32[[#This Row],[Столбец7]]*Таблица32[[#This Row],[Gruppa buxgalter]]%</f>
        <v>10000</v>
      </c>
      <c r="AA123" s="131">
        <f>Таблица32[[#This Row],[Столбец7]]*Таблица32[[#This Row],[Gruppa bank klient ]]%</f>
        <v>10000</v>
      </c>
      <c r="AB123" s="131">
        <f>Таблица32[[#This Row],[1c]]*Таблица32[[#This Row],[Столбец7]]/100</f>
        <v>0</v>
      </c>
      <c r="AC123" s="132">
        <f>SUM(Таблица32[[#This Row],[Didox]:[ мехнат]],Таблица32[[#This Row],[Avtokameral]])*Таблица32[[#This Row],[Столбец7]]/100</f>
        <v>10000</v>
      </c>
      <c r="AD123" s="132">
        <f>SUM(Таблица32[[#This Row],[Pul oqimlari]:[Foyda va zarar]])*Таблица32[[#This Row],[Столбец7]]/100</f>
        <v>-2000</v>
      </c>
      <c r="AE123" s="131">
        <f>Таблица32[[#This Row],[Столбец7]]*Таблица32[[#This Row],[Nazoratchi]]%</f>
        <v>5000</v>
      </c>
      <c r="AF123" s="131">
        <f>Таблица32[[#This Row],[Ishga vaqtida kelish nazoratchi]]+Таблица32[[#This Row],[Nazoratchi2]]</f>
        <v>5000</v>
      </c>
      <c r="AG12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-42000</v>
      </c>
      <c r="AH123" s="131">
        <f>Таблица32[[#This Row],[Ishga kelish bank klient3]]+Таблица32[[#This Row],[Gruppa bank klient 2]]</f>
        <v>20000</v>
      </c>
    </row>
    <row r="124" spans="1:34" ht="18.75" x14ac:dyDescent="0.3">
      <c r="A124" s="130">
        <v>122</v>
      </c>
      <c r="B124" s="171" t="s">
        <v>364</v>
      </c>
      <c r="C124" s="172" t="s">
        <v>224</v>
      </c>
      <c r="D124" s="173"/>
      <c r="E124" s="205">
        <v>3000000</v>
      </c>
      <c r="F124" s="107" t="s">
        <v>218</v>
      </c>
      <c r="G124" s="206"/>
      <c r="H124" s="206"/>
      <c r="I124" s="206"/>
      <c r="J124" s="206">
        <v>1</v>
      </c>
      <c r="K124" s="206"/>
      <c r="L124" s="184">
        <v>0</v>
      </c>
      <c r="M124" s="184">
        <v>0.25</v>
      </c>
      <c r="N124" s="184"/>
      <c r="O124" s="184"/>
      <c r="P124" s="184">
        <v>0.25</v>
      </c>
      <c r="Q124" s="184">
        <v>0</v>
      </c>
      <c r="R124" s="184">
        <v>0</v>
      </c>
      <c r="S124" s="184">
        <v>0</v>
      </c>
      <c r="T124" s="184">
        <v>0.2</v>
      </c>
      <c r="U124" s="184">
        <v>0.2</v>
      </c>
      <c r="V124" s="105">
        <v>0.5</v>
      </c>
      <c r="W124" s="161">
        <f>Таблица32[[#This Row],[Столбец7]]*Таблица32[[#This Row],[Ishga kelish nazoratchi2]]%</f>
        <v>0</v>
      </c>
      <c r="X124" s="131">
        <f>Таблица32[[#This Row],[Столбец7]]*Таблица32[[#This Row],[Ishga vaqtida kelish ketish]]%</f>
        <v>0</v>
      </c>
      <c r="Y124" s="131">
        <f>Таблица32[[#This Row],[Столбец7]]*Таблица32[[#This Row],[Ishga kelish bank klient]]%</f>
        <v>0</v>
      </c>
      <c r="Z124" s="131">
        <f>Таблица32[[#This Row],[Столбец7]]*Таблица32[[#This Row],[Gruppa buxgalter]]%</f>
        <v>30000</v>
      </c>
      <c r="AA124" s="131">
        <f>Таблица32[[#This Row],[Столбец7]]*Таблица32[[#This Row],[Gruppa bank klient ]]%</f>
        <v>0</v>
      </c>
      <c r="AB124" s="131">
        <f>Таблица32[[#This Row],[1c]]*Таблица32[[#This Row],[Столбец7]]/100</f>
        <v>0</v>
      </c>
      <c r="AC124" s="132">
        <f>SUM(Таблица32[[#This Row],[Didox]:[ мехнат]],Таблица32[[#This Row],[Avtokameral]])*Таблица32[[#This Row],[Столбец7]]/100</f>
        <v>15000</v>
      </c>
      <c r="AD124" s="132">
        <f>SUM(Таблица32[[#This Row],[Pul oqimlari]:[Foyda va zarar]])*Таблица32[[#This Row],[Столбец7]]/100</f>
        <v>12000</v>
      </c>
      <c r="AE124" s="131">
        <f>Таблица32[[#This Row],[Столбец7]]*Таблица32[[#This Row],[Nazoratchi]]%</f>
        <v>15000</v>
      </c>
      <c r="AF124" s="131">
        <f>Таблица32[[#This Row],[Ishga vaqtida kelish nazoratchi]]+Таблица32[[#This Row],[Nazoratchi2]]</f>
        <v>15000</v>
      </c>
      <c r="AG124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57000</v>
      </c>
      <c r="AH124" s="131">
        <f>Таблица32[[#This Row],[Ishga kelish bank klient3]]+Таблица32[[#This Row],[Gruppa bank klient 2]]</f>
        <v>0</v>
      </c>
    </row>
    <row r="125" spans="1:34" ht="18.75" x14ac:dyDescent="0.3">
      <c r="A125" s="130">
        <v>123</v>
      </c>
      <c r="B125" s="157" t="s">
        <v>365</v>
      </c>
      <c r="C125" s="104" t="s">
        <v>219</v>
      </c>
      <c r="D125" s="104" t="s">
        <v>428</v>
      </c>
      <c r="E125" s="205">
        <v>300000</v>
      </c>
      <c r="F125" s="104" t="s">
        <v>218</v>
      </c>
      <c r="G125" s="206"/>
      <c r="H125" s="206">
        <v>1</v>
      </c>
      <c r="I125" s="206"/>
      <c r="J125" s="206">
        <v>-2</v>
      </c>
      <c r="K125" s="206">
        <v>1</v>
      </c>
      <c r="L125" s="184">
        <v>0.25</v>
      </c>
      <c r="M125" s="184">
        <v>0.25</v>
      </c>
      <c r="N125" s="184"/>
      <c r="O125" s="184"/>
      <c r="P125" s="184">
        <v>0.25</v>
      </c>
      <c r="Q125" s="184">
        <v>0</v>
      </c>
      <c r="R125" s="184">
        <v>0</v>
      </c>
      <c r="S125" s="184">
        <v>0</v>
      </c>
      <c r="T125" s="184">
        <v>0</v>
      </c>
      <c r="U125" s="184">
        <v>0</v>
      </c>
      <c r="V125" s="206">
        <v>-2</v>
      </c>
      <c r="W125" s="161">
        <f>Таблица32[[#This Row],[Столбец7]]*Таблица32[[#This Row],[Ishga kelish nazoratchi2]]%</f>
        <v>0</v>
      </c>
      <c r="X125" s="131">
        <f>Таблица32[[#This Row],[Столбец7]]*Таблица32[[#This Row],[Ishga vaqtida kelish ketish]]%</f>
        <v>0</v>
      </c>
      <c r="Y125" s="131">
        <f>Таблица32[[#This Row],[Столбец7]]*Таблица32[[#This Row],[Ishga kelish bank klient]]%</f>
        <v>3000</v>
      </c>
      <c r="Z125" s="131">
        <f>Таблица32[[#This Row],[Столбец7]]*Таблица32[[#This Row],[Gruppa buxgalter]]%</f>
        <v>-6000</v>
      </c>
      <c r="AA125" s="131">
        <f>Таблица32[[#This Row],[Столбец7]]*Таблица32[[#This Row],[Gruppa bank klient ]]%</f>
        <v>3000</v>
      </c>
      <c r="AB125" s="131">
        <f>Таблица32[[#This Row],[1c]]*Таблица32[[#This Row],[Столбец7]]/100</f>
        <v>0</v>
      </c>
      <c r="AC125" s="132">
        <f>SUM(Таблица32[[#This Row],[Didox]:[ мехнат]],Таблица32[[#This Row],[Avtokameral]])*Таблица32[[#This Row],[Столбец7]]/100</f>
        <v>2250</v>
      </c>
      <c r="AD125" s="132">
        <f>SUM(Таблица32[[#This Row],[Pul oqimlari]:[Foyda va zarar]])*Таблица32[[#This Row],[Столбец7]]/100</f>
        <v>0</v>
      </c>
      <c r="AE125" s="131">
        <f>Таблица32[[#This Row],[Столбец7]]*Таблица32[[#This Row],[Nazoratchi]]%</f>
        <v>-6000</v>
      </c>
      <c r="AF125" s="131">
        <f>Таблица32[[#This Row],[Ishga vaqtida kelish nazoratchi]]+Таблица32[[#This Row],[Nazoratchi2]]</f>
        <v>-6000</v>
      </c>
      <c r="AG12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-3750</v>
      </c>
      <c r="AH125" s="131">
        <f>Таблица32[[#This Row],[Ishga kelish bank klient3]]+Таблица32[[#This Row],[Gruppa bank klient 2]]</f>
        <v>6000</v>
      </c>
    </row>
    <row r="126" spans="1:34" ht="18.75" x14ac:dyDescent="0.3">
      <c r="A126" s="130">
        <v>124</v>
      </c>
      <c r="B126" s="164" t="s">
        <v>366</v>
      </c>
      <c r="C126" s="104" t="s">
        <v>219</v>
      </c>
      <c r="D126" s="104" t="s">
        <v>428</v>
      </c>
      <c r="E126" s="205">
        <v>1000000</v>
      </c>
      <c r="F126" s="104" t="s">
        <v>218</v>
      </c>
      <c r="G126" s="206"/>
      <c r="H126" s="206">
        <v>1</v>
      </c>
      <c r="I126" s="206"/>
      <c r="J126" s="206">
        <v>1</v>
      </c>
      <c r="K126" s="206">
        <v>1</v>
      </c>
      <c r="L126" s="184">
        <v>0.25</v>
      </c>
      <c r="M126" s="184">
        <v>0.25</v>
      </c>
      <c r="N126" s="184"/>
      <c r="O126" s="184"/>
      <c r="P126" s="184">
        <v>0.25</v>
      </c>
      <c r="Q126" s="184">
        <v>0</v>
      </c>
      <c r="R126" s="184">
        <v>0</v>
      </c>
      <c r="S126" s="184">
        <v>0</v>
      </c>
      <c r="T126" s="184">
        <v>0</v>
      </c>
      <c r="U126" s="184">
        <v>0</v>
      </c>
      <c r="V126" s="105">
        <v>0.5</v>
      </c>
      <c r="W126" s="161">
        <f>Таблица32[[#This Row],[Столбец7]]*Таблица32[[#This Row],[Ishga kelish nazoratchi2]]%</f>
        <v>0</v>
      </c>
      <c r="X126" s="131">
        <f>Таблица32[[#This Row],[Столбец7]]*Таблица32[[#This Row],[Ishga vaqtida kelish ketish]]%</f>
        <v>0</v>
      </c>
      <c r="Y126" s="131">
        <f>Таблица32[[#This Row],[Столбец7]]*Таблица32[[#This Row],[Ishga kelish bank klient]]%</f>
        <v>10000</v>
      </c>
      <c r="Z126" s="131">
        <f>Таблица32[[#This Row],[Столбец7]]*Таблица32[[#This Row],[Gruppa buxgalter]]%</f>
        <v>10000</v>
      </c>
      <c r="AA126" s="131">
        <f>Таблица32[[#This Row],[Столбец7]]*Таблица32[[#This Row],[Gruppa bank klient ]]%</f>
        <v>10000</v>
      </c>
      <c r="AB126" s="131">
        <f>Таблица32[[#This Row],[1c]]*Таблица32[[#This Row],[Столбец7]]/100</f>
        <v>0</v>
      </c>
      <c r="AC126" s="132">
        <f>SUM(Таблица32[[#This Row],[Didox]:[ мехнат]],Таблица32[[#This Row],[Avtokameral]])*Таблица32[[#This Row],[Столбец7]]/100</f>
        <v>7500</v>
      </c>
      <c r="AD126" s="132">
        <f>SUM(Таблица32[[#This Row],[Pul oqimlari]:[Foyda va zarar]])*Таблица32[[#This Row],[Столбец7]]/100</f>
        <v>0</v>
      </c>
      <c r="AE126" s="131">
        <f>Таблица32[[#This Row],[Столбец7]]*Таблица32[[#This Row],[Nazoratchi]]%</f>
        <v>5000</v>
      </c>
      <c r="AF126" s="131">
        <f>Таблица32[[#This Row],[Ishga vaqtida kelish nazoratchi]]+Таблица32[[#This Row],[Nazoratchi2]]</f>
        <v>5000</v>
      </c>
      <c r="AG12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17500</v>
      </c>
      <c r="AH126" s="131">
        <f>Таблица32[[#This Row],[Ishga kelish bank klient3]]+Таблица32[[#This Row],[Gruppa bank klient 2]]</f>
        <v>20000</v>
      </c>
    </row>
    <row r="127" spans="1:34" ht="18.75" x14ac:dyDescent="0.3">
      <c r="A127" s="130">
        <v>125</v>
      </c>
      <c r="B127" s="164" t="s">
        <v>367</v>
      </c>
      <c r="C127" s="104" t="s">
        <v>219</v>
      </c>
      <c r="D127" s="104" t="s">
        <v>428</v>
      </c>
      <c r="E127" s="205">
        <v>1000000</v>
      </c>
      <c r="F127" s="104" t="s">
        <v>218</v>
      </c>
      <c r="G127" s="206"/>
      <c r="H127" s="206">
        <v>1</v>
      </c>
      <c r="I127" s="212"/>
      <c r="J127" s="206">
        <v>1</v>
      </c>
      <c r="K127" s="206">
        <v>1</v>
      </c>
      <c r="L127" s="184">
        <v>0.25</v>
      </c>
      <c r="M127" s="184">
        <v>0.25</v>
      </c>
      <c r="N127" s="184"/>
      <c r="O127" s="184"/>
      <c r="P127" s="184">
        <v>-0.25</v>
      </c>
      <c r="Q127" s="184">
        <v>0</v>
      </c>
      <c r="R127" s="184">
        <v>0</v>
      </c>
      <c r="S127" s="184">
        <v>0</v>
      </c>
      <c r="T127" s="184">
        <v>0</v>
      </c>
      <c r="U127" s="184">
        <v>0</v>
      </c>
      <c r="V127" s="105">
        <v>0.5</v>
      </c>
      <c r="W127" s="161">
        <f>Таблица32[[#This Row],[Столбец7]]*Таблица32[[#This Row],[Ishga kelish nazoratchi2]]%</f>
        <v>0</v>
      </c>
      <c r="X127" s="131">
        <f>Таблица32[[#This Row],[Столбец7]]*Таблица32[[#This Row],[Ishga vaqtida kelish ketish]]%</f>
        <v>0</v>
      </c>
      <c r="Y127" s="131">
        <f>Таблица32[[#This Row],[Столбец7]]*Таблица32[[#This Row],[Ishga kelish bank klient]]%</f>
        <v>10000</v>
      </c>
      <c r="Z127" s="131">
        <f>Таблица32[[#This Row],[Столбец7]]*Таблица32[[#This Row],[Gruppa buxgalter]]%</f>
        <v>10000</v>
      </c>
      <c r="AA127" s="131">
        <f>Таблица32[[#This Row],[Столбец7]]*Таблица32[[#This Row],[Gruppa bank klient ]]%</f>
        <v>10000</v>
      </c>
      <c r="AB127" s="131">
        <f>Таблица32[[#This Row],[1c]]*Таблица32[[#This Row],[Столбец7]]/100</f>
        <v>0</v>
      </c>
      <c r="AC127" s="132">
        <f>SUM(Таблица32[[#This Row],[Didox]:[ мехнат]],Таблица32[[#This Row],[Avtokameral]])*Таблица32[[#This Row],[Столбец7]]/100</f>
        <v>2500</v>
      </c>
      <c r="AD127" s="132">
        <f>SUM(Таблица32[[#This Row],[Pul oqimlari]:[Foyda va zarar]])*Таблица32[[#This Row],[Столбец7]]/100</f>
        <v>0</v>
      </c>
      <c r="AE127" s="131">
        <f>Таблица32[[#This Row],[Столбец7]]*Таблица32[[#This Row],[Nazoratchi]]%</f>
        <v>5000</v>
      </c>
      <c r="AF127" s="131">
        <f>Таблица32[[#This Row],[Ishga vaqtida kelish nazoratchi]]+Таблица32[[#This Row],[Nazoratchi2]]</f>
        <v>5000</v>
      </c>
      <c r="AG127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12500</v>
      </c>
      <c r="AH127" s="131">
        <f>Таблица32[[#This Row],[Ishga kelish bank klient3]]+Таблица32[[#This Row],[Gruppa bank klient 2]]</f>
        <v>20000</v>
      </c>
    </row>
    <row r="128" spans="1:34" ht="18.75" x14ac:dyDescent="0.3">
      <c r="A128" s="130">
        <v>126</v>
      </c>
      <c r="B128" s="164" t="s">
        <v>368</v>
      </c>
      <c r="C128" s="104" t="s">
        <v>219</v>
      </c>
      <c r="D128" s="104" t="s">
        <v>428</v>
      </c>
      <c r="E128" s="205">
        <v>1000000</v>
      </c>
      <c r="F128" s="104" t="s">
        <v>218</v>
      </c>
      <c r="G128" s="206"/>
      <c r="H128" s="206">
        <v>1</v>
      </c>
      <c r="I128" s="209"/>
      <c r="J128" s="206">
        <v>1</v>
      </c>
      <c r="K128" s="206">
        <v>1</v>
      </c>
      <c r="L128" s="184">
        <v>0.25</v>
      </c>
      <c r="M128" s="184">
        <v>0.25</v>
      </c>
      <c r="N128" s="184"/>
      <c r="O128" s="184"/>
      <c r="P128" s="184">
        <v>0.25</v>
      </c>
      <c r="Q128" s="184">
        <v>0</v>
      </c>
      <c r="R128" s="184">
        <v>0</v>
      </c>
      <c r="S128" s="184">
        <v>0</v>
      </c>
      <c r="T128" s="184">
        <v>0</v>
      </c>
      <c r="U128" s="184">
        <v>0</v>
      </c>
      <c r="V128" s="105">
        <v>0.5</v>
      </c>
      <c r="W128" s="161">
        <f>Таблица32[[#This Row],[Столбец7]]*Таблица32[[#This Row],[Ishga kelish nazoratchi2]]%</f>
        <v>0</v>
      </c>
      <c r="X128" s="131">
        <f>Таблица32[[#This Row],[Столбец7]]*Таблица32[[#This Row],[Ishga vaqtida kelish ketish]]%</f>
        <v>0</v>
      </c>
      <c r="Y128" s="131">
        <f>Таблица32[[#This Row],[Столбец7]]*Таблица32[[#This Row],[Ishga kelish bank klient]]%</f>
        <v>10000</v>
      </c>
      <c r="Z128" s="131">
        <f>Таблица32[[#This Row],[Столбец7]]*Таблица32[[#This Row],[Gruppa buxgalter]]%</f>
        <v>10000</v>
      </c>
      <c r="AA128" s="131">
        <f>Таблица32[[#This Row],[Столбец7]]*Таблица32[[#This Row],[Gruppa bank klient ]]%</f>
        <v>10000</v>
      </c>
      <c r="AB128" s="131">
        <f>Таблица32[[#This Row],[1c]]*Таблица32[[#This Row],[Столбец7]]/100</f>
        <v>0</v>
      </c>
      <c r="AC128" s="132">
        <f>SUM(Таблица32[[#This Row],[Didox]:[ мехнат]],Таблица32[[#This Row],[Avtokameral]])*Таблица32[[#This Row],[Столбец7]]/100</f>
        <v>7500</v>
      </c>
      <c r="AD128" s="132">
        <f>SUM(Таблица32[[#This Row],[Pul oqimlari]:[Foyda va zarar]])*Таблица32[[#This Row],[Столбец7]]/100</f>
        <v>0</v>
      </c>
      <c r="AE128" s="131">
        <f>Таблица32[[#This Row],[Столбец7]]*Таблица32[[#This Row],[Nazoratchi]]%</f>
        <v>5000</v>
      </c>
      <c r="AF128" s="131">
        <f>Таблица32[[#This Row],[Ishga vaqtida kelish nazoratchi]]+Таблица32[[#This Row],[Nazoratchi2]]</f>
        <v>5000</v>
      </c>
      <c r="AG128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17500</v>
      </c>
      <c r="AH128" s="131">
        <f>Таблица32[[#This Row],[Ishga kelish bank klient3]]+Таблица32[[#This Row],[Gruppa bank klient 2]]</f>
        <v>20000</v>
      </c>
    </row>
    <row r="129" spans="1:34" ht="18.75" x14ac:dyDescent="0.3">
      <c r="A129" s="130">
        <v>127</v>
      </c>
      <c r="B129" s="164" t="s">
        <v>369</v>
      </c>
      <c r="C129" s="104" t="s">
        <v>219</v>
      </c>
      <c r="D129" s="104" t="s">
        <v>428</v>
      </c>
      <c r="E129" s="205">
        <v>300000</v>
      </c>
      <c r="F129" s="104" t="s">
        <v>218</v>
      </c>
      <c r="G129" s="206"/>
      <c r="H129" s="206">
        <v>1</v>
      </c>
      <c r="I129" s="209"/>
      <c r="J129" s="206">
        <v>1</v>
      </c>
      <c r="K129" s="206">
        <v>1</v>
      </c>
      <c r="L129" s="183">
        <v>0.25</v>
      </c>
      <c r="M129" s="183">
        <v>0.25</v>
      </c>
      <c r="N129" s="184"/>
      <c r="O129" s="184"/>
      <c r="P129" s="183">
        <v>0.25</v>
      </c>
      <c r="Q129" s="184">
        <v>0</v>
      </c>
      <c r="R129" s="184">
        <v>0</v>
      </c>
      <c r="S129" s="184">
        <v>0</v>
      </c>
      <c r="T129" s="184">
        <v>0</v>
      </c>
      <c r="U129" s="184">
        <v>0</v>
      </c>
      <c r="V129" s="105">
        <v>0.5</v>
      </c>
      <c r="W129" s="161">
        <f>Таблица32[[#This Row],[Столбец7]]*Таблица32[[#This Row],[Ishga kelish nazoratchi2]]%</f>
        <v>0</v>
      </c>
      <c r="X129" s="131">
        <f>Таблица32[[#This Row],[Столбец7]]*Таблица32[[#This Row],[Ishga vaqtida kelish ketish]]%</f>
        <v>0</v>
      </c>
      <c r="Y129" s="131">
        <f>Таблица32[[#This Row],[Столбец7]]*Таблица32[[#This Row],[Ishga kelish bank klient]]%</f>
        <v>3000</v>
      </c>
      <c r="Z129" s="131">
        <f>Таблица32[[#This Row],[Столбец7]]*Таблица32[[#This Row],[Gruppa buxgalter]]%</f>
        <v>3000</v>
      </c>
      <c r="AA129" s="131">
        <f>Таблица32[[#This Row],[Столбец7]]*Таблица32[[#This Row],[Gruppa bank klient ]]%</f>
        <v>3000</v>
      </c>
      <c r="AB129" s="131">
        <f>Таблица32[[#This Row],[1c]]*Таблица32[[#This Row],[Столбец7]]/100</f>
        <v>0</v>
      </c>
      <c r="AC129" s="132">
        <f>SUM(Таблица32[[#This Row],[Didox]:[ мехнат]],Таблица32[[#This Row],[Avtokameral]])*Таблица32[[#This Row],[Столбец7]]/100</f>
        <v>2250</v>
      </c>
      <c r="AD129" s="132">
        <f>SUM(Таблица32[[#This Row],[Pul oqimlari]:[Foyda va zarar]])*Таблица32[[#This Row],[Столбец7]]/100</f>
        <v>0</v>
      </c>
      <c r="AE129" s="131">
        <f>Таблица32[[#This Row],[Столбец7]]*Таблица32[[#This Row],[Nazoratchi]]%</f>
        <v>1500</v>
      </c>
      <c r="AF129" s="131">
        <f>Таблица32[[#This Row],[Ishga vaqtida kelish nazoratchi]]+Таблица32[[#This Row],[Nazoratchi2]]</f>
        <v>1500</v>
      </c>
      <c r="AG129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5250</v>
      </c>
      <c r="AH129" s="131">
        <f>Таблица32[[#This Row],[Ishga kelish bank klient3]]+Таблица32[[#This Row],[Gruppa bank klient 2]]</f>
        <v>6000</v>
      </c>
    </row>
    <row r="130" spans="1:34" ht="18.75" x14ac:dyDescent="0.3">
      <c r="A130" s="130">
        <v>128</v>
      </c>
      <c r="B130" s="106" t="s">
        <v>448</v>
      </c>
      <c r="C130" s="104" t="s">
        <v>219</v>
      </c>
      <c r="D130" s="104" t="s">
        <v>428</v>
      </c>
      <c r="E130" s="205">
        <v>400000</v>
      </c>
      <c r="F130" s="104" t="s">
        <v>218</v>
      </c>
      <c r="G130" s="206"/>
      <c r="H130" s="206">
        <v>1</v>
      </c>
      <c r="I130" s="209"/>
      <c r="J130" s="206">
        <v>1</v>
      </c>
      <c r="K130" s="206">
        <v>1</v>
      </c>
      <c r="L130" s="183">
        <v>-0.25</v>
      </c>
      <c r="M130" s="183">
        <v>0.25</v>
      </c>
      <c r="N130" s="183"/>
      <c r="O130" s="183"/>
      <c r="P130" s="183">
        <v>0.25</v>
      </c>
      <c r="Q130" s="184">
        <v>0</v>
      </c>
      <c r="R130" s="184">
        <v>0</v>
      </c>
      <c r="S130" s="184">
        <v>0</v>
      </c>
      <c r="T130" s="184">
        <v>0</v>
      </c>
      <c r="U130" s="184">
        <v>0</v>
      </c>
      <c r="V130" s="105">
        <v>0.5</v>
      </c>
      <c r="W130" s="161">
        <f>Таблица32[[#This Row],[Столбец7]]*Таблица32[[#This Row],[Ishga kelish nazoratchi2]]%</f>
        <v>0</v>
      </c>
      <c r="X130" s="131">
        <f>Таблица32[[#This Row],[Столбец7]]*Таблица32[[#This Row],[Ishga vaqtida kelish ketish]]%</f>
        <v>0</v>
      </c>
      <c r="Y130" s="131">
        <f>Таблица32[[#This Row],[Столбец7]]*Таблица32[[#This Row],[Ishga kelish bank klient]]%</f>
        <v>4000</v>
      </c>
      <c r="Z130" s="131">
        <f>Таблица32[[#This Row],[Столбец7]]*Таблица32[[#This Row],[Gruppa buxgalter]]%</f>
        <v>4000</v>
      </c>
      <c r="AA130" s="131">
        <f>Таблица32[[#This Row],[Столбец7]]*Таблица32[[#This Row],[Gruppa bank klient ]]%</f>
        <v>4000</v>
      </c>
      <c r="AB130" s="131">
        <f>Таблица32[[#This Row],[1c]]*Таблица32[[#This Row],[Столбец7]]/100</f>
        <v>0</v>
      </c>
      <c r="AC130" s="132">
        <f>SUM(Таблица32[[#This Row],[Didox]:[ мехнат]],Таблица32[[#This Row],[Avtokameral]])*Таблица32[[#This Row],[Столбец7]]/100</f>
        <v>1000</v>
      </c>
      <c r="AD130" s="132">
        <f>SUM(Таблица32[[#This Row],[Pul oqimlari]:[Foyda va zarar]])*Таблица32[[#This Row],[Столбец7]]/100</f>
        <v>0</v>
      </c>
      <c r="AE130" s="131">
        <f>Таблица32[[#This Row],[Столбец7]]*Таблица32[[#This Row],[Nazoratchi]]%</f>
        <v>2000</v>
      </c>
      <c r="AF130" s="131">
        <f>Таблица32[[#This Row],[Ishga vaqtida kelish nazoratchi]]+Таблица32[[#This Row],[Nazoratchi2]]</f>
        <v>2000</v>
      </c>
      <c r="AG130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5000</v>
      </c>
      <c r="AH130" s="131">
        <f>Таблица32[[#This Row],[Ishga kelish bank klient3]]+Таблица32[[#This Row],[Gruppa bank klient 2]]</f>
        <v>8000</v>
      </c>
    </row>
    <row r="131" spans="1:34" ht="18.75" x14ac:dyDescent="0.3">
      <c r="A131" s="130">
        <v>129</v>
      </c>
      <c r="B131" s="164" t="s">
        <v>370</v>
      </c>
      <c r="C131" s="106" t="s">
        <v>560</v>
      </c>
      <c r="D131" s="104" t="s">
        <v>428</v>
      </c>
      <c r="E131" s="205">
        <v>1000000</v>
      </c>
      <c r="F131" s="104" t="s">
        <v>238</v>
      </c>
      <c r="G131" s="206">
        <v>-6</v>
      </c>
      <c r="H131" s="206">
        <v>1</v>
      </c>
      <c r="I131" s="209"/>
      <c r="J131" s="206">
        <v>1</v>
      </c>
      <c r="K131" s="206">
        <v>1</v>
      </c>
      <c r="L131" s="184">
        <v>0.25</v>
      </c>
      <c r="M131" s="184">
        <v>0.25</v>
      </c>
      <c r="N131" s="184"/>
      <c r="O131" s="184"/>
      <c r="P131" s="184">
        <v>0.25</v>
      </c>
      <c r="Q131" s="183">
        <v>-0.2</v>
      </c>
      <c r="R131" s="183">
        <v>-0.2</v>
      </c>
      <c r="S131" s="184">
        <v>0.2</v>
      </c>
      <c r="T131" s="183">
        <v>-0.2</v>
      </c>
      <c r="U131" s="183">
        <v>-0.2</v>
      </c>
      <c r="V131" s="105">
        <v>0.5</v>
      </c>
      <c r="W131" s="161">
        <f>Таблица32[[#This Row],[Столбец7]]*Таблица32[[#This Row],[Ishga kelish nazoratchi2]]%</f>
        <v>0</v>
      </c>
      <c r="X131" s="131">
        <f>Таблица32[[#This Row],[Столбец7]]*Таблица32[[#This Row],[Ishga vaqtida kelish ketish]]%</f>
        <v>-60000</v>
      </c>
      <c r="Y131" s="131">
        <f>Таблица32[[#This Row],[Столбец7]]*Таблица32[[#This Row],[Ishga kelish bank klient]]%</f>
        <v>10000</v>
      </c>
      <c r="Z131" s="131">
        <f>Таблица32[[#This Row],[Столбец7]]*Таблица32[[#This Row],[Gruppa buxgalter]]%</f>
        <v>10000</v>
      </c>
      <c r="AA131" s="131">
        <f>Таблица32[[#This Row],[Столбец7]]*Таблица32[[#This Row],[Gruppa bank klient ]]%</f>
        <v>10000</v>
      </c>
      <c r="AB131" s="131">
        <f>Таблица32[[#This Row],[1c]]*Таблица32[[#This Row],[Столбец7]]/100</f>
        <v>0</v>
      </c>
      <c r="AC131" s="132">
        <f>SUM(Таблица32[[#This Row],[Didox]:[ мехнат]],Таблица32[[#This Row],[Avtokameral]])*Таблица32[[#This Row],[Столбец7]]/100</f>
        <v>7500</v>
      </c>
      <c r="AD131" s="132">
        <f>SUM(Таблица32[[#This Row],[Pul oqimlari]:[Foyda va zarar]])*Таблица32[[#This Row],[Столбец7]]/100</f>
        <v>-6000.0000000000009</v>
      </c>
      <c r="AE131" s="131">
        <f>Таблица32[[#This Row],[Столбец7]]*Таблица32[[#This Row],[Nazoratchi]]%</f>
        <v>5000</v>
      </c>
      <c r="AF131" s="131">
        <f>Таблица32[[#This Row],[Ishga vaqtida kelish nazoratchi]]+Таблица32[[#This Row],[Nazoratchi2]]</f>
        <v>5000</v>
      </c>
      <c r="AG131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-48500</v>
      </c>
      <c r="AH131" s="131">
        <f>Таблица32[[#This Row],[Ishga kelish bank klient3]]+Таблица32[[#This Row],[Gruppa bank klient 2]]</f>
        <v>20000</v>
      </c>
    </row>
    <row r="132" spans="1:34" ht="18.75" x14ac:dyDescent="0.3">
      <c r="A132" s="130">
        <v>130</v>
      </c>
      <c r="B132" s="157" t="s">
        <v>371</v>
      </c>
      <c r="C132" s="104" t="s">
        <v>467</v>
      </c>
      <c r="D132" s="164"/>
      <c r="E132" s="205">
        <v>5000000</v>
      </c>
      <c r="F132" s="104" t="s">
        <v>218</v>
      </c>
      <c r="G132" s="206"/>
      <c r="H132" s="206"/>
      <c r="I132" s="206"/>
      <c r="J132" s="206">
        <v>0</v>
      </c>
      <c r="K132" s="206"/>
      <c r="L132" s="183">
        <v>0</v>
      </c>
      <c r="M132" s="183">
        <v>0.25</v>
      </c>
      <c r="N132" s="183">
        <v>0.25</v>
      </c>
      <c r="O132" s="183"/>
      <c r="P132" s="183">
        <v>-0.25</v>
      </c>
      <c r="Q132" s="184">
        <v>0</v>
      </c>
      <c r="R132" s="184">
        <v>0</v>
      </c>
      <c r="S132" s="184">
        <v>0</v>
      </c>
      <c r="T132" s="184">
        <v>0</v>
      </c>
      <c r="U132" s="184">
        <v>0</v>
      </c>
      <c r="V132" s="105">
        <v>0</v>
      </c>
      <c r="W132" s="161">
        <f>Таблица32[[#This Row],[Столбец7]]*Таблица32[[#This Row],[Ishga kelish nazoratchi2]]%</f>
        <v>0</v>
      </c>
      <c r="X132" s="131">
        <f>Таблица32[[#This Row],[Столбец7]]*Таблица32[[#This Row],[Ishga vaqtida kelish ketish]]%</f>
        <v>0</v>
      </c>
      <c r="Y132" s="131">
        <f>Таблица32[[#This Row],[Столбец7]]*Таблица32[[#This Row],[Ishga kelish bank klient]]%</f>
        <v>0</v>
      </c>
      <c r="Z132" s="131">
        <f>Таблица32[[#This Row],[Столбец7]]*Таблица32[[#This Row],[Gruppa buxgalter]]%</f>
        <v>0</v>
      </c>
      <c r="AA132" s="131">
        <f>Таблица32[[#This Row],[Столбец7]]*Таблица32[[#This Row],[Gruppa bank klient ]]%</f>
        <v>0</v>
      </c>
      <c r="AB132" s="131">
        <f>Таблица32[[#This Row],[1c]]*Таблица32[[#This Row],[Столбец7]]/100</f>
        <v>0</v>
      </c>
      <c r="AC132" s="132">
        <f>SUM(Таблица32[[#This Row],[Didox]:[ мехнат]],Таблица32[[#This Row],[Avtokameral]])*Таблица32[[#This Row],[Столбец7]]/100</f>
        <v>12500</v>
      </c>
      <c r="AD132" s="132">
        <f>SUM(Таблица32[[#This Row],[Pul oqimlari]:[Foyda va zarar]])*Таблица32[[#This Row],[Столбец7]]/100</f>
        <v>0</v>
      </c>
      <c r="AE132" s="131">
        <f>Таблица32[[#This Row],[Столбец7]]*Таблица32[[#This Row],[Nazoratchi]]%</f>
        <v>0</v>
      </c>
      <c r="AF132" s="131">
        <f>Таблица32[[#This Row],[Ishga vaqtida kelish nazoratchi]]+Таблица32[[#This Row],[Nazoratchi2]]</f>
        <v>0</v>
      </c>
      <c r="AG132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12500</v>
      </c>
      <c r="AH132" s="131">
        <f>Таблица32[[#This Row],[Ishga kelish bank klient3]]+Таблица32[[#This Row],[Gruppa bank klient 2]]</f>
        <v>0</v>
      </c>
    </row>
    <row r="133" spans="1:34" ht="18.75" x14ac:dyDescent="0.3">
      <c r="A133" s="130">
        <v>131</v>
      </c>
      <c r="B133" s="157" t="s">
        <v>376</v>
      </c>
      <c r="C133" s="158" t="s">
        <v>335</v>
      </c>
      <c r="D133" s="157" t="s">
        <v>240</v>
      </c>
      <c r="E133" s="204">
        <v>2000000</v>
      </c>
      <c r="F133" s="104" t="s">
        <v>218</v>
      </c>
      <c r="G133" s="206">
        <v>-0.35</v>
      </c>
      <c r="H133" s="206">
        <v>1</v>
      </c>
      <c r="I133" s="206"/>
      <c r="J133" s="206">
        <v>1</v>
      </c>
      <c r="K133" s="206">
        <v>1</v>
      </c>
      <c r="L133" s="183">
        <v>0.25</v>
      </c>
      <c r="M133" s="183">
        <v>0.25</v>
      </c>
      <c r="N133" s="183"/>
      <c r="O133" s="183">
        <v>1</v>
      </c>
      <c r="P133" s="183">
        <v>0.25</v>
      </c>
      <c r="Q133" s="184">
        <v>0.2</v>
      </c>
      <c r="R133" s="184">
        <v>0.2</v>
      </c>
      <c r="S133" s="184">
        <v>0.2</v>
      </c>
      <c r="T133" s="184">
        <v>0.2</v>
      </c>
      <c r="U133" s="184">
        <v>0.2</v>
      </c>
      <c r="V133" s="105">
        <v>0.5</v>
      </c>
      <c r="W133" s="161">
        <f>Таблица32[[#This Row],[Столбец7]]*Таблица32[[#This Row],[Ishga kelish nazoratchi2]]%</f>
        <v>0</v>
      </c>
      <c r="X133" s="131">
        <f>Таблица32[[#This Row],[Столбец7]]*Таблица32[[#This Row],[Ishga vaqtida kelish ketish]]%</f>
        <v>-6999.9999999999991</v>
      </c>
      <c r="Y133" s="131">
        <f>Таблица32[[#This Row],[Столбец7]]*Таблица32[[#This Row],[Ishga kelish bank klient]]%</f>
        <v>20000</v>
      </c>
      <c r="Z133" s="131">
        <f>Таблица32[[#This Row],[Столбец7]]*Таблица32[[#This Row],[Gruppa buxgalter]]%</f>
        <v>20000</v>
      </c>
      <c r="AA133" s="131">
        <f>Таблица32[[#This Row],[Столбец7]]*Таблица32[[#This Row],[Gruppa bank klient ]]%</f>
        <v>20000</v>
      </c>
      <c r="AB133" s="131">
        <f>Таблица32[[#This Row],[1c]]*Таблица32[[#This Row],[Столбец7]]/100</f>
        <v>20000</v>
      </c>
      <c r="AC133" s="132">
        <f>SUM(Таблица32[[#This Row],[Didox]:[ мехнат]],Таблица32[[#This Row],[Avtokameral]])*Таблица32[[#This Row],[Столбец7]]/100</f>
        <v>15000</v>
      </c>
      <c r="AD133" s="132">
        <f>SUM(Таблица32[[#This Row],[Pul oqimlari]:[Foyda va zarar]])*Таблица32[[#This Row],[Столбец7]]/100</f>
        <v>20000</v>
      </c>
      <c r="AE133" s="131">
        <f>Таблица32[[#This Row],[Столбец7]]*Таблица32[[#This Row],[Nazoratchi]]%</f>
        <v>10000</v>
      </c>
      <c r="AF133" s="131">
        <f>Таблица32[[#This Row],[Ishga vaqtida kelish nazoratchi]]+Таблица32[[#This Row],[Nazoratchi2]]</f>
        <v>10000</v>
      </c>
      <c r="AG133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68000</v>
      </c>
      <c r="AH133" s="131">
        <f>Таблица32[[#This Row],[Ishga kelish bank klient3]]+Таблица32[[#This Row],[Gruppa bank klient 2]]</f>
        <v>40000</v>
      </c>
    </row>
    <row r="134" spans="1:34" ht="18.75" x14ac:dyDescent="0.3">
      <c r="A134" s="130">
        <v>132</v>
      </c>
      <c r="B134" s="157" t="s">
        <v>377</v>
      </c>
      <c r="C134" s="158" t="s">
        <v>224</v>
      </c>
      <c r="D134" s="104" t="s">
        <v>428</v>
      </c>
      <c r="E134" s="204">
        <v>0</v>
      </c>
      <c r="F134" s="104" t="s">
        <v>218</v>
      </c>
      <c r="G134" s="206"/>
      <c r="H134" s="206">
        <v>1</v>
      </c>
      <c r="I134" s="206"/>
      <c r="J134" s="206">
        <v>1</v>
      </c>
      <c r="K134" s="206">
        <v>1</v>
      </c>
      <c r="L134" s="184">
        <v>0</v>
      </c>
      <c r="M134" s="184">
        <v>0</v>
      </c>
      <c r="N134" s="184">
        <v>0</v>
      </c>
      <c r="O134" s="184"/>
      <c r="P134" s="184">
        <v>0</v>
      </c>
      <c r="Q134" s="184">
        <v>0</v>
      </c>
      <c r="R134" s="184">
        <v>0</v>
      </c>
      <c r="S134" s="184">
        <v>0</v>
      </c>
      <c r="T134" s="184">
        <v>0</v>
      </c>
      <c r="U134" s="184">
        <v>0</v>
      </c>
      <c r="V134" s="105">
        <v>0.5</v>
      </c>
      <c r="W134" s="162">
        <f>Таблица32[[#This Row],[Столбец7]]*Таблица32[[#This Row],[Ishga kelish nazoratchi2]]%</f>
        <v>0</v>
      </c>
      <c r="X134" s="134">
        <f>Таблица32[[#This Row],[Столбец7]]*Таблица32[[#This Row],[Ishga vaqtida kelish ketish]]%</f>
        <v>0</v>
      </c>
      <c r="Y134" s="131">
        <f>Таблица32[[#This Row],[Столбец7]]*Таблица32[[#This Row],[Ishga kelish bank klient]]%</f>
        <v>0</v>
      </c>
      <c r="Z134" s="134">
        <f>Таблица32[[#This Row],[Столбец7]]*Таблица32[[#This Row],[Gruppa buxgalter]]%</f>
        <v>0</v>
      </c>
      <c r="AA134" s="134">
        <f>Таблица32[[#This Row],[Столбец7]]*Таблица32[[#This Row],[Gruppa bank klient ]]%</f>
        <v>0</v>
      </c>
      <c r="AB134" s="134">
        <f>Таблица32[[#This Row],[1c]]*Таблица32[[#This Row],[Столбец7]]/100</f>
        <v>0</v>
      </c>
      <c r="AC134" s="180">
        <f>SUM(Таблица32[[#This Row],[Didox]:[ мехнат]],Таблица32[[#This Row],[Avtokameral]])*Таблица32[[#This Row],[Столбец7]]/100</f>
        <v>0</v>
      </c>
      <c r="AD134" s="180">
        <f>SUM(Таблица32[[#This Row],[Pul oqimlari]:[Foyda va zarar]])*Таблица32[[#This Row],[Столбец7]]/100</f>
        <v>0</v>
      </c>
      <c r="AE134" s="134">
        <f>Таблица32[[#This Row],[Столбец7]]*Таблица32[[#This Row],[Nazoratchi]]%</f>
        <v>0</v>
      </c>
      <c r="AF134" s="134">
        <f>Таблица32[[#This Row],[Ishga vaqtida kelish nazoratchi]]+Таблица32[[#This Row],[Nazoratchi2]]</f>
        <v>0</v>
      </c>
      <c r="AG134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34" s="134">
        <f>Таблица32[[#This Row],[Ishga kelish bank klient3]]+Таблица32[[#This Row],[Gruppa bank klient 2]]</f>
        <v>0</v>
      </c>
    </row>
    <row r="135" spans="1:34" ht="18.75" x14ac:dyDescent="0.3">
      <c r="A135" s="130">
        <v>133</v>
      </c>
      <c r="B135" s="157" t="s">
        <v>387</v>
      </c>
      <c r="C135" s="104" t="s">
        <v>217</v>
      </c>
      <c r="D135" s="164" t="s">
        <v>240</v>
      </c>
      <c r="E135" s="205">
        <v>4000000</v>
      </c>
      <c r="F135" s="104" t="s">
        <v>238</v>
      </c>
      <c r="G135" s="206"/>
      <c r="H135" s="206">
        <v>1</v>
      </c>
      <c r="I135" s="209"/>
      <c r="J135" s="206">
        <v>1</v>
      </c>
      <c r="K135" s="206">
        <v>1</v>
      </c>
      <c r="L135" s="184">
        <v>0.25</v>
      </c>
      <c r="M135" s="184">
        <v>0.25</v>
      </c>
      <c r="N135" s="184">
        <v>0.25</v>
      </c>
      <c r="O135" s="184"/>
      <c r="P135" s="184">
        <v>-0.25</v>
      </c>
      <c r="Q135" s="183">
        <v>-0.2</v>
      </c>
      <c r="R135" s="184">
        <v>0.2</v>
      </c>
      <c r="S135" s="183">
        <v>-0.2</v>
      </c>
      <c r="T135" s="183">
        <v>-0.2</v>
      </c>
      <c r="U135" s="184">
        <v>0.2</v>
      </c>
      <c r="V135" s="105">
        <v>0.5</v>
      </c>
      <c r="W135" s="162">
        <f>Таблица32[[#This Row],[Столбец7]]*Таблица32[[#This Row],[Ishga kelish nazoratchi2]]%</f>
        <v>0</v>
      </c>
      <c r="X135" s="134">
        <f>Таблица32[[#This Row],[Столбец7]]*Таблица32[[#This Row],[Ishga vaqtida kelish ketish]]%</f>
        <v>0</v>
      </c>
      <c r="Y135" s="131">
        <f>Таблица32[[#This Row],[Столбец7]]*Таблица32[[#This Row],[Ishga kelish bank klient]]%</f>
        <v>40000</v>
      </c>
      <c r="Z135" s="134">
        <f>Таблица32[[#This Row],[Столбец7]]*Таблица32[[#This Row],[Gruppa buxgalter]]%</f>
        <v>40000</v>
      </c>
      <c r="AA135" s="134">
        <f>Таблица32[[#This Row],[Столбец7]]*Таблица32[[#This Row],[Gruppa bank klient ]]%</f>
        <v>40000</v>
      </c>
      <c r="AB135" s="134">
        <f>Таблица32[[#This Row],[1c]]*Таблица32[[#This Row],[Столбец7]]/100</f>
        <v>0</v>
      </c>
      <c r="AC135" s="180">
        <f>SUM(Таблица32[[#This Row],[Didox]:[ мехнат]],Таблица32[[#This Row],[Avtokameral]])*Таблица32[[#This Row],[Столбец7]]/100</f>
        <v>20000</v>
      </c>
      <c r="AD135" s="180">
        <f>SUM(Таблица32[[#This Row],[Pul oqimlari]:[Foyda va zarar]])*Таблица32[[#This Row],[Столбец7]]/100</f>
        <v>-8000</v>
      </c>
      <c r="AE135" s="134">
        <f>Таблица32[[#This Row],[Столбец7]]*Таблица32[[#This Row],[Nazoratchi]]%</f>
        <v>20000</v>
      </c>
      <c r="AF135" s="134">
        <f>Таблица32[[#This Row],[Ishga vaqtida kelish nazoratchi]]+Таблица32[[#This Row],[Nazoratchi2]]</f>
        <v>20000</v>
      </c>
      <c r="AG135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52000</v>
      </c>
      <c r="AH135" s="134">
        <f>Таблица32[[#This Row],[Ishga kelish bank klient3]]+Таблица32[[#This Row],[Gruppa bank klient 2]]</f>
        <v>80000</v>
      </c>
    </row>
    <row r="136" spans="1:34" ht="18.75" x14ac:dyDescent="0.3">
      <c r="A136" s="130">
        <v>134</v>
      </c>
      <c r="B136" s="157" t="s">
        <v>388</v>
      </c>
      <c r="C136" s="104" t="s">
        <v>217</v>
      </c>
      <c r="D136" s="164" t="s">
        <v>240</v>
      </c>
      <c r="E136" s="205">
        <v>0</v>
      </c>
      <c r="F136" s="104" t="s">
        <v>238</v>
      </c>
      <c r="G136" s="206"/>
      <c r="H136" s="206">
        <v>1</v>
      </c>
      <c r="I136" s="209"/>
      <c r="J136" s="206">
        <v>1</v>
      </c>
      <c r="K136" s="206">
        <v>1</v>
      </c>
      <c r="L136" s="184">
        <v>0.25</v>
      </c>
      <c r="M136" s="184">
        <v>0.25</v>
      </c>
      <c r="N136" s="184">
        <v>0.25</v>
      </c>
      <c r="O136" s="184"/>
      <c r="P136" s="184">
        <v>0.25</v>
      </c>
      <c r="Q136" s="183">
        <v>-0.2</v>
      </c>
      <c r="R136" s="184">
        <v>0.2</v>
      </c>
      <c r="S136" s="183">
        <v>-0.2</v>
      </c>
      <c r="T136" s="183">
        <v>-0.2</v>
      </c>
      <c r="U136" s="183">
        <v>-0.2</v>
      </c>
      <c r="V136" s="105">
        <v>0.5</v>
      </c>
      <c r="W136" s="162">
        <f>Таблица32[[#This Row],[Столбец7]]*Таблица32[[#This Row],[Ishga kelish nazoratchi2]]%</f>
        <v>0</v>
      </c>
      <c r="X136" s="134">
        <f>Таблица32[[#This Row],[Столбец7]]*Таблица32[[#This Row],[Ishga vaqtida kelish ketish]]%</f>
        <v>0</v>
      </c>
      <c r="Y136" s="131">
        <f>Таблица32[[#This Row],[Столбец7]]*Таблица32[[#This Row],[Ishga kelish bank klient]]%</f>
        <v>0</v>
      </c>
      <c r="Z136" s="134">
        <f>Таблица32[[#This Row],[Столбец7]]*Таблица32[[#This Row],[Gruppa buxgalter]]%</f>
        <v>0</v>
      </c>
      <c r="AA136" s="134">
        <f>Таблица32[[#This Row],[Столбец7]]*Таблица32[[#This Row],[Gruppa bank klient ]]%</f>
        <v>0</v>
      </c>
      <c r="AB136" s="134">
        <f>Таблица32[[#This Row],[1c]]*Таблица32[[#This Row],[Столбец7]]/100</f>
        <v>0</v>
      </c>
      <c r="AC136" s="180">
        <f>SUM(Таблица32[[#This Row],[Didox]:[ мехнат]],Таблица32[[#This Row],[Avtokameral]])*Таблица32[[#This Row],[Столбец7]]/100</f>
        <v>0</v>
      </c>
      <c r="AD136" s="180">
        <f>SUM(Таблица32[[#This Row],[Pul oqimlari]:[Foyda va zarar]])*Таблица32[[#This Row],[Столбец7]]/100</f>
        <v>0</v>
      </c>
      <c r="AE136" s="134">
        <f>Таблица32[[#This Row],[Столбец7]]*Таблица32[[#This Row],[Nazoratchi]]%</f>
        <v>0</v>
      </c>
      <c r="AF136" s="134">
        <f>Таблица32[[#This Row],[Ishga vaqtida kelish nazoratchi]]+Таблица32[[#This Row],[Nazoratchi2]]</f>
        <v>0</v>
      </c>
      <c r="AG136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36" s="134">
        <f>Таблица32[[#This Row],[Ishga kelish bank klient3]]+Таблица32[[#This Row],[Gruppa bank klient 2]]</f>
        <v>0</v>
      </c>
    </row>
    <row r="137" spans="1:34" ht="18.75" x14ac:dyDescent="0.3">
      <c r="A137" s="130">
        <v>135</v>
      </c>
      <c r="B137" s="157" t="s">
        <v>389</v>
      </c>
      <c r="C137" s="104" t="s">
        <v>217</v>
      </c>
      <c r="D137" s="164" t="s">
        <v>240</v>
      </c>
      <c r="E137" s="205">
        <v>0</v>
      </c>
      <c r="F137" s="104" t="s">
        <v>238</v>
      </c>
      <c r="G137" s="206"/>
      <c r="H137" s="206">
        <v>1</v>
      </c>
      <c r="I137" s="209"/>
      <c r="J137" s="206">
        <v>1</v>
      </c>
      <c r="K137" s="206">
        <v>1</v>
      </c>
      <c r="L137" s="184">
        <v>0.25</v>
      </c>
      <c r="M137" s="184">
        <v>0.25</v>
      </c>
      <c r="N137" s="184"/>
      <c r="O137" s="184"/>
      <c r="P137" s="184">
        <v>0.25</v>
      </c>
      <c r="Q137" s="183">
        <v>-0.2</v>
      </c>
      <c r="R137" s="184">
        <v>0.2</v>
      </c>
      <c r="S137" s="183">
        <v>-0.2</v>
      </c>
      <c r="T137" s="183">
        <v>-0.2</v>
      </c>
      <c r="U137" s="183">
        <v>-0.2</v>
      </c>
      <c r="V137" s="105">
        <v>0.5</v>
      </c>
      <c r="W137" s="162">
        <f>Таблица32[[#This Row],[Столбец7]]*Таблица32[[#This Row],[Ishga kelish nazoratchi2]]%</f>
        <v>0</v>
      </c>
      <c r="X137" s="134">
        <f>Таблица32[[#This Row],[Столбец7]]*Таблица32[[#This Row],[Ishga vaqtida kelish ketish]]%</f>
        <v>0</v>
      </c>
      <c r="Y137" s="131">
        <f>Таблица32[[#This Row],[Столбец7]]*Таблица32[[#This Row],[Ishga kelish bank klient]]%</f>
        <v>0</v>
      </c>
      <c r="Z137" s="134">
        <f>Таблица32[[#This Row],[Столбец7]]*Таблица32[[#This Row],[Gruppa buxgalter]]%</f>
        <v>0</v>
      </c>
      <c r="AA137" s="134">
        <f>Таблица32[[#This Row],[Столбец7]]*Таблица32[[#This Row],[Gruppa bank klient ]]%</f>
        <v>0</v>
      </c>
      <c r="AB137" s="134">
        <f>Таблица32[[#This Row],[1c]]*Таблица32[[#This Row],[Столбец7]]/100</f>
        <v>0</v>
      </c>
      <c r="AC137" s="180">
        <f>SUM(Таблица32[[#This Row],[Didox]:[ мехнат]],Таблица32[[#This Row],[Avtokameral]])*Таблица32[[#This Row],[Столбец7]]/100</f>
        <v>0</v>
      </c>
      <c r="AD137" s="180">
        <f>SUM(Таблица32[[#This Row],[Pul oqimlari]:[Foyda va zarar]])*Таблица32[[#This Row],[Столбец7]]/100</f>
        <v>0</v>
      </c>
      <c r="AE137" s="134">
        <f>Таблица32[[#This Row],[Столбец7]]*Таблица32[[#This Row],[Nazoratchi]]%</f>
        <v>0</v>
      </c>
      <c r="AF137" s="134">
        <f>Таблица32[[#This Row],[Ishga vaqtida kelish nazoratchi]]+Таблица32[[#This Row],[Nazoratchi2]]</f>
        <v>0</v>
      </c>
      <c r="AG137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37" s="134">
        <f>Таблица32[[#This Row],[Ishga kelish bank klient3]]+Таблица32[[#This Row],[Gruppa bank klient 2]]</f>
        <v>0</v>
      </c>
    </row>
    <row r="138" spans="1:34" ht="18.75" x14ac:dyDescent="0.3">
      <c r="A138" s="130">
        <v>136</v>
      </c>
      <c r="B138" s="157" t="s">
        <v>390</v>
      </c>
      <c r="C138" s="104" t="s">
        <v>471</v>
      </c>
      <c r="D138" s="164" t="s">
        <v>240</v>
      </c>
      <c r="E138" s="205">
        <v>2000000</v>
      </c>
      <c r="F138" s="104" t="s">
        <v>238</v>
      </c>
      <c r="G138" s="206">
        <v>0.55000000000000004</v>
      </c>
      <c r="H138" s="206">
        <v>1</v>
      </c>
      <c r="I138" s="206"/>
      <c r="J138" s="206">
        <v>1</v>
      </c>
      <c r="K138" s="206">
        <v>1</v>
      </c>
      <c r="L138" s="184">
        <v>0.25</v>
      </c>
      <c r="M138" s="184">
        <v>0.25</v>
      </c>
      <c r="N138" s="184">
        <v>0.25</v>
      </c>
      <c r="O138" s="184"/>
      <c r="P138" s="184">
        <v>0.25</v>
      </c>
      <c r="Q138" s="184">
        <v>0.2</v>
      </c>
      <c r="R138" s="184">
        <v>0.2</v>
      </c>
      <c r="S138" s="184">
        <v>0.2</v>
      </c>
      <c r="T138" s="184">
        <v>0.2</v>
      </c>
      <c r="U138" s="184">
        <v>0.2</v>
      </c>
      <c r="V138" s="105">
        <v>0.5</v>
      </c>
      <c r="W138" s="162">
        <f>Таблица32[[#This Row],[Столбец7]]*Таблица32[[#This Row],[Ishga kelish nazoratchi2]]%</f>
        <v>0</v>
      </c>
      <c r="X138" s="134">
        <f>Таблица32[[#This Row],[Столбец7]]*Таблица32[[#This Row],[Ishga vaqtida kelish ketish]]%</f>
        <v>11000.000000000002</v>
      </c>
      <c r="Y138" s="131">
        <f>Таблица32[[#This Row],[Столбец7]]*Таблица32[[#This Row],[Ishga kelish bank klient]]%</f>
        <v>20000</v>
      </c>
      <c r="Z138" s="134">
        <f>Таблица32[[#This Row],[Столбец7]]*Таблица32[[#This Row],[Gruppa buxgalter]]%</f>
        <v>20000</v>
      </c>
      <c r="AA138" s="134">
        <f>Таблица32[[#This Row],[Столбец7]]*Таблица32[[#This Row],[Gruppa bank klient ]]%</f>
        <v>20000</v>
      </c>
      <c r="AB138" s="134">
        <f>Таблица32[[#This Row],[1c]]*Таблица32[[#This Row],[Столбец7]]/100</f>
        <v>0</v>
      </c>
      <c r="AC138" s="180">
        <f>SUM(Таблица32[[#This Row],[Didox]:[ мехнат]],Таблица32[[#This Row],[Avtokameral]])*Таблица32[[#This Row],[Столбец7]]/100</f>
        <v>20000</v>
      </c>
      <c r="AD138" s="180">
        <f>SUM(Таблица32[[#This Row],[Pul oqimlari]:[Foyda va zarar]])*Таблица32[[#This Row],[Столбец7]]/100</f>
        <v>20000</v>
      </c>
      <c r="AE138" s="134">
        <f>Таблица32[[#This Row],[Столбец7]]*Таблица32[[#This Row],[Nazoratchi]]%</f>
        <v>10000</v>
      </c>
      <c r="AF138" s="134">
        <f>Таблица32[[#This Row],[Ishga vaqtida kelish nazoratchi]]+Таблица32[[#This Row],[Nazoratchi2]]</f>
        <v>10000</v>
      </c>
      <c r="AG138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71000</v>
      </c>
      <c r="AH138" s="145">
        <f>Таблица32[[#This Row],[Ishga kelish bank klient3]]+Таблица32[[#This Row],[Gruppa bank klient 2]]</f>
        <v>40000</v>
      </c>
    </row>
    <row r="139" spans="1:34" ht="18.75" x14ac:dyDescent="0.3">
      <c r="A139" s="130">
        <v>137</v>
      </c>
      <c r="B139" s="157" t="s">
        <v>391</v>
      </c>
      <c r="C139" s="165" t="s">
        <v>335</v>
      </c>
      <c r="D139" s="164"/>
      <c r="E139" s="205">
        <v>0</v>
      </c>
      <c r="F139" s="167" t="s">
        <v>218</v>
      </c>
      <c r="G139" s="206">
        <v>-0.35</v>
      </c>
      <c r="H139" s="206"/>
      <c r="I139" s="206"/>
      <c r="J139" s="206">
        <v>1</v>
      </c>
      <c r="K139" s="206"/>
      <c r="L139" s="184">
        <v>0</v>
      </c>
      <c r="M139" s="184">
        <v>0</v>
      </c>
      <c r="N139" s="184">
        <v>0</v>
      </c>
      <c r="O139" s="184"/>
      <c r="P139" s="184">
        <v>0</v>
      </c>
      <c r="Q139" s="184">
        <v>0</v>
      </c>
      <c r="R139" s="184">
        <v>0</v>
      </c>
      <c r="S139" s="184">
        <v>0</v>
      </c>
      <c r="T139" s="184">
        <v>0</v>
      </c>
      <c r="U139" s="184">
        <v>0</v>
      </c>
      <c r="V139" s="105">
        <v>0.5</v>
      </c>
      <c r="W139" s="162">
        <f>Таблица32[[#This Row],[Столбец7]]*Таблица32[[#This Row],[Ishga kelish nazoratchi2]]%</f>
        <v>0</v>
      </c>
      <c r="X139" s="134">
        <f>Таблица32[[#This Row],[Столбец7]]*Таблица32[[#This Row],[Ishga vaqtida kelish ketish]]%</f>
        <v>0</v>
      </c>
      <c r="Y139" s="131">
        <f>Таблица32[[#This Row],[Столбец7]]*Таблица32[[#This Row],[Ishga kelish bank klient]]%</f>
        <v>0</v>
      </c>
      <c r="Z139" s="134">
        <f>Таблица32[[#This Row],[Столбец7]]*Таблица32[[#This Row],[Gruppa buxgalter]]%</f>
        <v>0</v>
      </c>
      <c r="AA139" s="134">
        <f>Таблица32[[#This Row],[Столбец7]]*Таблица32[[#This Row],[Gruppa bank klient ]]%</f>
        <v>0</v>
      </c>
      <c r="AB139" s="134">
        <f>Таблица32[[#This Row],[1c]]*Таблица32[[#This Row],[Столбец7]]/100</f>
        <v>0</v>
      </c>
      <c r="AC139" s="180">
        <f>SUM(Таблица32[[#This Row],[Didox]:[ мехнат]],Таблица32[[#This Row],[Avtokameral]])*Таблица32[[#This Row],[Столбец7]]/100</f>
        <v>0</v>
      </c>
      <c r="AD139" s="180">
        <f>SUM(Таблица32[[#This Row],[Pul oqimlari]:[Foyda va zarar]])*Таблица32[[#This Row],[Столбец7]]/100</f>
        <v>0</v>
      </c>
      <c r="AE139" s="134">
        <f>Таблица32[[#This Row],[Столбец7]]*Таблица32[[#This Row],[Nazoratchi]]%</f>
        <v>0</v>
      </c>
      <c r="AF139" s="134">
        <f>Таблица32[[#This Row],[Ishga vaqtida kelish nazoratchi]]+Таблица32[[#This Row],[Nazoratchi2]]</f>
        <v>0</v>
      </c>
      <c r="AG139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39" s="145">
        <f>Таблица32[[#This Row],[Ishga kelish bank klient3]]+Таблица32[[#This Row],[Gruppa bank klient 2]]</f>
        <v>0</v>
      </c>
    </row>
    <row r="140" spans="1:34" ht="18.75" x14ac:dyDescent="0.3">
      <c r="A140" s="130">
        <v>138</v>
      </c>
      <c r="B140" s="157" t="s">
        <v>392</v>
      </c>
      <c r="C140" s="104" t="s">
        <v>428</v>
      </c>
      <c r="D140" s="104" t="s">
        <v>428</v>
      </c>
      <c r="E140" s="205">
        <v>700000</v>
      </c>
      <c r="F140" s="167" t="s">
        <v>218</v>
      </c>
      <c r="G140" s="206"/>
      <c r="H140" s="206">
        <v>1</v>
      </c>
      <c r="I140" s="209"/>
      <c r="J140" s="206"/>
      <c r="K140" s="206">
        <v>1</v>
      </c>
      <c r="L140" s="184">
        <v>0.25</v>
      </c>
      <c r="M140" s="184">
        <v>0.25</v>
      </c>
      <c r="N140" s="184">
        <v>0.25</v>
      </c>
      <c r="O140" s="184"/>
      <c r="P140" s="184">
        <v>0.25</v>
      </c>
      <c r="Q140" s="184">
        <v>0</v>
      </c>
      <c r="R140" s="184">
        <v>0</v>
      </c>
      <c r="S140" s="184">
        <v>0</v>
      </c>
      <c r="T140" s="184">
        <v>0</v>
      </c>
      <c r="U140" s="184">
        <v>0</v>
      </c>
      <c r="V140" s="105"/>
      <c r="W140" s="162">
        <f>Таблица32[[#This Row],[Столбец7]]*Таблица32[[#This Row],[Ishga kelish nazoratchi2]]%</f>
        <v>0</v>
      </c>
      <c r="X140" s="134">
        <f>Таблица32[[#This Row],[Столбец7]]*Таблица32[[#This Row],[Ishga vaqtida kelish ketish]]%</f>
        <v>0</v>
      </c>
      <c r="Y140" s="131">
        <f>Таблица32[[#This Row],[Столбец7]]*Таблица32[[#This Row],[Ishga kelish bank klient]]%</f>
        <v>7000</v>
      </c>
      <c r="Z140" s="134">
        <f>Таблица32[[#This Row],[Столбец7]]*Таблица32[[#This Row],[Gruppa buxgalter]]%</f>
        <v>0</v>
      </c>
      <c r="AA140" s="134">
        <f>Таблица32[[#This Row],[Столбец7]]*Таблица32[[#This Row],[Gruppa bank klient ]]%</f>
        <v>7000</v>
      </c>
      <c r="AB140" s="134">
        <f>Таблица32[[#This Row],[1c]]*Таблица32[[#This Row],[Столбец7]]/100</f>
        <v>0</v>
      </c>
      <c r="AC140" s="180">
        <f>SUM(Таблица32[[#This Row],[Didox]:[ мехнат]],Таблица32[[#This Row],[Avtokameral]])*Таблица32[[#This Row],[Столбец7]]/100</f>
        <v>7000</v>
      </c>
      <c r="AD140" s="180">
        <f>SUM(Таблица32[[#This Row],[Pul oqimlari]:[Foyda va zarar]])*Таблица32[[#This Row],[Столбец7]]/100</f>
        <v>0</v>
      </c>
      <c r="AE140" s="134">
        <f>Таблица32[[#This Row],[Столбец7]]*Таблица32[[#This Row],[Nazoratchi]]%</f>
        <v>0</v>
      </c>
      <c r="AF140" s="134">
        <f>Таблица32[[#This Row],[Ishga vaqtida kelish nazoratchi]]+Таблица32[[#This Row],[Nazoratchi2]]</f>
        <v>0</v>
      </c>
      <c r="AG140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140" s="145">
        <f>Таблица32[[#This Row],[Ishga kelish bank klient3]]+Таблица32[[#This Row],[Gruppa bank klient 2]]</f>
        <v>14000</v>
      </c>
    </row>
    <row r="141" spans="1:34" ht="18.75" x14ac:dyDescent="0.3">
      <c r="A141" s="130">
        <v>139</v>
      </c>
      <c r="B141" s="157" t="s">
        <v>396</v>
      </c>
      <c r="C141" s="165" t="s">
        <v>235</v>
      </c>
      <c r="D141" s="164"/>
      <c r="E141" s="205">
        <v>500000</v>
      </c>
      <c r="F141" s="167" t="s">
        <v>218</v>
      </c>
      <c r="G141" s="206"/>
      <c r="H141" s="206"/>
      <c r="I141" s="212"/>
      <c r="J141" s="206"/>
      <c r="K141" s="206"/>
      <c r="L141" s="183">
        <v>0</v>
      </c>
      <c r="M141" s="183">
        <v>0</v>
      </c>
      <c r="N141" s="184">
        <v>0</v>
      </c>
      <c r="O141" s="184"/>
      <c r="P141" s="183">
        <v>0</v>
      </c>
      <c r="Q141" s="184">
        <v>0</v>
      </c>
      <c r="R141" s="184">
        <v>0</v>
      </c>
      <c r="S141" s="184">
        <v>0</v>
      </c>
      <c r="T141" s="184">
        <v>0</v>
      </c>
      <c r="U141" s="184">
        <v>0</v>
      </c>
      <c r="V141" s="105"/>
      <c r="W141" s="162">
        <f>Таблица32[[#This Row],[Столбец7]]*Таблица32[[#This Row],[Ishga kelish nazoratchi2]]%</f>
        <v>0</v>
      </c>
      <c r="X141" s="134">
        <f>Таблица32[[#This Row],[Столбец7]]*Таблица32[[#This Row],[Ishga vaqtida kelish ketish]]%</f>
        <v>0</v>
      </c>
      <c r="Y141" s="131">
        <f>Таблица32[[#This Row],[Столбец7]]*Таблица32[[#This Row],[Ishga kelish bank klient]]%</f>
        <v>0</v>
      </c>
      <c r="Z141" s="134">
        <f>Таблица32[[#This Row],[Столбец7]]*Таблица32[[#This Row],[Gruppa buxgalter]]%</f>
        <v>0</v>
      </c>
      <c r="AA141" s="134">
        <f>Таблица32[[#This Row],[Столбец7]]*Таблица32[[#This Row],[Gruppa bank klient ]]%</f>
        <v>0</v>
      </c>
      <c r="AB141" s="134">
        <f>Таблица32[[#This Row],[1c]]*Таблица32[[#This Row],[Столбец7]]/100</f>
        <v>0</v>
      </c>
      <c r="AC141" s="180">
        <f>SUM(Таблица32[[#This Row],[Didox]:[ мехнат]],Таблица32[[#This Row],[Avtokameral]])*Таблица32[[#This Row],[Столбец7]]/100</f>
        <v>0</v>
      </c>
      <c r="AD141" s="180">
        <f>SUM(Таблица32[[#This Row],[Pul oqimlari]:[Foyda va zarar]])*Таблица32[[#This Row],[Столбец7]]/100</f>
        <v>0</v>
      </c>
      <c r="AE141" s="134">
        <f>Таблица32[[#This Row],[Столбец7]]*Таблица32[[#This Row],[Nazoratchi]]%</f>
        <v>0</v>
      </c>
      <c r="AF141" s="134">
        <f>Таблица32[[#This Row],[Ishga vaqtida kelish nazoratchi]]+Таблица32[[#This Row],[Nazoratchi2]]</f>
        <v>0</v>
      </c>
      <c r="AG141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41" s="145">
        <f>Таблица32[[#This Row],[Ishga kelish bank klient3]]+Таблица32[[#This Row],[Gruppa bank klient 2]]</f>
        <v>0</v>
      </c>
    </row>
    <row r="142" spans="1:34" ht="18.75" x14ac:dyDescent="0.3">
      <c r="A142" s="130">
        <v>140</v>
      </c>
      <c r="B142" s="157" t="s">
        <v>415</v>
      </c>
      <c r="C142" s="165" t="s">
        <v>219</v>
      </c>
      <c r="D142" s="164"/>
      <c r="E142" s="205">
        <v>6000000</v>
      </c>
      <c r="F142" s="104" t="s">
        <v>218</v>
      </c>
      <c r="G142" s="206"/>
      <c r="H142" s="206"/>
      <c r="I142" s="216"/>
      <c r="J142" s="206">
        <v>1</v>
      </c>
      <c r="K142" s="206"/>
      <c r="L142" s="184">
        <v>0.25</v>
      </c>
      <c r="M142" s="184">
        <v>-0.25</v>
      </c>
      <c r="N142" s="184">
        <v>0.25</v>
      </c>
      <c r="O142" s="184"/>
      <c r="P142" s="184">
        <v>0.25</v>
      </c>
      <c r="Q142" s="184">
        <v>0</v>
      </c>
      <c r="R142" s="184">
        <v>0.2</v>
      </c>
      <c r="S142" s="184">
        <v>0</v>
      </c>
      <c r="T142" s="184">
        <v>0</v>
      </c>
      <c r="U142" s="184">
        <v>0</v>
      </c>
      <c r="V142" s="105">
        <v>0.5</v>
      </c>
      <c r="W142" s="162">
        <f>Таблица32[[#This Row],[Столбец7]]*Таблица32[[#This Row],[Ishga kelish nazoratchi2]]%</f>
        <v>0</v>
      </c>
      <c r="X142" s="134">
        <f>Таблица32[[#This Row],[Столбец7]]*Таблица32[[#This Row],[Ishga vaqtida kelish ketish]]%</f>
        <v>0</v>
      </c>
      <c r="Y142" s="131">
        <f>Таблица32[[#This Row],[Столбец7]]*Таблица32[[#This Row],[Ishga kelish bank klient]]%</f>
        <v>0</v>
      </c>
      <c r="Z142" s="134">
        <f>Таблица32[[#This Row],[Столбец7]]*Таблица32[[#This Row],[Gruppa buxgalter]]%</f>
        <v>60000</v>
      </c>
      <c r="AA142" s="134">
        <f>Таблица32[[#This Row],[Столбец7]]*Таблица32[[#This Row],[Gruppa bank klient ]]%</f>
        <v>0</v>
      </c>
      <c r="AB142" s="134">
        <f>Таблица32[[#This Row],[1c]]*Таблица32[[#This Row],[Столбец7]]/100</f>
        <v>0</v>
      </c>
      <c r="AC142" s="180">
        <f>SUM(Таблица32[[#This Row],[Didox]:[ мехнат]],Таблица32[[#This Row],[Avtokameral]])*Таблица32[[#This Row],[Столбец7]]/100</f>
        <v>30000</v>
      </c>
      <c r="AD142" s="180">
        <f>SUM(Таблица32[[#This Row],[Pul oqimlari]:[Foyda va zarar]])*Таблица32[[#This Row],[Столбец7]]/100</f>
        <v>12000</v>
      </c>
      <c r="AE142" s="134">
        <f>Таблица32[[#This Row],[Столбец7]]*Таблица32[[#This Row],[Nazoratchi]]%</f>
        <v>30000</v>
      </c>
      <c r="AF142" s="134">
        <f>Таблица32[[#This Row],[Ishga vaqtida kelish nazoratchi]]+Таблица32[[#This Row],[Nazoratchi2]]</f>
        <v>30000</v>
      </c>
      <c r="AG142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102000</v>
      </c>
      <c r="AH142" s="145">
        <f>Таблица32[[#This Row],[Ishga kelish bank klient3]]+Таблица32[[#This Row],[Gruppa bank klient 2]]</f>
        <v>0</v>
      </c>
    </row>
    <row r="143" spans="1:34" ht="18.75" x14ac:dyDescent="0.3">
      <c r="A143" s="130">
        <v>141</v>
      </c>
      <c r="B143" s="157" t="s">
        <v>413</v>
      </c>
      <c r="C143" s="107" t="s">
        <v>434</v>
      </c>
      <c r="D143" s="164"/>
      <c r="E143" s="205">
        <v>750000</v>
      </c>
      <c r="F143" s="104" t="s">
        <v>238</v>
      </c>
      <c r="G143" s="206">
        <v>-0.05</v>
      </c>
      <c r="H143" s="206"/>
      <c r="I143" s="216"/>
      <c r="J143" s="206">
        <v>1</v>
      </c>
      <c r="K143" s="206"/>
      <c r="L143" s="183">
        <v>0.25</v>
      </c>
      <c r="M143" s="183">
        <v>0.25</v>
      </c>
      <c r="N143" s="183"/>
      <c r="O143" s="183"/>
      <c r="P143" s="183">
        <v>0.25</v>
      </c>
      <c r="Q143" s="184">
        <v>0</v>
      </c>
      <c r="R143" s="184">
        <v>0.2</v>
      </c>
      <c r="S143" s="184">
        <v>-0.2</v>
      </c>
      <c r="T143" s="184">
        <v>0</v>
      </c>
      <c r="U143" s="184">
        <v>0</v>
      </c>
      <c r="V143" s="105">
        <v>0.5</v>
      </c>
      <c r="W143" s="162">
        <f>Таблица32[[#This Row],[Столбец7]]*Таблица32[[#This Row],[Ishga kelish nazoratchi2]]%</f>
        <v>0</v>
      </c>
      <c r="X143" s="134">
        <f>Таблица32[[#This Row],[Столбец7]]*Таблица32[[#This Row],[Ishga vaqtida kelish ketish]]%</f>
        <v>-375</v>
      </c>
      <c r="Y143" s="131">
        <f>Таблица32[[#This Row],[Столбец7]]*Таблица32[[#This Row],[Ishga kelish bank klient]]%</f>
        <v>0</v>
      </c>
      <c r="Z143" s="134">
        <f>Таблица32[[#This Row],[Столбец7]]*Таблица32[[#This Row],[Gruppa buxgalter]]%</f>
        <v>7500</v>
      </c>
      <c r="AA143" s="134">
        <f>Таблица32[[#This Row],[Столбец7]]*Таблица32[[#This Row],[Gruppa bank klient ]]%</f>
        <v>0</v>
      </c>
      <c r="AB143" s="134">
        <f>Таблица32[[#This Row],[1c]]*Таблица32[[#This Row],[Столбец7]]/100</f>
        <v>0</v>
      </c>
      <c r="AC143" s="180">
        <f>SUM(Таблица32[[#This Row],[Didox]:[ мехнат]],Таблица32[[#This Row],[Avtokameral]])*Таблица32[[#This Row],[Столбец7]]/100</f>
        <v>5625</v>
      </c>
      <c r="AD143" s="180">
        <f>SUM(Таблица32[[#This Row],[Pul oqimlari]:[Foyda va zarar]])*Таблица32[[#This Row],[Столбец7]]/100</f>
        <v>0</v>
      </c>
      <c r="AE143" s="134">
        <f>Таблица32[[#This Row],[Столбец7]]*Таблица32[[#This Row],[Nazoratchi]]%</f>
        <v>3750</v>
      </c>
      <c r="AF143" s="134">
        <f>Таблица32[[#This Row],[Ishga vaqtida kelish nazoratchi]]+Таблица32[[#This Row],[Nazoratchi2]]</f>
        <v>3750</v>
      </c>
      <c r="AG143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12750</v>
      </c>
      <c r="AH143" s="149">
        <f>Таблица32[[#This Row],[Ishga kelish bank klient3]]+Таблица32[[#This Row],[Gruppa bank klient 2]]</f>
        <v>0</v>
      </c>
    </row>
    <row r="144" spans="1:34" ht="18.75" x14ac:dyDescent="0.3">
      <c r="A144" s="130">
        <v>142</v>
      </c>
      <c r="B144" s="157" t="s">
        <v>414</v>
      </c>
      <c r="C144" s="107" t="s">
        <v>394</v>
      </c>
      <c r="D144" s="164" t="s">
        <v>240</v>
      </c>
      <c r="E144" s="205">
        <v>1000000</v>
      </c>
      <c r="F144" s="104" t="s">
        <v>218</v>
      </c>
      <c r="G144" s="206"/>
      <c r="H144" s="206">
        <v>1</v>
      </c>
      <c r="I144" s="209"/>
      <c r="J144" s="206">
        <v>1</v>
      </c>
      <c r="K144" s="206">
        <v>1</v>
      </c>
      <c r="L144" s="183">
        <v>0.25</v>
      </c>
      <c r="M144" s="183">
        <v>0.25</v>
      </c>
      <c r="N144" s="183"/>
      <c r="O144" s="183"/>
      <c r="P144" s="183">
        <v>0.25</v>
      </c>
      <c r="Q144" s="184">
        <v>-0.2</v>
      </c>
      <c r="R144" s="183">
        <v>0.2</v>
      </c>
      <c r="S144" s="184">
        <v>-0.2</v>
      </c>
      <c r="T144" s="184">
        <v>-0.2</v>
      </c>
      <c r="U144" s="184">
        <v>-0.2</v>
      </c>
      <c r="V144" s="105">
        <v>0.5</v>
      </c>
      <c r="W144" s="162">
        <f>Таблица32[[#This Row],[Столбец7]]*Таблица32[[#This Row],[Ishga kelish nazoratchi2]]%</f>
        <v>0</v>
      </c>
      <c r="X144" s="134">
        <f>Таблица32[[#This Row],[Столбец7]]*Таблица32[[#This Row],[Ishga vaqtida kelish ketish]]%</f>
        <v>0</v>
      </c>
      <c r="Y144" s="131">
        <f>Таблица32[[#This Row],[Столбец7]]*Таблица32[[#This Row],[Ishga kelish bank klient]]%</f>
        <v>10000</v>
      </c>
      <c r="Z144" s="134">
        <f>Таблица32[[#This Row],[Столбец7]]*Таблица32[[#This Row],[Gruppa buxgalter]]%</f>
        <v>10000</v>
      </c>
      <c r="AA144" s="134">
        <f>Таблица32[[#This Row],[Столбец7]]*Таблица32[[#This Row],[Gruppa bank klient ]]%</f>
        <v>10000</v>
      </c>
      <c r="AB144" s="134">
        <f>Таблица32[[#This Row],[1c]]*Таблица32[[#This Row],[Столбец7]]/100</f>
        <v>0</v>
      </c>
      <c r="AC144" s="180">
        <f>SUM(Таблица32[[#This Row],[Didox]:[ мехнат]],Таблица32[[#This Row],[Avtokameral]])*Таблица32[[#This Row],[Столбец7]]/100</f>
        <v>7500</v>
      </c>
      <c r="AD144" s="180">
        <f>SUM(Таблица32[[#This Row],[Pul oqimlari]:[Foyda va zarar]])*Таблица32[[#This Row],[Столбец7]]/100</f>
        <v>-6000.0000000000009</v>
      </c>
      <c r="AE144" s="134">
        <f>Таблица32[[#This Row],[Столбец7]]*Таблица32[[#This Row],[Nazoratchi]]%</f>
        <v>5000</v>
      </c>
      <c r="AF144" s="134">
        <f>Таблица32[[#This Row],[Ishga vaqtida kelish nazoratchi]]+Таблица32[[#This Row],[Nazoratchi2]]</f>
        <v>5000</v>
      </c>
      <c r="AG144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11500</v>
      </c>
      <c r="AH144" s="154">
        <f>Таблица32[[#This Row],[Ishga kelish bank klient3]]+Таблица32[[#This Row],[Gruppa bank klient 2]]</f>
        <v>20000</v>
      </c>
    </row>
    <row r="145" spans="1:34" ht="18.75" x14ac:dyDescent="0.3">
      <c r="A145" s="130">
        <v>143</v>
      </c>
      <c r="B145" s="225" t="s">
        <v>435</v>
      </c>
      <c r="C145" s="245" t="s">
        <v>394</v>
      </c>
      <c r="D145" s="226" t="s">
        <v>428</v>
      </c>
      <c r="E145" s="246">
        <v>500000</v>
      </c>
      <c r="F145" s="105" t="s">
        <v>218</v>
      </c>
      <c r="G145" s="206"/>
      <c r="H145" s="206">
        <v>1</v>
      </c>
      <c r="I145" s="209"/>
      <c r="J145" s="206">
        <v>1</v>
      </c>
      <c r="K145" s="206">
        <v>1</v>
      </c>
      <c r="L145" s="183">
        <v>0.25</v>
      </c>
      <c r="M145" s="183">
        <v>0.25</v>
      </c>
      <c r="N145" s="183"/>
      <c r="O145" s="183"/>
      <c r="P145" s="183">
        <v>0.25</v>
      </c>
      <c r="Q145" s="184">
        <v>0</v>
      </c>
      <c r="R145" s="184">
        <v>0</v>
      </c>
      <c r="S145" s="184">
        <v>0</v>
      </c>
      <c r="T145" s="184">
        <v>0</v>
      </c>
      <c r="U145" s="184">
        <v>0</v>
      </c>
      <c r="V145" s="105">
        <v>0.5</v>
      </c>
      <c r="W145" s="161">
        <f>Таблица32[[#This Row],[Столбец7]]*Таблица32[[#This Row],[Ishga kelish nazoratchi2]]%</f>
        <v>0</v>
      </c>
      <c r="X145" s="131">
        <f>Таблица32[[#This Row],[Столбец7]]*Таблица32[[#This Row],[Ishga vaqtida kelish ketish]]%</f>
        <v>0</v>
      </c>
      <c r="Y145" s="131">
        <f>Таблица32[[#This Row],[Столбец7]]*Таблица32[[#This Row],[Ishga kelish bank klient]]%</f>
        <v>5000</v>
      </c>
      <c r="Z145" s="131">
        <f>Таблица32[[#This Row],[Столбец7]]*Таблица32[[#This Row],[Gruppa buxgalter]]%</f>
        <v>5000</v>
      </c>
      <c r="AA145" s="131">
        <f>Таблица32[[#This Row],[Столбец7]]*Таблица32[[#This Row],[Gruppa bank klient ]]%</f>
        <v>5000</v>
      </c>
      <c r="AB145" s="131">
        <f>Таблица32[[#This Row],[1c]]*Таблица32[[#This Row],[Столбец7]]/100</f>
        <v>0</v>
      </c>
      <c r="AC145" s="132">
        <f>SUM(Таблица32[[#This Row],[Didox]:[ мехнат]],Таблица32[[#This Row],[Avtokameral]])*Таблица32[[#This Row],[Столбец7]]/100</f>
        <v>3750</v>
      </c>
      <c r="AD145" s="132">
        <f>SUM(Таблица32[[#This Row],[Pul oqimlari]:[Foyda va zarar]])*Таблица32[[#This Row],[Столбец7]]/100</f>
        <v>0</v>
      </c>
      <c r="AE145" s="131">
        <f>Таблица32[[#This Row],[Столбец7]]*Таблица32[[#This Row],[Nazoratchi]]%</f>
        <v>2500</v>
      </c>
      <c r="AF145" s="131">
        <f>Таблица32[[#This Row],[Ishga vaqtida kelish nazoratchi]]+Таблица32[[#This Row],[Nazoratchi2]]</f>
        <v>2500</v>
      </c>
      <c r="AG145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145" s="151">
        <f>Таблица32[[#This Row],[Ishga kelish bank klient3]]+Таблица32[[#This Row],[Gruppa bank klient 2]]</f>
        <v>10000</v>
      </c>
    </row>
    <row r="146" spans="1:34" ht="18.75" x14ac:dyDescent="0.3">
      <c r="A146" s="130">
        <v>144</v>
      </c>
      <c r="B146" s="231" t="s">
        <v>440</v>
      </c>
      <c r="C146" s="243" t="s">
        <v>217</v>
      </c>
      <c r="D146" s="244" t="s">
        <v>240</v>
      </c>
      <c r="E146" s="235">
        <v>1000000</v>
      </c>
      <c r="F146" s="139" t="s">
        <v>238</v>
      </c>
      <c r="G146" s="206"/>
      <c r="H146" s="206">
        <v>1</v>
      </c>
      <c r="I146" s="209"/>
      <c r="J146" s="206">
        <v>1</v>
      </c>
      <c r="K146" s="206">
        <v>1</v>
      </c>
      <c r="L146" s="183">
        <v>0.25</v>
      </c>
      <c r="M146" s="184">
        <v>0.25</v>
      </c>
      <c r="N146" s="184"/>
      <c r="O146" s="183"/>
      <c r="P146" s="183">
        <v>0.25</v>
      </c>
      <c r="Q146" s="184">
        <v>-0.2</v>
      </c>
      <c r="R146" s="184">
        <v>0.2</v>
      </c>
      <c r="S146" s="184">
        <v>-0.2</v>
      </c>
      <c r="T146" s="184">
        <v>-0.2</v>
      </c>
      <c r="U146" s="184">
        <v>-0.2</v>
      </c>
      <c r="V146" s="105">
        <v>0.5</v>
      </c>
      <c r="W146" s="161">
        <f>Таблица32[[#This Row],[Столбец7]]*Таблица32[[#This Row],[Ishga kelish nazoratchi2]]%</f>
        <v>0</v>
      </c>
      <c r="X146" s="131">
        <f>Таблица32[[#This Row],[Столбец7]]*Таблица32[[#This Row],[Ishga vaqtida kelish ketish]]%</f>
        <v>0</v>
      </c>
      <c r="Y146" s="131">
        <f>Таблица32[[#This Row],[Столбец7]]*Таблица32[[#This Row],[Ishga kelish bank klient]]%</f>
        <v>10000</v>
      </c>
      <c r="Z146" s="131">
        <f>Таблица32[[#This Row],[Столбец7]]*Таблица32[[#This Row],[Gruppa buxgalter]]%</f>
        <v>10000</v>
      </c>
      <c r="AA146" s="131">
        <f>Таблица32[[#This Row],[Столбец7]]*Таблица32[[#This Row],[Gruppa bank klient ]]%</f>
        <v>10000</v>
      </c>
      <c r="AB146" s="131">
        <f>Таблица32[[#This Row],[1c]]*Таблица32[[#This Row],[Столбец7]]/100</f>
        <v>0</v>
      </c>
      <c r="AC146" s="132">
        <f>SUM(Таблица32[[#This Row],[Didox]:[ мехнат]],Таблица32[[#This Row],[Avtokameral]])*Таблица32[[#This Row],[Столбец7]]/100</f>
        <v>7500</v>
      </c>
      <c r="AD146" s="132">
        <f>SUM(Таблица32[[#This Row],[Pul oqimlari]:[Foyda va zarar]])*Таблица32[[#This Row],[Столбец7]]/100</f>
        <v>-6000.0000000000009</v>
      </c>
      <c r="AE146" s="131">
        <f>Таблица32[[#This Row],[Столбец7]]*Таблица32[[#This Row],[Nazoratchi]]%</f>
        <v>5000</v>
      </c>
      <c r="AF146" s="131">
        <f>Таблица32[[#This Row],[Ishga vaqtida kelish nazoratchi]]+Таблица32[[#This Row],[Nazoratchi2]]</f>
        <v>5000</v>
      </c>
      <c r="AG146" s="131">
        <f>Таблица32[[#This Row],[Ishga vaqtida kelish ketish2]]+Таблица32[[#This Row],[Gruppa buxgalter4]]+Таблица32[[#This Row],[1C baza3]]+Таблица32[[#This Row],[xatlar4]]+Таблица32[[#This Row],[Belgilangan otchetlar5]]</f>
        <v>11500</v>
      </c>
      <c r="AH146" s="151">
        <f>Таблица32[[#This Row],[Ishga kelish bank klient3]]+Таблица32[[#This Row],[Gruppa bank klient 2]]</f>
        <v>20000</v>
      </c>
    </row>
    <row r="147" spans="1:34" ht="37.5" x14ac:dyDescent="0.3">
      <c r="A147" s="130">
        <v>145</v>
      </c>
      <c r="B147" s="157" t="s">
        <v>416</v>
      </c>
      <c r="C147" s="158" t="s">
        <v>224</v>
      </c>
      <c r="D147" s="164" t="s">
        <v>240</v>
      </c>
      <c r="E147" s="204">
        <v>1000000</v>
      </c>
      <c r="F147" s="167" t="s">
        <v>218</v>
      </c>
      <c r="G147" s="206"/>
      <c r="H147" s="206">
        <v>1</v>
      </c>
      <c r="I147" s="209"/>
      <c r="J147" s="206">
        <v>1</v>
      </c>
      <c r="K147" s="206">
        <v>1</v>
      </c>
      <c r="L147" s="183">
        <v>0.25</v>
      </c>
      <c r="M147" s="184">
        <v>0.25</v>
      </c>
      <c r="N147" s="183"/>
      <c r="O147" s="183"/>
      <c r="P147" s="183">
        <v>0.25</v>
      </c>
      <c r="Q147" s="184">
        <v>-0.2</v>
      </c>
      <c r="R147" s="184">
        <v>-0.2</v>
      </c>
      <c r="S147" s="184">
        <v>-0.2</v>
      </c>
      <c r="T147" s="184">
        <v>-0.2</v>
      </c>
      <c r="U147" s="184">
        <v>-0.2</v>
      </c>
      <c r="V147" s="105">
        <v>0.5</v>
      </c>
      <c r="W147" s="162">
        <f>Таблица32[[#This Row],[Столбец7]]*Таблица32[[#This Row],[Ishga kelish nazoratchi2]]%</f>
        <v>0</v>
      </c>
      <c r="X147" s="134">
        <f>Таблица32[[#This Row],[Столбец7]]*Таблица32[[#This Row],[Ishga vaqtida kelish ketish]]%</f>
        <v>0</v>
      </c>
      <c r="Y147" s="131">
        <f>Таблица32[[#This Row],[Столбец7]]*Таблица32[[#This Row],[Ishga kelish bank klient]]%</f>
        <v>10000</v>
      </c>
      <c r="Z147" s="134">
        <f>Таблица32[[#This Row],[Столбец7]]*Таблица32[[#This Row],[Gruppa buxgalter]]%</f>
        <v>10000</v>
      </c>
      <c r="AA147" s="134">
        <f>Таблица32[[#This Row],[Столбец7]]*Таблица32[[#This Row],[Gruppa bank klient ]]%</f>
        <v>10000</v>
      </c>
      <c r="AB147" s="134">
        <f>Таблица32[[#This Row],[1c]]*Таблица32[[#This Row],[Столбец7]]/100</f>
        <v>0</v>
      </c>
      <c r="AC147" s="180">
        <f>SUM(Таблица32[[#This Row],[Didox]:[ мехнат]],Таблица32[[#This Row],[Avtokameral]])*Таблица32[[#This Row],[Столбец7]]/100</f>
        <v>7500</v>
      </c>
      <c r="AD147" s="180">
        <f>SUM(Таблица32[[#This Row],[Pul oqimlari]:[Foyda va zarar]])*Таблица32[[#This Row],[Столбец7]]/100</f>
        <v>-10000</v>
      </c>
      <c r="AE147" s="134">
        <f>Таблица32[[#This Row],[Столбец7]]*Таблица32[[#This Row],[Nazoratchi]]%</f>
        <v>5000</v>
      </c>
      <c r="AF147" s="134">
        <f>Таблица32[[#This Row],[Ishga vaqtida kelish nazoratchi]]+Таблица32[[#This Row],[Nazoratchi2]]</f>
        <v>5000</v>
      </c>
      <c r="AG147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7500</v>
      </c>
      <c r="AH147" s="154">
        <f>Таблица32[[#This Row],[Ishga kelish bank klient3]]+Таблица32[[#This Row],[Gruppa bank klient 2]]</f>
        <v>20000</v>
      </c>
    </row>
    <row r="148" spans="1:34" ht="18.75" x14ac:dyDescent="0.3">
      <c r="A148" s="130">
        <v>146</v>
      </c>
      <c r="B148" s="157" t="s">
        <v>417</v>
      </c>
      <c r="C148" s="158" t="s">
        <v>224</v>
      </c>
      <c r="D148" s="157" t="s">
        <v>428</v>
      </c>
      <c r="E148" s="159">
        <v>0</v>
      </c>
      <c r="F148" s="167" t="s">
        <v>218</v>
      </c>
      <c r="G148" s="206"/>
      <c r="H148" s="206">
        <v>1</v>
      </c>
      <c r="I148" s="209"/>
      <c r="J148" s="206">
        <v>1</v>
      </c>
      <c r="K148" s="206">
        <v>1</v>
      </c>
      <c r="L148" s="184">
        <v>0</v>
      </c>
      <c r="M148" s="184">
        <v>0</v>
      </c>
      <c r="N148" s="184"/>
      <c r="O148" s="184"/>
      <c r="P148" s="184">
        <v>0</v>
      </c>
      <c r="Q148" s="184">
        <v>-0.2</v>
      </c>
      <c r="R148" s="184">
        <v>-0.2</v>
      </c>
      <c r="S148" s="184">
        <v>-0.2</v>
      </c>
      <c r="T148" s="184">
        <v>-0.2</v>
      </c>
      <c r="U148" s="184">
        <v>-0.2</v>
      </c>
      <c r="V148" s="105">
        <v>0.5</v>
      </c>
      <c r="W148" s="162">
        <f>Таблица32[[#This Row],[Столбец7]]*Таблица32[[#This Row],[Ishga kelish nazoratchi2]]%</f>
        <v>0</v>
      </c>
      <c r="X148" s="134">
        <f>Таблица32[[#This Row],[Столбец7]]*Таблица32[[#This Row],[Ishga vaqtida kelish ketish]]%</f>
        <v>0</v>
      </c>
      <c r="Y148" s="131">
        <f>Таблица32[[#This Row],[Столбец7]]*Таблица32[[#This Row],[Ishga kelish bank klient]]%</f>
        <v>0</v>
      </c>
      <c r="Z148" s="134">
        <f>Таблица32[[#This Row],[Столбец7]]*Таблица32[[#This Row],[Gruppa buxgalter]]%</f>
        <v>0</v>
      </c>
      <c r="AA148" s="134">
        <f>Таблица32[[#This Row],[Столбец7]]*Таблица32[[#This Row],[Gruppa bank klient ]]%</f>
        <v>0</v>
      </c>
      <c r="AB148" s="134">
        <f>Таблица32[[#This Row],[1c]]*Таблица32[[#This Row],[Столбец7]]/100</f>
        <v>0</v>
      </c>
      <c r="AC148" s="180">
        <f>SUM(Таблица32[[#This Row],[Didox]:[ мехнат]],Таблица32[[#This Row],[Avtokameral]])*Таблица32[[#This Row],[Столбец7]]/100</f>
        <v>0</v>
      </c>
      <c r="AD148" s="180">
        <f>SUM(Таблица32[[#This Row],[Pul oqimlari]:[Foyda va zarar]])*Таблица32[[#This Row],[Столбец7]]/100</f>
        <v>0</v>
      </c>
      <c r="AE148" s="134">
        <f>Таблица32[[#This Row],[Столбец7]]*Таблица32[[#This Row],[Nazoratchi]]%</f>
        <v>0</v>
      </c>
      <c r="AF148" s="134">
        <f>Таблица32[[#This Row],[Ishga vaqtida kelish nazoratchi]]+Таблица32[[#This Row],[Nazoratchi2]]</f>
        <v>0</v>
      </c>
      <c r="AG148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48" s="154">
        <f>Таблица32[[#This Row],[Ishga kelish bank klient3]]+Таблица32[[#This Row],[Gruppa bank klient 2]]</f>
        <v>0</v>
      </c>
    </row>
    <row r="149" spans="1:34" ht="18.75" x14ac:dyDescent="0.3">
      <c r="A149" s="130">
        <v>147</v>
      </c>
      <c r="B149" s="157" t="s">
        <v>418</v>
      </c>
      <c r="C149" s="158" t="s">
        <v>238</v>
      </c>
      <c r="D149" s="157" t="s">
        <v>326</v>
      </c>
      <c r="E149" s="159">
        <v>500000</v>
      </c>
      <c r="F149" s="156" t="s">
        <v>218</v>
      </c>
      <c r="G149" s="206">
        <v>-0.8</v>
      </c>
      <c r="H149" s="206">
        <v>1</v>
      </c>
      <c r="I149" s="209"/>
      <c r="J149" s="206">
        <v>1</v>
      </c>
      <c r="K149" s="206">
        <v>1</v>
      </c>
      <c r="L149" s="184">
        <v>0.25</v>
      </c>
      <c r="M149" s="184">
        <v>0.25</v>
      </c>
      <c r="N149" s="184">
        <v>0.25</v>
      </c>
      <c r="O149" s="184">
        <v>1</v>
      </c>
      <c r="P149" s="184">
        <v>0.25</v>
      </c>
      <c r="Q149" s="184">
        <v>0.2</v>
      </c>
      <c r="R149" s="184">
        <v>0.2</v>
      </c>
      <c r="S149" s="184">
        <v>0.2</v>
      </c>
      <c r="T149" s="184">
        <v>0.2</v>
      </c>
      <c r="U149" s="184">
        <v>0.2</v>
      </c>
      <c r="V149" s="105">
        <v>0.5</v>
      </c>
      <c r="W149" s="162">
        <f>Таблица32[[#This Row],[Столбец7]]*Таблица32[[#This Row],[Ishga kelish nazoratchi2]]%</f>
        <v>0</v>
      </c>
      <c r="X149" s="134">
        <f>Таблица32[[#This Row],[Столбец7]]*Таблица32[[#This Row],[Ishga vaqtida kelish ketish]]%</f>
        <v>-4000</v>
      </c>
      <c r="Y149" s="131">
        <f>Таблица32[[#This Row],[Столбец7]]*Таблица32[[#This Row],[Ishga kelish bank klient]]%</f>
        <v>5000</v>
      </c>
      <c r="Z149" s="134">
        <f>Таблица32[[#This Row],[Столбец7]]*Таблица32[[#This Row],[Gruppa buxgalter]]%</f>
        <v>5000</v>
      </c>
      <c r="AA149" s="134">
        <f>Таблица32[[#This Row],[Столбец7]]*Таблица32[[#This Row],[Gruppa bank klient ]]%</f>
        <v>5000</v>
      </c>
      <c r="AB149" s="134">
        <f>Таблица32[[#This Row],[1c]]*Таблица32[[#This Row],[Столбец7]]/100</f>
        <v>5000</v>
      </c>
      <c r="AC149" s="180">
        <f>SUM(Таблица32[[#This Row],[Didox]:[ мехнат]],Таблица32[[#This Row],[Avtokameral]])*Таблица32[[#This Row],[Столбец7]]/100</f>
        <v>5000</v>
      </c>
      <c r="AD149" s="180">
        <f>SUM(Таблица32[[#This Row],[Pul oqimlari]:[Foyda va zarar]])*Таблица32[[#This Row],[Столбец7]]/100</f>
        <v>5000</v>
      </c>
      <c r="AE149" s="134">
        <f>Таблица32[[#This Row],[Столбец7]]*Таблица32[[#This Row],[Nazoratchi]]%</f>
        <v>2500</v>
      </c>
      <c r="AF149" s="134">
        <f>Таблица32[[#This Row],[Ishga vaqtida kelish nazoratchi]]+Таблица32[[#This Row],[Nazoratchi2]]</f>
        <v>2500</v>
      </c>
      <c r="AG149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16000</v>
      </c>
      <c r="AH149" s="154">
        <f>Таблица32[[#This Row],[Ishga kelish bank klient3]]+Таблица32[[#This Row],[Gruppa bank klient 2]]</f>
        <v>10000</v>
      </c>
    </row>
    <row r="150" spans="1:34" ht="18.75" x14ac:dyDescent="0.3">
      <c r="A150" s="130">
        <v>148</v>
      </c>
      <c r="B150" s="157" t="s">
        <v>419</v>
      </c>
      <c r="C150" s="104" t="s">
        <v>309</v>
      </c>
      <c r="D150" s="157" t="s">
        <v>428</v>
      </c>
      <c r="E150" s="204">
        <v>3000000</v>
      </c>
      <c r="F150" s="104" t="s">
        <v>218</v>
      </c>
      <c r="G150" s="206">
        <v>-0.8</v>
      </c>
      <c r="H150" s="206">
        <v>1</v>
      </c>
      <c r="I150" s="216"/>
      <c r="J150" s="206">
        <v>-0.5</v>
      </c>
      <c r="K150" s="206">
        <v>1</v>
      </c>
      <c r="L150" s="183">
        <v>0.25</v>
      </c>
      <c r="M150" s="183">
        <v>0.25</v>
      </c>
      <c r="N150" s="183">
        <v>0.25</v>
      </c>
      <c r="O150" s="183">
        <v>1</v>
      </c>
      <c r="P150" s="183">
        <v>0.25</v>
      </c>
      <c r="Q150" s="183">
        <v>-0.2</v>
      </c>
      <c r="R150" s="183">
        <v>0.2</v>
      </c>
      <c r="S150" s="183">
        <v>0.2</v>
      </c>
      <c r="T150" s="183">
        <v>0.2</v>
      </c>
      <c r="U150" s="183">
        <v>0.2</v>
      </c>
      <c r="V150" s="206">
        <v>-0.5</v>
      </c>
      <c r="W150" s="162">
        <f>Таблица32[[#This Row],[Столбец7]]*Таблица32[[#This Row],[Ishga kelish nazoratchi2]]%</f>
        <v>0</v>
      </c>
      <c r="X150" s="134">
        <f>Таблица32[[#This Row],[Столбец7]]*Таблица32[[#This Row],[Ishga vaqtida kelish ketish]]%</f>
        <v>-24000</v>
      </c>
      <c r="Y150" s="131">
        <f>Таблица32[[#This Row],[Столбец7]]*Таблица32[[#This Row],[Ishga kelish bank klient]]%</f>
        <v>30000</v>
      </c>
      <c r="Z150" s="134">
        <f>Таблица32[[#This Row],[Столбец7]]*Таблица32[[#This Row],[Gruppa buxgalter]]%</f>
        <v>-15000</v>
      </c>
      <c r="AA150" s="134">
        <f>Таблица32[[#This Row],[Столбец7]]*Таблица32[[#This Row],[Gruppa bank klient ]]%</f>
        <v>30000</v>
      </c>
      <c r="AB150" s="134">
        <f>Таблица32[[#This Row],[1c]]*Таблица32[[#This Row],[Столбец7]]/100</f>
        <v>30000</v>
      </c>
      <c r="AC150" s="180">
        <f>SUM(Таблица32[[#This Row],[Didox]:[ мехнат]],Таблица32[[#This Row],[Avtokameral]])*Таблица32[[#This Row],[Столбец7]]/100</f>
        <v>30000</v>
      </c>
      <c r="AD150" s="180">
        <f>SUM(Таблица32[[#This Row],[Pul oqimlari]:[Foyda va zarar]])*Таблица32[[#This Row],[Столбец7]]/100</f>
        <v>18000.000000000004</v>
      </c>
      <c r="AE150" s="134">
        <f>Таблица32[[#This Row],[Столбец7]]*Таблица32[[#This Row],[Nazoratchi]]%</f>
        <v>-15000</v>
      </c>
      <c r="AF150" s="134">
        <f>Таблица32[[#This Row],[Ishga vaqtida kelish nazoratchi]]+Таблица32[[#This Row],[Nazoratchi2]]</f>
        <v>-15000</v>
      </c>
      <c r="AG150" s="134">
        <f>Таблица32[[#This Row],[Ishga vaqtida kelish ketish2]]+Таблица32[[#This Row],[Gruppa buxgalter4]]+Таблица32[[#This Row],[1C baza3]]+Таблица32[[#This Row],[xatlar4]]+Таблица32[[#This Row],[Belgilangan otchetlar5]]</f>
        <v>39000</v>
      </c>
      <c r="AH150" s="154">
        <f>Таблица32[[#This Row],[Ishga kelish bank klient3]]+Таблица32[[#This Row],[Gruppa bank klient 2]]</f>
        <v>60000</v>
      </c>
    </row>
    <row r="151" spans="1:34" ht="18.75" x14ac:dyDescent="0.3">
      <c r="A151" s="130">
        <v>149</v>
      </c>
      <c r="B151" s="157" t="s">
        <v>426</v>
      </c>
      <c r="C151" s="119" t="s">
        <v>434</v>
      </c>
      <c r="D151" s="133" t="s">
        <v>240</v>
      </c>
      <c r="E151" s="159">
        <v>5000000</v>
      </c>
      <c r="F151" s="139" t="s">
        <v>238</v>
      </c>
      <c r="G151" s="206">
        <v>-0.05</v>
      </c>
      <c r="H151" s="206">
        <v>1</v>
      </c>
      <c r="I151" s="216"/>
      <c r="J151" s="206">
        <v>1</v>
      </c>
      <c r="K151" s="206">
        <v>1</v>
      </c>
      <c r="L151" s="184">
        <v>0</v>
      </c>
      <c r="M151" s="184">
        <v>0.25</v>
      </c>
      <c r="N151" s="184"/>
      <c r="O151" s="183"/>
      <c r="P151" s="184">
        <v>-0.25</v>
      </c>
      <c r="Q151" s="183">
        <v>0.2</v>
      </c>
      <c r="R151" s="183">
        <v>0.2</v>
      </c>
      <c r="S151" s="183">
        <v>0.2</v>
      </c>
      <c r="T151" s="183">
        <v>0.2</v>
      </c>
      <c r="U151" s="183">
        <v>0.2</v>
      </c>
      <c r="V151" s="105">
        <v>0.5</v>
      </c>
      <c r="W151" s="163">
        <f>Таблица32[[#This Row],[Столбец7]]*Таблица32[[#This Row],[Ishga kelish nazoratchi2]]%</f>
        <v>0</v>
      </c>
      <c r="X151" s="160">
        <f>Таблица32[[#This Row],[Столбец7]]*Таблица32[[#This Row],[Ishga vaqtida kelish ketish]]%</f>
        <v>-2500</v>
      </c>
      <c r="Y151" s="131">
        <f>Таблица32[[#This Row],[Столбец7]]*Таблица32[[#This Row],[Ishga kelish bank klient]]%</f>
        <v>50000</v>
      </c>
      <c r="Z151" s="160">
        <f>Таблица32[[#This Row],[Столбец7]]*Таблица32[[#This Row],[Gruppa buxgalter]]%</f>
        <v>50000</v>
      </c>
      <c r="AA151" s="160">
        <f>Таблица32[[#This Row],[Столбец7]]*Таблица32[[#This Row],[Gruppa bank klient ]]%</f>
        <v>50000</v>
      </c>
      <c r="AB151" s="160">
        <f>Таблица32[[#This Row],[1c]]*Таблица32[[#This Row],[Столбец7]]/100</f>
        <v>0</v>
      </c>
      <c r="AC151" s="181">
        <f>SUM(Таблица32[[#This Row],[Didox]:[ мехнат]],Таблица32[[#This Row],[Avtokameral]])*Таблица32[[#This Row],[Столбец7]]/100</f>
        <v>0</v>
      </c>
      <c r="AD151" s="181">
        <f>SUM(Таблица32[[#This Row],[Pul oqimlari]:[Foyda va zarar]])*Таблица32[[#This Row],[Столбец7]]/100</f>
        <v>50000</v>
      </c>
      <c r="AE151" s="160">
        <f>Таблица32[[#This Row],[Столбец7]]*Таблица32[[#This Row],[Nazoratchi]]%</f>
        <v>25000</v>
      </c>
      <c r="AF151" s="160">
        <f>Таблица32[[#This Row],[Ishga vaqtida kelish nazoratchi]]+Таблица32[[#This Row],[Nazoratchi2]]</f>
        <v>25000</v>
      </c>
      <c r="AG151" s="160">
        <f>Таблица32[[#This Row],[Ishga vaqtida kelish ketish2]]+Таблица32[[#This Row],[Gruppa buxgalter4]]+Таблица32[[#This Row],[1C baza3]]+Таблица32[[#This Row],[xatlar4]]+Таблица32[[#This Row],[Belgilangan otchetlar5]]</f>
        <v>97500</v>
      </c>
      <c r="AH151" s="160">
        <f>Таблица32[[#This Row],[Ishga kelish bank klient3]]+Таблица32[[#This Row],[Gruppa bank klient 2]]</f>
        <v>100000</v>
      </c>
    </row>
    <row r="152" spans="1:34" ht="18.75" x14ac:dyDescent="0.3">
      <c r="A152" s="130">
        <v>150</v>
      </c>
      <c r="B152" s="157" t="s">
        <v>430</v>
      </c>
      <c r="C152" s="119" t="s">
        <v>434</v>
      </c>
      <c r="D152" s="157" t="s">
        <v>240</v>
      </c>
      <c r="E152" s="159">
        <v>0</v>
      </c>
      <c r="F152" s="139" t="s">
        <v>238</v>
      </c>
      <c r="G152" s="206">
        <v>-0.05</v>
      </c>
      <c r="H152" s="206">
        <v>1</v>
      </c>
      <c r="I152" s="216"/>
      <c r="J152" s="206">
        <v>1</v>
      </c>
      <c r="K152" s="206">
        <v>1</v>
      </c>
      <c r="L152" s="184">
        <v>-0.25</v>
      </c>
      <c r="M152" s="184">
        <v>0.25</v>
      </c>
      <c r="N152" s="184"/>
      <c r="O152" s="184"/>
      <c r="P152" s="184">
        <v>0.25</v>
      </c>
      <c r="Q152" s="184">
        <v>0</v>
      </c>
      <c r="R152" s="184">
        <v>0</v>
      </c>
      <c r="S152" s="184">
        <v>0</v>
      </c>
      <c r="T152" s="184">
        <v>0</v>
      </c>
      <c r="U152" s="184">
        <v>0</v>
      </c>
      <c r="V152" s="105">
        <v>0.5</v>
      </c>
      <c r="W152" s="163">
        <f>Таблица32[[#This Row],[Столбец7]]*Таблица32[[#This Row],[Ishga kelish nazoratchi2]]%</f>
        <v>0</v>
      </c>
      <c r="X152" s="160">
        <f>Таблица32[[#This Row],[Столбец7]]*Таблица32[[#This Row],[Ishga vaqtida kelish ketish]]%</f>
        <v>0</v>
      </c>
      <c r="Y152" s="131">
        <f>Таблица32[[#This Row],[Столбец7]]*Таблица32[[#This Row],[Ishga kelish bank klient]]%</f>
        <v>0</v>
      </c>
      <c r="Z152" s="160">
        <f>Таблица32[[#This Row],[Столбец7]]*Таблица32[[#This Row],[Gruppa buxgalter]]%</f>
        <v>0</v>
      </c>
      <c r="AA152" s="160">
        <f>Таблица32[[#This Row],[Столбец7]]*Таблица32[[#This Row],[Gruppa bank klient ]]%</f>
        <v>0</v>
      </c>
      <c r="AB152" s="160">
        <f>Таблица32[[#This Row],[1c]]*Таблица32[[#This Row],[Столбец7]]/100</f>
        <v>0</v>
      </c>
      <c r="AC152" s="181">
        <f>SUM(Таблица32[[#This Row],[Didox]:[ мехнат]],Таблица32[[#This Row],[Avtokameral]])*Таблица32[[#This Row],[Столбец7]]/100</f>
        <v>0</v>
      </c>
      <c r="AD152" s="181">
        <f>SUM(Таблица32[[#This Row],[Pul oqimlari]:[Foyda va zarar]])*Таблица32[[#This Row],[Столбец7]]/100</f>
        <v>0</v>
      </c>
      <c r="AE152" s="160">
        <f>Таблица32[[#This Row],[Столбец7]]*Таблица32[[#This Row],[Nazoratchi]]%</f>
        <v>0</v>
      </c>
      <c r="AF152" s="160">
        <f>Таблица32[[#This Row],[Ishga vaqtida kelish nazoratchi]]+Таблица32[[#This Row],[Nazoratchi2]]</f>
        <v>0</v>
      </c>
      <c r="AG152" s="160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52" s="160">
        <f>Таблица32[[#This Row],[Ishga kelish bank klient3]]+Таблица32[[#This Row],[Gruppa bank klient 2]]</f>
        <v>0</v>
      </c>
    </row>
    <row r="153" spans="1:34" ht="18.75" x14ac:dyDescent="0.3">
      <c r="A153" s="130">
        <v>151</v>
      </c>
      <c r="B153" s="157" t="s">
        <v>429</v>
      </c>
      <c r="C153" s="165" t="s">
        <v>219</v>
      </c>
      <c r="D153" s="164" t="s">
        <v>240</v>
      </c>
      <c r="E153" s="166">
        <v>500000</v>
      </c>
      <c r="F153" s="167" t="s">
        <v>218</v>
      </c>
      <c r="G153" s="206"/>
      <c r="H153" s="206">
        <v>1</v>
      </c>
      <c r="I153" s="216"/>
      <c r="J153" s="206">
        <v>1</v>
      </c>
      <c r="K153" s="206">
        <v>1</v>
      </c>
      <c r="L153" s="183">
        <v>0.25</v>
      </c>
      <c r="M153" s="183">
        <v>0.25</v>
      </c>
      <c r="N153" s="183">
        <v>0.25</v>
      </c>
      <c r="O153" s="183"/>
      <c r="P153" s="183">
        <v>0.25</v>
      </c>
      <c r="Q153" s="183">
        <v>0</v>
      </c>
      <c r="R153" s="183">
        <v>0.2</v>
      </c>
      <c r="S153" s="183">
        <v>0.2</v>
      </c>
      <c r="T153" s="183">
        <v>0.2</v>
      </c>
      <c r="U153" s="183">
        <v>0.2</v>
      </c>
      <c r="V153" s="105">
        <v>0.5</v>
      </c>
      <c r="W153" s="163">
        <f>Таблица32[[#This Row],[Столбец7]]*Таблица32[[#This Row],[Ishga kelish nazoratchi2]]%</f>
        <v>0</v>
      </c>
      <c r="X153" s="160">
        <f>Таблица32[[#This Row],[Столбец7]]*Таблица32[[#This Row],[Ishga vaqtida kelish ketish]]%</f>
        <v>0</v>
      </c>
      <c r="Y153" s="131">
        <f>Таблица32[[#This Row],[Столбец7]]*Таблица32[[#This Row],[Ishga kelish bank klient]]%</f>
        <v>5000</v>
      </c>
      <c r="Z153" s="160">
        <f>Таблица32[[#This Row],[Столбец7]]*Таблица32[[#This Row],[Gruppa buxgalter]]%</f>
        <v>5000</v>
      </c>
      <c r="AA153" s="160">
        <f>Таблица32[[#This Row],[Столбец7]]*Таблица32[[#This Row],[Gruppa bank klient ]]%</f>
        <v>5000</v>
      </c>
      <c r="AB153" s="160">
        <f>Таблица32[[#This Row],[1c]]*Таблица32[[#This Row],[Столбец7]]/100</f>
        <v>0</v>
      </c>
      <c r="AC153" s="181">
        <f>SUM(Таблица32[[#This Row],[Didox]:[ мехнат]],Таблица32[[#This Row],[Avtokameral]])*Таблица32[[#This Row],[Столбец7]]/100</f>
        <v>5000</v>
      </c>
      <c r="AD153" s="181">
        <f>SUM(Таблица32[[#This Row],[Pul oqimlari]:[Foyda va zarar]])*Таблица32[[#This Row],[Столбец7]]/100</f>
        <v>4000</v>
      </c>
      <c r="AE153" s="160">
        <f>Таблица32[[#This Row],[Столбец7]]*Таблица32[[#This Row],[Nazoratchi]]%</f>
        <v>2500</v>
      </c>
      <c r="AF153" s="160">
        <f>Таблица32[[#This Row],[Ishga vaqtida kelish nazoratchi]]+Таблица32[[#This Row],[Nazoratchi2]]</f>
        <v>2500</v>
      </c>
      <c r="AG153" s="160">
        <f>Таблица32[[#This Row],[Ishga vaqtida kelish ketish2]]+Таблица32[[#This Row],[Gruppa buxgalter4]]+Таблица32[[#This Row],[1C baza3]]+Таблица32[[#This Row],[xatlar4]]+Таблица32[[#This Row],[Belgilangan otchetlar5]]</f>
        <v>14000</v>
      </c>
      <c r="AH153" s="160">
        <f>Таблица32[[#This Row],[Ishga kelish bank klient3]]+Таблица32[[#This Row],[Gruppa bank klient 2]]</f>
        <v>10000</v>
      </c>
    </row>
    <row r="154" spans="1:34" ht="37.5" x14ac:dyDescent="0.3">
      <c r="A154" s="130">
        <v>152</v>
      </c>
      <c r="B154" s="225" t="s">
        <v>431</v>
      </c>
      <c r="C154" s="106" t="s">
        <v>394</v>
      </c>
      <c r="D154" s="225"/>
      <c r="E154" s="228">
        <v>500000</v>
      </c>
      <c r="F154" s="104" t="s">
        <v>218</v>
      </c>
      <c r="G154" s="206"/>
      <c r="H154" s="206"/>
      <c r="I154" s="216"/>
      <c r="J154" s="206">
        <v>1</v>
      </c>
      <c r="K154" s="206"/>
      <c r="L154" s="183">
        <v>0.25</v>
      </c>
      <c r="M154" s="183">
        <v>0.25</v>
      </c>
      <c r="N154" s="183"/>
      <c r="O154" s="183"/>
      <c r="P154" s="183">
        <v>0.25</v>
      </c>
      <c r="Q154" s="184">
        <v>0</v>
      </c>
      <c r="R154" s="184">
        <v>0</v>
      </c>
      <c r="S154" s="184">
        <v>0</v>
      </c>
      <c r="T154" s="184">
        <v>0</v>
      </c>
      <c r="U154" s="184">
        <v>0</v>
      </c>
      <c r="V154" s="105">
        <v>0.5</v>
      </c>
      <c r="W154" s="163">
        <f>Таблица32[[#This Row],[Столбец7]]*Таблица32[[#This Row],[Ishga kelish nazoratchi2]]%</f>
        <v>0</v>
      </c>
      <c r="X154" s="168">
        <f>Таблица32[[#This Row],[Столбец7]]*Таблица32[[#This Row],[Ishga vaqtida kelish ketish]]%</f>
        <v>0</v>
      </c>
      <c r="Y154" s="131">
        <f>Таблица32[[#This Row],[Столбец7]]*Таблица32[[#This Row],[Ishga kelish bank klient]]%</f>
        <v>0</v>
      </c>
      <c r="Z154" s="168">
        <f>Таблица32[[#This Row],[Столбец7]]*Таблица32[[#This Row],[Gruppa buxgalter]]%</f>
        <v>5000</v>
      </c>
      <c r="AA154" s="168">
        <f>Таблица32[[#This Row],[Столбец7]]*Таблица32[[#This Row],[Gruppa bank klient ]]%</f>
        <v>0</v>
      </c>
      <c r="AB154" s="168">
        <f>Таблица32[[#This Row],[1c]]*Таблица32[[#This Row],[Столбец7]]/100</f>
        <v>0</v>
      </c>
      <c r="AC154" s="181">
        <f>SUM(Таблица32[[#This Row],[Didox]:[ мехнат]],Таблица32[[#This Row],[Avtokameral]])*Таблица32[[#This Row],[Столбец7]]/100</f>
        <v>3750</v>
      </c>
      <c r="AD154" s="181">
        <f>SUM(Таблица32[[#This Row],[Pul oqimlari]:[Foyda va zarar]])*Таблица32[[#This Row],[Столбец7]]/100</f>
        <v>0</v>
      </c>
      <c r="AE154" s="168">
        <f>Таблица32[[#This Row],[Столбец7]]*Таблица32[[#This Row],[Nazoratchi]]%</f>
        <v>2500</v>
      </c>
      <c r="AF154" s="160">
        <f>Таблица32[[#This Row],[Ishga vaqtida kelish nazoratchi]]+Таблица32[[#This Row],[Nazoratchi2]]</f>
        <v>2500</v>
      </c>
      <c r="AG15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154" s="169">
        <f>Таблица32[[#This Row],[Ishga kelish bank klient3]]+Таблица32[[#This Row],[Gruppa bank klient 2]]</f>
        <v>0</v>
      </c>
    </row>
    <row r="155" spans="1:34" ht="18.75" x14ac:dyDescent="0.3">
      <c r="A155" s="130">
        <v>153</v>
      </c>
      <c r="B155" s="226" t="s">
        <v>432</v>
      </c>
      <c r="C155" s="106" t="s">
        <v>394</v>
      </c>
      <c r="D155" s="226" t="s">
        <v>428</v>
      </c>
      <c r="E155" s="227">
        <v>1000000</v>
      </c>
      <c r="F155" s="104" t="s">
        <v>218</v>
      </c>
      <c r="G155" s="206"/>
      <c r="H155" s="206">
        <v>1</v>
      </c>
      <c r="I155" s="216"/>
      <c r="J155" s="206">
        <v>1</v>
      </c>
      <c r="K155" s="206">
        <v>1</v>
      </c>
      <c r="L155" s="183">
        <v>0.25</v>
      </c>
      <c r="M155" s="183">
        <v>0.25</v>
      </c>
      <c r="N155" s="183">
        <v>0.25</v>
      </c>
      <c r="O155" s="183"/>
      <c r="P155" s="183">
        <v>-0.25</v>
      </c>
      <c r="Q155" s="184">
        <v>0.2</v>
      </c>
      <c r="R155" s="183">
        <v>0.2</v>
      </c>
      <c r="S155" s="184">
        <v>0.2</v>
      </c>
      <c r="T155" s="184">
        <v>-0.2</v>
      </c>
      <c r="U155" s="184">
        <v>-0.2</v>
      </c>
      <c r="V155" s="105">
        <v>0.5</v>
      </c>
      <c r="W155" s="163">
        <f>Таблица32[[#This Row],[Столбец7]]*Таблица32[[#This Row],[Ishga kelish nazoratchi2]]%</f>
        <v>0</v>
      </c>
      <c r="X155" s="168">
        <f>Таблица32[[#This Row],[Столбец7]]*Таблица32[[#This Row],[Ishga vaqtida kelish ketish]]%</f>
        <v>0</v>
      </c>
      <c r="Y155" s="131">
        <f>Таблица32[[#This Row],[Столбец7]]*Таблица32[[#This Row],[Ishga kelish bank klient]]%</f>
        <v>10000</v>
      </c>
      <c r="Z155" s="168">
        <f>Таблица32[[#This Row],[Столбец7]]*Таблица32[[#This Row],[Gruppa buxgalter]]%</f>
        <v>10000</v>
      </c>
      <c r="AA155" s="168">
        <f>Таблица32[[#This Row],[Столбец7]]*Таблица32[[#This Row],[Gruppa bank klient ]]%</f>
        <v>10000</v>
      </c>
      <c r="AB155" s="168">
        <f>Таблица32[[#This Row],[1c]]*Таблица32[[#This Row],[Столбец7]]/100</f>
        <v>0</v>
      </c>
      <c r="AC155" s="181">
        <f>SUM(Таблица32[[#This Row],[Didox]:[ мехнат]],Таблица32[[#This Row],[Avtokameral]])*Таблица32[[#This Row],[Столбец7]]/100</f>
        <v>5000</v>
      </c>
      <c r="AD155" s="181">
        <f>SUM(Таблица32[[#This Row],[Pul oqimlari]:[Foyda va zarar]])*Таблица32[[#This Row],[Столбец7]]/100</f>
        <v>2000.0000000000007</v>
      </c>
      <c r="AE155" s="168">
        <f>Таблица32[[#This Row],[Столбец7]]*Таблица32[[#This Row],[Nazoratchi]]%</f>
        <v>5000</v>
      </c>
      <c r="AF155" s="160">
        <f>Таблица32[[#This Row],[Ishga vaqtida kelish nazoratchi]]+Таблица32[[#This Row],[Nazoratchi2]]</f>
        <v>5000</v>
      </c>
      <c r="AG15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17000</v>
      </c>
      <c r="AH155" s="169">
        <f>Таблица32[[#This Row],[Ishga kelish bank klient3]]+Таблица32[[#This Row],[Gruppa bank klient 2]]</f>
        <v>20000</v>
      </c>
    </row>
    <row r="156" spans="1:34" ht="18.75" x14ac:dyDescent="0.3">
      <c r="A156" s="130">
        <v>154</v>
      </c>
      <c r="B156" s="226" t="s">
        <v>433</v>
      </c>
      <c r="C156" s="106" t="s">
        <v>468</v>
      </c>
      <c r="D156" s="226" t="s">
        <v>428</v>
      </c>
      <c r="E156" s="246">
        <v>700000</v>
      </c>
      <c r="F156" s="104" t="s">
        <v>238</v>
      </c>
      <c r="G156" s="206"/>
      <c r="H156" s="206">
        <v>1</v>
      </c>
      <c r="I156" s="216"/>
      <c r="J156" s="206">
        <v>1</v>
      </c>
      <c r="K156" s="206">
        <v>1</v>
      </c>
      <c r="L156" s="183">
        <v>0.25</v>
      </c>
      <c r="M156" s="183">
        <v>0.25</v>
      </c>
      <c r="N156" s="184"/>
      <c r="O156" s="184">
        <v>1</v>
      </c>
      <c r="P156" s="183">
        <v>0.25</v>
      </c>
      <c r="Q156" s="183">
        <v>0.2</v>
      </c>
      <c r="R156" s="183">
        <v>0.2</v>
      </c>
      <c r="S156" s="183">
        <v>0.2</v>
      </c>
      <c r="T156" s="183">
        <v>0.2</v>
      </c>
      <c r="U156" s="183">
        <v>0.2</v>
      </c>
      <c r="V156" s="105">
        <v>0.5</v>
      </c>
      <c r="W156" s="163">
        <f>Таблица32[[#This Row],[Столбец7]]*Таблица32[[#This Row],[Ishga kelish nazoratchi2]]%</f>
        <v>0</v>
      </c>
      <c r="X156" s="168">
        <f>Таблица32[[#This Row],[Столбец7]]*Таблица32[[#This Row],[Ishga vaqtida kelish ketish]]%</f>
        <v>0</v>
      </c>
      <c r="Y156" s="131">
        <f>Таблица32[[#This Row],[Столбец7]]*Таблица32[[#This Row],[Ishga kelish bank klient]]%</f>
        <v>7000</v>
      </c>
      <c r="Z156" s="168">
        <f>Таблица32[[#This Row],[Столбец7]]*Таблица32[[#This Row],[Gruppa buxgalter]]%</f>
        <v>7000</v>
      </c>
      <c r="AA156" s="168">
        <f>Таблица32[[#This Row],[Столбец7]]*Таблица32[[#This Row],[Gruppa bank klient ]]%</f>
        <v>7000</v>
      </c>
      <c r="AB156" s="168">
        <f>Таблица32[[#This Row],[1c]]*Таблица32[[#This Row],[Столбец7]]/100</f>
        <v>7000</v>
      </c>
      <c r="AC156" s="181">
        <f>SUM(Таблица32[[#This Row],[Didox]:[ мехнат]],Таблица32[[#This Row],[Avtokameral]])*Таблица32[[#This Row],[Столбец7]]/100</f>
        <v>5250</v>
      </c>
      <c r="AD156" s="181">
        <f>SUM(Таблица32[[#This Row],[Pul oqimlari]:[Foyda va zarar]])*Таблица32[[#This Row],[Столбец7]]/100</f>
        <v>7000</v>
      </c>
      <c r="AE156" s="168">
        <f>Таблица32[[#This Row],[Столбец7]]*Таблица32[[#This Row],[Nazoratchi]]%</f>
        <v>3500</v>
      </c>
      <c r="AF156" s="168">
        <f>Таблица32[[#This Row],[Ishga vaqtida kelish nazoratchi]]+Таблица32[[#This Row],[Nazoratchi2]]</f>
        <v>3500</v>
      </c>
      <c r="AG15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26250</v>
      </c>
      <c r="AH156" s="169">
        <f>Таблица32[[#This Row],[Ishga kelish bank klient3]]+Таблица32[[#This Row],[Gruppa bank klient 2]]</f>
        <v>14000</v>
      </c>
    </row>
    <row r="157" spans="1:34" ht="18.75" x14ac:dyDescent="0.3">
      <c r="A157" s="130">
        <v>155</v>
      </c>
      <c r="B157" s="243" t="s">
        <v>334</v>
      </c>
      <c r="C157" s="243" t="s">
        <v>308</v>
      </c>
      <c r="D157" s="107" t="s">
        <v>428</v>
      </c>
      <c r="E157" s="199">
        <v>1000000</v>
      </c>
      <c r="F157" s="119" t="s">
        <v>218</v>
      </c>
      <c r="G157" s="206">
        <v>0.9</v>
      </c>
      <c r="H157" s="206">
        <v>1</v>
      </c>
      <c r="I157" s="216"/>
      <c r="J157" s="206">
        <v>1</v>
      </c>
      <c r="K157" s="206">
        <v>1</v>
      </c>
      <c r="L157" s="183">
        <v>-0.25</v>
      </c>
      <c r="M157" s="183">
        <v>0.25</v>
      </c>
      <c r="N157" s="183">
        <v>0.25</v>
      </c>
      <c r="O157" s="184"/>
      <c r="P157" s="183">
        <v>-0.25</v>
      </c>
      <c r="Q157" s="183">
        <v>0.2</v>
      </c>
      <c r="R157" s="183">
        <v>0.2</v>
      </c>
      <c r="S157" s="183">
        <v>0.2</v>
      </c>
      <c r="T157" s="183">
        <v>0.2</v>
      </c>
      <c r="U157" s="183">
        <v>0.2</v>
      </c>
      <c r="V157" s="105">
        <v>0.5</v>
      </c>
      <c r="W157" s="163">
        <f>Таблица32[[#This Row],[Столбец7]]*Таблица32[[#This Row],[Ishga kelish nazoratchi2]]%</f>
        <v>0</v>
      </c>
      <c r="X157" s="168">
        <f>Таблица32[[#This Row],[Столбец7]]*Таблица32[[#This Row],[Ishga vaqtida kelish ketish]]%</f>
        <v>9000.0000000000018</v>
      </c>
      <c r="Y157" s="131">
        <f>Таблица32[[#This Row],[Столбец7]]*Таблица32[[#This Row],[Ishga kelish bank klient]]%</f>
        <v>10000</v>
      </c>
      <c r="Z157" s="168">
        <f>Таблица32[[#This Row],[Столбец7]]*Таблица32[[#This Row],[Gruppa buxgalter]]%</f>
        <v>10000</v>
      </c>
      <c r="AA157" s="168">
        <f>Таблица32[[#This Row],[Столбец7]]*Таблица32[[#This Row],[Gruppa bank klient ]]%</f>
        <v>10000</v>
      </c>
      <c r="AB157" s="168">
        <f>Таблица32[[#This Row],[1c]]*Таблица32[[#This Row],[Столбец7]]/100</f>
        <v>0</v>
      </c>
      <c r="AC157" s="181">
        <f>SUM(Таблица32[[#This Row],[Didox]:[ мехнат]],Таблица32[[#This Row],[Avtokameral]])*Таблица32[[#This Row],[Столбец7]]/100</f>
        <v>0</v>
      </c>
      <c r="AD157" s="181">
        <f>SUM(Таблица32[[#This Row],[Pul oqimlari]:[Foyda va zarar]])*Таблица32[[#This Row],[Столбец7]]/100</f>
        <v>10000</v>
      </c>
      <c r="AE157" s="168">
        <f>Таблица32[[#This Row],[Столбец7]]*Таблица32[[#This Row],[Nazoratchi]]%</f>
        <v>5000</v>
      </c>
      <c r="AF157" s="168">
        <f>Таблица32[[#This Row],[Ishga vaqtida kelish nazoratchi]]+Таблица32[[#This Row],[Nazoratchi2]]</f>
        <v>5000</v>
      </c>
      <c r="AG15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157" s="169">
        <f>Таблица32[[#This Row],[Ishga kelish bank klient3]]+Таблица32[[#This Row],[Gruppa bank klient 2]]</f>
        <v>20000</v>
      </c>
    </row>
    <row r="158" spans="1:34" ht="18.75" x14ac:dyDescent="0.3">
      <c r="A158" s="130">
        <v>156</v>
      </c>
      <c r="B158" s="225" t="s">
        <v>436</v>
      </c>
      <c r="C158" s="119" t="s">
        <v>218</v>
      </c>
      <c r="D158" s="133" t="s">
        <v>428</v>
      </c>
      <c r="E158" s="228">
        <v>4000000</v>
      </c>
      <c r="F158" s="139" t="s">
        <v>238</v>
      </c>
      <c r="G158" s="206">
        <v>0.05</v>
      </c>
      <c r="H158" s="206">
        <v>1</v>
      </c>
      <c r="I158" s="216"/>
      <c r="J158" s="206">
        <v>-0.5</v>
      </c>
      <c r="K158" s="206">
        <v>1</v>
      </c>
      <c r="L158" s="183">
        <v>0.25</v>
      </c>
      <c r="M158" s="183">
        <v>0.25</v>
      </c>
      <c r="N158" s="183">
        <v>0.25</v>
      </c>
      <c r="O158" s="183"/>
      <c r="P158" s="183">
        <v>0.25</v>
      </c>
      <c r="Q158" s="183">
        <v>-0.2</v>
      </c>
      <c r="R158" s="183">
        <v>0.2</v>
      </c>
      <c r="S158" s="183">
        <v>0.2</v>
      </c>
      <c r="T158" s="183">
        <v>0</v>
      </c>
      <c r="U158" s="183">
        <v>0</v>
      </c>
      <c r="V158" s="105">
        <v>-0.5</v>
      </c>
      <c r="W158" s="163">
        <f>Таблица32[[#This Row],[Столбец7]]*Таблица32[[#This Row],[Ishga kelish nazoratchi2]]%</f>
        <v>0</v>
      </c>
      <c r="X158" s="168">
        <f>Таблица32[[#This Row],[Столбец7]]*Таблица32[[#This Row],[Ishga vaqtida kelish ketish]]%</f>
        <v>2000</v>
      </c>
      <c r="Y158" s="131">
        <f>Таблица32[[#This Row],[Столбец7]]*Таблица32[[#This Row],[Ishga kelish bank klient]]%</f>
        <v>40000</v>
      </c>
      <c r="Z158" s="168">
        <f>Таблица32[[#This Row],[Столбец7]]*Таблица32[[#This Row],[Gruppa buxgalter]]%</f>
        <v>-20000</v>
      </c>
      <c r="AA158" s="168">
        <f>Таблица32[[#This Row],[Столбец7]]*Таблица32[[#This Row],[Gruppa bank klient ]]%</f>
        <v>40000</v>
      </c>
      <c r="AB158" s="168">
        <f>Таблица32[[#This Row],[1c]]*Таблица32[[#This Row],[Столбец7]]/100</f>
        <v>0</v>
      </c>
      <c r="AC158" s="181">
        <f>SUM(Таблица32[[#This Row],[Didox]:[ мехнат]],Таблица32[[#This Row],[Avtokameral]])*Таблица32[[#This Row],[Столбец7]]/100</f>
        <v>40000</v>
      </c>
      <c r="AD158" s="181">
        <f>SUM(Таблица32[[#This Row],[Pul oqimlari]:[Foyda va zarar]])*Таблица32[[#This Row],[Столбец7]]/100</f>
        <v>8000</v>
      </c>
      <c r="AE158" s="168">
        <f>Таблица32[[#This Row],[Столбец7]]*Таблица32[[#This Row],[Nazoratchi]]%</f>
        <v>-20000</v>
      </c>
      <c r="AF158" s="168">
        <f>Таблица32[[#This Row],[Ishga vaqtida kelish nazoratchi]]+Таблица32[[#This Row],[Nazoratchi2]]</f>
        <v>-20000</v>
      </c>
      <c r="AG15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30000</v>
      </c>
      <c r="AH158" s="169">
        <f>Таблица32[[#This Row],[Ishga kelish bank klient3]]+Таблица32[[#This Row],[Gruppa bank klient 2]]</f>
        <v>80000</v>
      </c>
    </row>
    <row r="159" spans="1:34" ht="18.75" x14ac:dyDescent="0.3">
      <c r="A159" s="130">
        <v>157</v>
      </c>
      <c r="B159" s="133" t="s">
        <v>437</v>
      </c>
      <c r="C159" s="119" t="s">
        <v>335</v>
      </c>
      <c r="D159" s="133" t="s">
        <v>240</v>
      </c>
      <c r="E159" s="179">
        <v>5000000</v>
      </c>
      <c r="F159" s="139" t="s">
        <v>218</v>
      </c>
      <c r="G159" s="206">
        <v>-0.35</v>
      </c>
      <c r="H159" s="206">
        <v>1</v>
      </c>
      <c r="I159" s="216"/>
      <c r="J159" s="206">
        <v>1</v>
      </c>
      <c r="K159" s="206">
        <v>1</v>
      </c>
      <c r="L159" s="183">
        <v>-0.25</v>
      </c>
      <c r="M159" s="183">
        <v>0.25</v>
      </c>
      <c r="N159" s="183"/>
      <c r="O159" s="183">
        <v>1</v>
      </c>
      <c r="P159" s="183">
        <v>0.25</v>
      </c>
      <c r="Q159" s="183">
        <v>0.2</v>
      </c>
      <c r="R159" s="183">
        <v>0.2</v>
      </c>
      <c r="S159" s="183">
        <v>0.2</v>
      </c>
      <c r="T159" s="183">
        <v>0.2</v>
      </c>
      <c r="U159" s="183">
        <v>0.2</v>
      </c>
      <c r="V159" s="105">
        <v>0.5</v>
      </c>
      <c r="W159" s="163">
        <f>Таблица32[[#This Row],[Столбец7]]*Таблица32[[#This Row],[Ishga kelish nazoratchi2]]%</f>
        <v>0</v>
      </c>
      <c r="X159" s="168">
        <f>Таблица32[[#This Row],[Столбец7]]*Таблица32[[#This Row],[Ishga vaqtida kelish ketish]]%</f>
        <v>-17500</v>
      </c>
      <c r="Y159" s="131">
        <f>Таблица32[[#This Row],[Столбец7]]*Таблица32[[#This Row],[Ishga kelish bank klient]]%</f>
        <v>50000</v>
      </c>
      <c r="Z159" s="168">
        <f>Таблица32[[#This Row],[Столбец7]]*Таблица32[[#This Row],[Gruppa buxgalter]]%</f>
        <v>50000</v>
      </c>
      <c r="AA159" s="168">
        <f>Таблица32[[#This Row],[Столбец7]]*Таблица32[[#This Row],[Gruppa bank klient ]]%</f>
        <v>50000</v>
      </c>
      <c r="AB159" s="168">
        <f>Таблица32[[#This Row],[1c]]*Таблица32[[#This Row],[Столбец7]]/100</f>
        <v>50000</v>
      </c>
      <c r="AC159" s="181">
        <f>SUM(Таблица32[[#This Row],[Didox]:[ мехнат]],Таблица32[[#This Row],[Avtokameral]])*Таблица32[[#This Row],[Столбец7]]/100</f>
        <v>12500</v>
      </c>
      <c r="AD159" s="181">
        <f>SUM(Таблица32[[#This Row],[Pul oqimlari]:[Foyda va zarar]])*Таблица32[[#This Row],[Столбец7]]/100</f>
        <v>50000</v>
      </c>
      <c r="AE159" s="168">
        <f>Таблица32[[#This Row],[Столбец7]]*Таблица32[[#This Row],[Nazoratchi]]%</f>
        <v>25000</v>
      </c>
      <c r="AF159" s="168">
        <f>Таблица32[[#This Row],[Ishga vaqtida kelish nazoratchi]]+Таблица32[[#This Row],[Nazoratchi2]]</f>
        <v>25000</v>
      </c>
      <c r="AG15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145000</v>
      </c>
      <c r="AH159" s="169">
        <f>Таблица32[[#This Row],[Ishga kelish bank klient3]]+Таблица32[[#This Row],[Gruppa bank klient 2]]</f>
        <v>100000</v>
      </c>
    </row>
    <row r="160" spans="1:34" ht="18.75" x14ac:dyDescent="0.3">
      <c r="A160" s="130">
        <v>158</v>
      </c>
      <c r="B160" s="231" t="s">
        <v>438</v>
      </c>
      <c r="C160" s="106" t="s">
        <v>467</v>
      </c>
      <c r="D160" s="231"/>
      <c r="E160" s="233">
        <v>3000000</v>
      </c>
      <c r="F160" s="139" t="s">
        <v>218</v>
      </c>
      <c r="G160" s="206"/>
      <c r="H160" s="206"/>
      <c r="I160" s="216"/>
      <c r="J160" s="206">
        <v>1</v>
      </c>
      <c r="K160" s="206"/>
      <c r="L160" s="183">
        <v>0</v>
      </c>
      <c r="M160" s="183">
        <v>0.25</v>
      </c>
      <c r="N160" s="184"/>
      <c r="O160" s="184"/>
      <c r="P160" s="183">
        <v>0.25</v>
      </c>
      <c r="Q160" s="183">
        <v>0</v>
      </c>
      <c r="R160" s="183">
        <v>0</v>
      </c>
      <c r="S160" s="183">
        <v>0</v>
      </c>
      <c r="T160" s="183">
        <v>0</v>
      </c>
      <c r="U160" s="183">
        <v>0</v>
      </c>
      <c r="V160" s="105">
        <v>0.5</v>
      </c>
      <c r="W160" s="163">
        <f>Таблица32[[#This Row],[Столбец7]]*Таблица32[[#This Row],[Ishga kelish nazoratchi2]]%</f>
        <v>0</v>
      </c>
      <c r="X160" s="168">
        <f>Таблица32[[#This Row],[Столбец7]]*Таблица32[[#This Row],[Ishga vaqtida kelish ketish]]%</f>
        <v>0</v>
      </c>
      <c r="Y160" s="131">
        <f>Таблица32[[#This Row],[Столбец7]]*Таблица32[[#This Row],[Ishga kelish bank klient]]%</f>
        <v>0</v>
      </c>
      <c r="Z160" s="168">
        <f>Таблица32[[#This Row],[Столбец7]]*Таблица32[[#This Row],[Gruppa buxgalter]]%</f>
        <v>30000</v>
      </c>
      <c r="AA160" s="168">
        <f>Таблица32[[#This Row],[Столбец7]]*Таблица32[[#This Row],[Gruppa bank klient ]]%</f>
        <v>0</v>
      </c>
      <c r="AB160" s="168">
        <f>Таблица32[[#This Row],[1c]]*Таблица32[[#This Row],[Столбец7]]/100</f>
        <v>0</v>
      </c>
      <c r="AC160" s="181">
        <f>SUM(Таблица32[[#This Row],[Didox]:[ мехнат]],Таблица32[[#This Row],[Avtokameral]])*Таблица32[[#This Row],[Столбец7]]/100</f>
        <v>15000</v>
      </c>
      <c r="AD160" s="181">
        <f>SUM(Таблица32[[#This Row],[Pul oqimlari]:[Foyda va zarar]])*Таблица32[[#This Row],[Столбец7]]/100</f>
        <v>0</v>
      </c>
      <c r="AE160" s="168">
        <f>Таблица32[[#This Row],[Столбец7]]*Таблица32[[#This Row],[Nazoratchi]]%</f>
        <v>15000</v>
      </c>
      <c r="AF160" s="168">
        <f>Таблица32[[#This Row],[Ishga vaqtida kelish nazoratchi]]+Таблица32[[#This Row],[Nazoratchi2]]</f>
        <v>15000</v>
      </c>
      <c r="AG16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45000</v>
      </c>
      <c r="AH160" s="169">
        <f>Таблица32[[#This Row],[Ishga kelish bank klient3]]+Таблица32[[#This Row],[Gruppa bank klient 2]]</f>
        <v>0</v>
      </c>
    </row>
    <row r="161" spans="1:34" ht="18.75" x14ac:dyDescent="0.3">
      <c r="A161" s="130">
        <v>159</v>
      </c>
      <c r="B161" s="231" t="s">
        <v>439</v>
      </c>
      <c r="C161" s="106" t="s">
        <v>467</v>
      </c>
      <c r="D161" s="231"/>
      <c r="E161" s="233">
        <v>3000000</v>
      </c>
      <c r="F161" s="139" t="s">
        <v>218</v>
      </c>
      <c r="G161" s="206"/>
      <c r="H161" s="206"/>
      <c r="I161" s="216"/>
      <c r="J161" s="206">
        <v>1</v>
      </c>
      <c r="K161" s="206"/>
      <c r="L161" s="183">
        <v>0</v>
      </c>
      <c r="M161" s="183">
        <v>0.25</v>
      </c>
      <c r="N161" s="183"/>
      <c r="O161" s="183"/>
      <c r="P161" s="183">
        <v>0.25</v>
      </c>
      <c r="Q161" s="183">
        <v>0.2</v>
      </c>
      <c r="R161" s="183">
        <v>-0.2</v>
      </c>
      <c r="S161" s="183">
        <v>0.2</v>
      </c>
      <c r="T161" s="183">
        <v>0.2</v>
      </c>
      <c r="U161" s="183">
        <v>0.2</v>
      </c>
      <c r="V161" s="105">
        <v>0.5</v>
      </c>
      <c r="W161" s="163">
        <f>Таблица32[[#This Row],[Столбец7]]*Таблица32[[#This Row],[Ishga kelish nazoratchi2]]%</f>
        <v>0</v>
      </c>
      <c r="X161" s="168">
        <f>Таблица32[[#This Row],[Столбец7]]*Таблица32[[#This Row],[Ishga vaqtida kelish ketish]]%</f>
        <v>0</v>
      </c>
      <c r="Y161" s="131">
        <f>Таблица32[[#This Row],[Столбец7]]*Таблица32[[#This Row],[Ishga kelish bank klient]]%</f>
        <v>0</v>
      </c>
      <c r="Z161" s="168">
        <f>Таблица32[[#This Row],[Столбец7]]*Таблица32[[#This Row],[Gruppa buxgalter]]%</f>
        <v>30000</v>
      </c>
      <c r="AA161" s="168">
        <f>Таблица32[[#This Row],[Столбец7]]*Таблица32[[#This Row],[Gruppa bank klient ]]%</f>
        <v>0</v>
      </c>
      <c r="AB161" s="168">
        <f>Таблица32[[#This Row],[1c]]*Таблица32[[#This Row],[Столбец7]]/100</f>
        <v>0</v>
      </c>
      <c r="AC161" s="181">
        <f>SUM(Таблица32[[#This Row],[Didox]:[ мехнат]],Таблица32[[#This Row],[Avtokameral]])*Таблица32[[#This Row],[Столбец7]]/100</f>
        <v>15000</v>
      </c>
      <c r="AD161" s="181">
        <f>SUM(Таблица32[[#This Row],[Pul oqimlari]:[Foyda va zarar]])*Таблица32[[#This Row],[Столбец7]]/100</f>
        <v>18000.000000000004</v>
      </c>
      <c r="AE161" s="168">
        <f>Таблица32[[#This Row],[Столбец7]]*Таблица32[[#This Row],[Nazoratchi]]%</f>
        <v>15000</v>
      </c>
      <c r="AF161" s="168">
        <f>Таблица32[[#This Row],[Ishga vaqtida kelish nazoratchi]]+Таблица32[[#This Row],[Nazoratchi2]]</f>
        <v>15000</v>
      </c>
      <c r="AG16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63000</v>
      </c>
      <c r="AH161" s="169">
        <f>Таблица32[[#This Row],[Ishga kelish bank klient3]]+Таблица32[[#This Row],[Gruppa bank klient 2]]</f>
        <v>0</v>
      </c>
    </row>
    <row r="162" spans="1:34" ht="18.75" x14ac:dyDescent="0.3">
      <c r="A162" s="130">
        <v>160</v>
      </c>
      <c r="B162" s="243" t="s">
        <v>185</v>
      </c>
      <c r="C162" s="243" t="s">
        <v>308</v>
      </c>
      <c r="D162" s="243" t="s">
        <v>428</v>
      </c>
      <c r="E162" s="199">
        <v>2000000</v>
      </c>
      <c r="F162" s="119" t="s">
        <v>218</v>
      </c>
      <c r="G162" s="206">
        <v>0.9</v>
      </c>
      <c r="H162" s="206">
        <v>1</v>
      </c>
      <c r="I162" s="216"/>
      <c r="J162" s="206">
        <v>1</v>
      </c>
      <c r="K162" s="206">
        <v>1</v>
      </c>
      <c r="L162" s="183">
        <v>0.25</v>
      </c>
      <c r="M162" s="183">
        <v>0.25</v>
      </c>
      <c r="N162" s="183">
        <v>0.25</v>
      </c>
      <c r="O162" s="184"/>
      <c r="P162" s="183">
        <v>0.25</v>
      </c>
      <c r="Q162" s="183">
        <v>0.2</v>
      </c>
      <c r="R162" s="183">
        <v>0.2</v>
      </c>
      <c r="S162" s="183">
        <v>0.2</v>
      </c>
      <c r="T162" s="183">
        <v>0.2</v>
      </c>
      <c r="U162" s="183">
        <v>0.2</v>
      </c>
      <c r="V162" s="105">
        <v>0.5</v>
      </c>
      <c r="W162" s="163">
        <f>Таблица32[[#This Row],[Столбец7]]*Таблица32[[#This Row],[Ishga kelish nazoratchi2]]%</f>
        <v>0</v>
      </c>
      <c r="X162" s="168">
        <f>Таблица32[[#This Row],[Столбец7]]*Таблица32[[#This Row],[Ishga vaqtida kelish ketish]]%</f>
        <v>18000.000000000004</v>
      </c>
      <c r="Y162" s="134">
        <f>Таблица32[[#This Row],[Столбец7]]*Таблица32[[#This Row],[Ishga kelish bank klient]]%</f>
        <v>20000</v>
      </c>
      <c r="Z162" s="168">
        <f>Таблица32[[#This Row],[Столбец7]]*Таблица32[[#This Row],[Gruppa buxgalter]]%</f>
        <v>20000</v>
      </c>
      <c r="AA162" s="168">
        <f>Таблица32[[#This Row],[Столбец7]]*Таблица32[[#This Row],[Gruppa bank klient ]]%</f>
        <v>20000</v>
      </c>
      <c r="AB162" s="168">
        <f>Таблица32[[#This Row],[1c]]*Таблица32[[#This Row],[Столбец7]]/100</f>
        <v>0</v>
      </c>
      <c r="AC162" s="181">
        <f>SUM(Таблица32[[#This Row],[Didox]:[ мехнат]],Таблица32[[#This Row],[Avtokameral]])*Таблица32[[#This Row],[Столбец7]]/100</f>
        <v>20000</v>
      </c>
      <c r="AD162" s="181">
        <f>SUM(Таблица32[[#This Row],[Pul oqimlari]:[Foyda va zarar]])*Таблица32[[#This Row],[Столбец7]]/100</f>
        <v>20000</v>
      </c>
      <c r="AE162" s="168">
        <f>Таблица32[[#This Row],[Столбец7]]*Таблица32[[#This Row],[Nazoratchi]]%</f>
        <v>10000</v>
      </c>
      <c r="AF162" s="168">
        <f>Таблица32[[#This Row],[Ishga vaqtida kelish nazoratchi]]+Таблица32[[#This Row],[Nazoratchi2]]</f>
        <v>10000</v>
      </c>
      <c r="AG16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78000</v>
      </c>
      <c r="AH162" s="168">
        <f>Таблица32[[#This Row],[Ishga kelish bank klient3]]+Таблица32[[#This Row],[Gruppa bank klient 2]]</f>
        <v>40000</v>
      </c>
    </row>
    <row r="163" spans="1:34" ht="18.75" x14ac:dyDescent="0.3">
      <c r="A163" s="130">
        <v>161</v>
      </c>
      <c r="B163" s="231" t="s">
        <v>441</v>
      </c>
      <c r="C163" s="119" t="s">
        <v>468</v>
      </c>
      <c r="D163" s="231"/>
      <c r="E163" s="235">
        <v>500000</v>
      </c>
      <c r="F163" s="104" t="s">
        <v>238</v>
      </c>
      <c r="G163" s="206"/>
      <c r="H163" s="206"/>
      <c r="I163" s="216"/>
      <c r="J163" s="206">
        <v>1</v>
      </c>
      <c r="K163" s="206"/>
      <c r="L163" s="184">
        <v>0.25</v>
      </c>
      <c r="M163" s="184">
        <v>0.25</v>
      </c>
      <c r="N163" s="184"/>
      <c r="O163" s="184"/>
      <c r="P163" s="184">
        <v>0.25</v>
      </c>
      <c r="Q163" s="184">
        <v>0</v>
      </c>
      <c r="R163" s="184">
        <v>0.2</v>
      </c>
      <c r="S163" s="184">
        <v>0</v>
      </c>
      <c r="T163" s="184">
        <v>0</v>
      </c>
      <c r="U163" s="184">
        <v>0</v>
      </c>
      <c r="V163" s="105">
        <v>0.5</v>
      </c>
      <c r="W163" s="163">
        <f>Таблица32[[#This Row],[Столбец7]]*Таблица32[[#This Row],[Ishga kelish nazoratchi2]]%</f>
        <v>0</v>
      </c>
      <c r="X163" s="168">
        <f>Таблица32[[#This Row],[Столбец7]]*Таблица32[[#This Row],[Ishga vaqtida kelish ketish]]%</f>
        <v>0</v>
      </c>
      <c r="Y163" s="134">
        <f>Таблица32[[#This Row],[Столбец7]]*Таблица32[[#This Row],[Ishga kelish bank klient]]%</f>
        <v>0</v>
      </c>
      <c r="Z163" s="168">
        <f>Таблица32[[#This Row],[Столбец7]]*Таблица32[[#This Row],[Gruppa buxgalter]]%</f>
        <v>5000</v>
      </c>
      <c r="AA163" s="168">
        <f>Таблица32[[#This Row],[Столбец7]]*Таблица32[[#This Row],[Gruppa bank klient ]]%</f>
        <v>0</v>
      </c>
      <c r="AB163" s="168">
        <f>Таблица32[[#This Row],[1c]]*Таблица32[[#This Row],[Столбец7]]/100</f>
        <v>0</v>
      </c>
      <c r="AC163" s="181">
        <f>SUM(Таблица32[[#This Row],[Didox]:[ мехнат]],Таблица32[[#This Row],[Avtokameral]])*Таблица32[[#This Row],[Столбец7]]/100</f>
        <v>3750</v>
      </c>
      <c r="AD163" s="181">
        <f>SUM(Таблица32[[#This Row],[Pul oqimlari]:[Foyda va zarar]])*Таблица32[[#This Row],[Столбец7]]/100</f>
        <v>1000</v>
      </c>
      <c r="AE163" s="168">
        <f>Таблица32[[#This Row],[Столбец7]]*Таблица32[[#This Row],[Nazoratchi]]%</f>
        <v>2500</v>
      </c>
      <c r="AF163" s="168">
        <f>Таблица32[[#This Row],[Ishga vaqtida kelish nazoratchi]]+Таблица32[[#This Row],[Nazoratchi2]]</f>
        <v>2500</v>
      </c>
      <c r="AG16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9750</v>
      </c>
      <c r="AH163" s="168">
        <f>Таблица32[[#This Row],[Ishga kelish bank klient3]]+Таблица32[[#This Row],[Gruppa bank klient 2]]</f>
        <v>0</v>
      </c>
    </row>
    <row r="164" spans="1:34" ht="18.75" x14ac:dyDescent="0.3">
      <c r="A164" s="130">
        <v>162</v>
      </c>
      <c r="B164" s="231" t="s">
        <v>442</v>
      </c>
      <c r="C164" s="232" t="s">
        <v>219</v>
      </c>
      <c r="D164" s="231" t="s">
        <v>240</v>
      </c>
      <c r="E164" s="235">
        <v>1500000</v>
      </c>
      <c r="F164" s="234" t="s">
        <v>218</v>
      </c>
      <c r="G164" s="206"/>
      <c r="H164" s="206">
        <v>1</v>
      </c>
      <c r="I164" s="216"/>
      <c r="J164" s="206">
        <v>1</v>
      </c>
      <c r="K164" s="206">
        <v>1</v>
      </c>
      <c r="L164" s="184">
        <v>-0.25</v>
      </c>
      <c r="M164" s="184">
        <v>0.25</v>
      </c>
      <c r="N164" s="184"/>
      <c r="O164" s="184"/>
      <c r="P164" s="184">
        <v>-0.25</v>
      </c>
      <c r="Q164" s="184">
        <v>0</v>
      </c>
      <c r="R164" s="184">
        <v>0</v>
      </c>
      <c r="S164" s="184">
        <v>0.2</v>
      </c>
      <c r="T164" s="184">
        <v>0.2</v>
      </c>
      <c r="U164" s="184">
        <v>0</v>
      </c>
      <c r="V164" s="105">
        <v>0.5</v>
      </c>
      <c r="W164" s="163">
        <f>Таблица32[[#This Row],[Столбец7]]*Таблица32[[#This Row],[Ishga kelish nazoratchi2]]%</f>
        <v>0</v>
      </c>
      <c r="X164" s="168">
        <f>Таблица32[[#This Row],[Столбец7]]*Таблица32[[#This Row],[Ishga vaqtida kelish ketish]]%</f>
        <v>0</v>
      </c>
      <c r="Y164" s="134">
        <f>Таблица32[[#This Row],[Столбец7]]*Таблица32[[#This Row],[Ishga kelish bank klient]]%</f>
        <v>15000</v>
      </c>
      <c r="Z164" s="168">
        <f>Таблица32[[#This Row],[Столбец7]]*Таблица32[[#This Row],[Gruppa buxgalter]]%</f>
        <v>15000</v>
      </c>
      <c r="AA164" s="168">
        <f>Таблица32[[#This Row],[Столбец7]]*Таблица32[[#This Row],[Gruppa bank klient ]]%</f>
        <v>15000</v>
      </c>
      <c r="AB164" s="168">
        <f>Таблица32[[#This Row],[1c]]*Таблица32[[#This Row],[Столбец7]]/100</f>
        <v>0</v>
      </c>
      <c r="AC164" s="181">
        <f>SUM(Таблица32[[#This Row],[Didox]:[ мехнат]],Таблица32[[#This Row],[Avtokameral]])*Таблица32[[#This Row],[Столбец7]]/100</f>
        <v>-3750</v>
      </c>
      <c r="AD164" s="181">
        <f>SUM(Таблица32[[#This Row],[Pul oqimlari]:[Foyda va zarar]])*Таблица32[[#This Row],[Столбец7]]/100</f>
        <v>6000</v>
      </c>
      <c r="AE164" s="168">
        <f>Таблица32[[#This Row],[Столбец7]]*Таблица32[[#This Row],[Nazoratchi]]%</f>
        <v>7500</v>
      </c>
      <c r="AF164" s="168">
        <f>Таблица32[[#This Row],[Ishga vaqtida kelish nazoratchi]]+Таблица32[[#This Row],[Nazoratchi2]]</f>
        <v>7500</v>
      </c>
      <c r="AG16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17250</v>
      </c>
      <c r="AH164" s="168">
        <f>Таблица32[[#This Row],[Ishga kelish bank klient3]]+Таблица32[[#This Row],[Gruppa bank klient 2]]</f>
        <v>30000</v>
      </c>
    </row>
    <row r="165" spans="1:34" ht="18.75" x14ac:dyDescent="0.3">
      <c r="A165" s="130">
        <v>163</v>
      </c>
      <c r="B165" s="236" t="s">
        <v>443</v>
      </c>
      <c r="C165" s="106" t="s">
        <v>560</v>
      </c>
      <c r="D165" s="236" t="s">
        <v>240</v>
      </c>
      <c r="E165" s="238">
        <v>1000000</v>
      </c>
      <c r="F165" s="104" t="s">
        <v>238</v>
      </c>
      <c r="G165" s="206">
        <v>-6</v>
      </c>
      <c r="H165" s="206">
        <v>1</v>
      </c>
      <c r="I165" s="216"/>
      <c r="J165" s="206">
        <v>1</v>
      </c>
      <c r="K165" s="206">
        <v>1</v>
      </c>
      <c r="L165" s="183">
        <v>0.25</v>
      </c>
      <c r="M165" s="183">
        <v>0.25</v>
      </c>
      <c r="N165" s="184">
        <v>0.25</v>
      </c>
      <c r="O165" s="183"/>
      <c r="P165" s="183">
        <v>0.25</v>
      </c>
      <c r="Q165" s="183">
        <v>-0.2</v>
      </c>
      <c r="R165" s="183">
        <v>0.2</v>
      </c>
      <c r="S165" s="183">
        <v>0.2</v>
      </c>
      <c r="T165" s="183">
        <v>-0.2</v>
      </c>
      <c r="U165" s="183">
        <v>-0.2</v>
      </c>
      <c r="V165" s="105">
        <v>0.5</v>
      </c>
      <c r="W165" s="163">
        <f>Таблица32[[#This Row],[Столбец7]]*Таблица32[[#This Row],[Ishga kelish nazoratchi2]]%</f>
        <v>0</v>
      </c>
      <c r="X165" s="168">
        <f>Таблица32[[#This Row],[Столбец7]]*Таблица32[[#This Row],[Ishga vaqtida kelish ketish]]%</f>
        <v>-60000</v>
      </c>
      <c r="Y165" s="134">
        <f>Таблица32[[#This Row],[Столбец7]]*Таблица32[[#This Row],[Ishga kelish bank klient]]%</f>
        <v>10000</v>
      </c>
      <c r="Z165" s="168">
        <f>Таблица32[[#This Row],[Столбец7]]*Таблица32[[#This Row],[Gruppa buxgalter]]%</f>
        <v>10000</v>
      </c>
      <c r="AA165" s="168">
        <f>Таблица32[[#This Row],[Столбец7]]*Таблица32[[#This Row],[Gruppa bank klient ]]%</f>
        <v>10000</v>
      </c>
      <c r="AB165" s="168">
        <f>Таблица32[[#This Row],[1c]]*Таблица32[[#This Row],[Столбец7]]/100</f>
        <v>0</v>
      </c>
      <c r="AC165" s="181">
        <f>SUM(Таблица32[[#This Row],[Didox]:[ мехнат]],Таблица32[[#This Row],[Avtokameral]])*Таблица32[[#This Row],[Столбец7]]/100</f>
        <v>10000</v>
      </c>
      <c r="AD165" s="181">
        <f>SUM(Таблица32[[#This Row],[Pul oqimlari]:[Foyda va zarar]])*Таблица32[[#This Row],[Столбец7]]/100</f>
        <v>-2000</v>
      </c>
      <c r="AE165" s="168">
        <f>Таблица32[[#This Row],[Столбец7]]*Таблица32[[#This Row],[Nazoratchi]]%</f>
        <v>5000</v>
      </c>
      <c r="AF165" s="168">
        <f>Таблица32[[#This Row],[Ishga vaqtida kelish nazoratchi]]+Таблица32[[#This Row],[Nazoratchi2]]</f>
        <v>5000</v>
      </c>
      <c r="AG16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-42000</v>
      </c>
      <c r="AH165" s="168">
        <f>Таблица32[[#This Row],[Ishga kelish bank klient3]]+Таблица32[[#This Row],[Gruppa bank klient 2]]</f>
        <v>20000</v>
      </c>
    </row>
    <row r="166" spans="1:34" ht="18.75" x14ac:dyDescent="0.3">
      <c r="A166" s="130">
        <v>164</v>
      </c>
      <c r="B166" s="236" t="s">
        <v>444</v>
      </c>
      <c r="C166" s="237" t="s">
        <v>218</v>
      </c>
      <c r="D166" s="236"/>
      <c r="E166" s="241">
        <v>300000</v>
      </c>
      <c r="F166" s="239" t="s">
        <v>238</v>
      </c>
      <c r="G166" s="206">
        <v>0.05</v>
      </c>
      <c r="H166" s="206"/>
      <c r="I166" s="216"/>
      <c r="J166" s="206">
        <v>1</v>
      </c>
      <c r="K166" s="206"/>
      <c r="L166" s="183">
        <v>0</v>
      </c>
      <c r="M166" s="183">
        <v>0</v>
      </c>
      <c r="N166" s="183">
        <v>0</v>
      </c>
      <c r="O166" s="183"/>
      <c r="P166" s="183">
        <v>0</v>
      </c>
      <c r="Q166" s="184">
        <v>0</v>
      </c>
      <c r="R166" s="184">
        <v>0</v>
      </c>
      <c r="S166" s="184">
        <v>0</v>
      </c>
      <c r="T166" s="184">
        <v>0</v>
      </c>
      <c r="U166" s="184">
        <v>0</v>
      </c>
      <c r="V166" s="206">
        <v>0.5</v>
      </c>
      <c r="W166" s="163">
        <f>Таблица32[[#This Row],[Столбец7]]*Таблица32[[#This Row],[Ishga kelish nazoratchi2]]%</f>
        <v>0</v>
      </c>
      <c r="X166" s="168">
        <f>Таблица32[[#This Row],[Столбец7]]*Таблица32[[#This Row],[Ishga vaqtida kelish ketish]]%</f>
        <v>150</v>
      </c>
      <c r="Y166" s="134">
        <f>Таблица32[[#This Row],[Столбец7]]*Таблица32[[#This Row],[Ishga kelish bank klient]]%</f>
        <v>0</v>
      </c>
      <c r="Z166" s="168">
        <f>Таблица32[[#This Row],[Столбец7]]*Таблица32[[#This Row],[Gruppa buxgalter]]%</f>
        <v>3000</v>
      </c>
      <c r="AA166" s="168">
        <f>Таблица32[[#This Row],[Столбец7]]*Таблица32[[#This Row],[Gruppa bank klient ]]%</f>
        <v>0</v>
      </c>
      <c r="AB166" s="168">
        <f>Таблица32[[#This Row],[1c]]*Таблица32[[#This Row],[Столбец7]]/100</f>
        <v>0</v>
      </c>
      <c r="AC166" s="181">
        <f>SUM(Таблица32[[#This Row],[Didox]:[ мехнат]],Таблица32[[#This Row],[Avtokameral]])*Таблица32[[#This Row],[Столбец7]]/100</f>
        <v>0</v>
      </c>
      <c r="AD166" s="181">
        <f>SUM(Таблица32[[#This Row],[Pul oqimlari]:[Foyda va zarar]])*Таблица32[[#This Row],[Столбец7]]/100</f>
        <v>0</v>
      </c>
      <c r="AE166" s="168">
        <f>Таблица32[[#This Row],[Столбец7]]*Таблица32[[#This Row],[Nazoratchi]]%</f>
        <v>1500</v>
      </c>
      <c r="AF166" s="168">
        <f>Таблица32[[#This Row],[Ishga vaqtida kelish nazoratchi]]+Таблица32[[#This Row],[Nazoratchi2]]</f>
        <v>1500</v>
      </c>
      <c r="AG16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3150</v>
      </c>
      <c r="AH166" s="168">
        <f>Таблица32[[#This Row],[Ishga kelish bank klient3]]+Таблица32[[#This Row],[Gruppa bank klient 2]]</f>
        <v>0</v>
      </c>
    </row>
    <row r="167" spans="1:34" ht="18.75" x14ac:dyDescent="0.3">
      <c r="A167" s="130">
        <v>165</v>
      </c>
      <c r="B167" s="236" t="s">
        <v>449</v>
      </c>
      <c r="C167" s="237" t="s">
        <v>303</v>
      </c>
      <c r="D167" s="236" t="s">
        <v>326</v>
      </c>
      <c r="E167" s="240">
        <v>7000000</v>
      </c>
      <c r="F167" s="239" t="s">
        <v>218</v>
      </c>
      <c r="G167" s="206">
        <v>-0.25</v>
      </c>
      <c r="H167" s="206">
        <v>1</v>
      </c>
      <c r="I167" s="216"/>
      <c r="J167" s="206">
        <v>1</v>
      </c>
      <c r="K167" s="206">
        <v>1</v>
      </c>
      <c r="L167" s="183">
        <v>0</v>
      </c>
      <c r="M167" s="183">
        <v>0</v>
      </c>
      <c r="N167" s="183">
        <v>0</v>
      </c>
      <c r="O167" s="183"/>
      <c r="P167" s="183">
        <v>0</v>
      </c>
      <c r="Q167" s="184">
        <v>0</v>
      </c>
      <c r="R167" s="184">
        <v>0</v>
      </c>
      <c r="S167" s="184">
        <v>0</v>
      </c>
      <c r="T167" s="184">
        <v>0</v>
      </c>
      <c r="U167" s="184">
        <v>0</v>
      </c>
      <c r="V167" s="105">
        <v>0.5</v>
      </c>
      <c r="W167" s="163">
        <f>Таблица32[[#This Row],[Столбец7]]*Таблица32[[#This Row],[Ishga kelish nazoratchi2]]%</f>
        <v>0</v>
      </c>
      <c r="X167" s="168">
        <f>Таблица32[[#This Row],[Столбец7]]*Таблица32[[#This Row],[Ishga vaqtida kelish ketish]]%</f>
        <v>-17500</v>
      </c>
      <c r="Y167" s="134">
        <f>Таблица32[[#This Row],[Столбец7]]*Таблица32[[#This Row],[Ishga kelish bank klient]]%</f>
        <v>70000</v>
      </c>
      <c r="Z167" s="168">
        <f>Таблица32[[#This Row],[Столбец7]]*Таблица32[[#This Row],[Gruppa buxgalter]]%</f>
        <v>70000</v>
      </c>
      <c r="AA167" s="168">
        <f>Таблица32[[#This Row],[Столбец7]]*Таблица32[[#This Row],[Gruppa bank klient ]]%</f>
        <v>70000</v>
      </c>
      <c r="AB167" s="168">
        <f>Таблица32[[#This Row],[1c]]*Таблица32[[#This Row],[Столбец7]]/100</f>
        <v>0</v>
      </c>
      <c r="AC167" s="181">
        <f>SUM(Таблица32[[#This Row],[Didox]:[ мехнат]],Таблица32[[#This Row],[Avtokameral]])*Таблица32[[#This Row],[Столбец7]]/100</f>
        <v>0</v>
      </c>
      <c r="AD167" s="181">
        <f>SUM(Таблица32[[#This Row],[Pul oqimlari]:[Foyda va zarar]])*Таблица32[[#This Row],[Столбец7]]/100</f>
        <v>0</v>
      </c>
      <c r="AE167" s="168">
        <f>Таблица32[[#This Row],[Столбец7]]*Таблица32[[#This Row],[Nazoratchi]]%</f>
        <v>35000</v>
      </c>
      <c r="AF167" s="168">
        <f>Таблица32[[#This Row],[Ishga vaqtida kelish nazoratchi]]+Таблица32[[#This Row],[Nazoratchi2]]</f>
        <v>35000</v>
      </c>
      <c r="AG16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52500</v>
      </c>
      <c r="AH167" s="168">
        <f>Таблица32[[#This Row],[Ishga kelish bank klient3]]+Таблица32[[#This Row],[Gruppa bank klient 2]]</f>
        <v>140000</v>
      </c>
    </row>
    <row r="168" spans="1:34" ht="18.75" x14ac:dyDescent="0.3">
      <c r="A168" s="130">
        <v>166</v>
      </c>
      <c r="B168" s="236" t="s">
        <v>455</v>
      </c>
      <c r="C168" s="237" t="s">
        <v>467</v>
      </c>
      <c r="D168" s="236"/>
      <c r="E168" s="241">
        <v>5000000</v>
      </c>
      <c r="F168" s="239" t="s">
        <v>218</v>
      </c>
      <c r="G168" s="206"/>
      <c r="H168" s="206"/>
      <c r="I168" s="216"/>
      <c r="J168" s="206">
        <v>0</v>
      </c>
      <c r="K168" s="206"/>
      <c r="L168" s="183">
        <v>0</v>
      </c>
      <c r="M168" s="183">
        <v>0</v>
      </c>
      <c r="N168" s="183">
        <v>0</v>
      </c>
      <c r="O168" s="183"/>
      <c r="P168" s="183">
        <v>0</v>
      </c>
      <c r="Q168" s="183">
        <v>0</v>
      </c>
      <c r="R168" s="183">
        <v>0</v>
      </c>
      <c r="S168" s="183">
        <v>0</v>
      </c>
      <c r="T168" s="183">
        <v>0</v>
      </c>
      <c r="U168" s="183">
        <v>0</v>
      </c>
      <c r="V168" s="105">
        <v>0</v>
      </c>
      <c r="W168" s="163">
        <f>Таблица32[[#This Row],[Столбец7]]*Таблица32[[#This Row],[Ishga kelish nazoratchi2]]%</f>
        <v>0</v>
      </c>
      <c r="X168" s="168">
        <f>Таблица32[[#This Row],[Столбец7]]*Таблица32[[#This Row],[Ishga vaqtida kelish ketish]]%</f>
        <v>0</v>
      </c>
      <c r="Y168" s="134">
        <f>Таблица32[[#This Row],[Столбец7]]*Таблица32[[#This Row],[Ishga kelish bank klient]]%</f>
        <v>0</v>
      </c>
      <c r="Z168" s="168">
        <f>Таблица32[[#This Row],[Столбец7]]*Таблица32[[#This Row],[Gruppa buxgalter]]%</f>
        <v>0</v>
      </c>
      <c r="AA168" s="168">
        <f>Таблица32[[#This Row],[Столбец7]]*Таблица32[[#This Row],[Gruppa bank klient ]]%</f>
        <v>0</v>
      </c>
      <c r="AB168" s="168">
        <f>Таблица32[[#This Row],[1c]]*Таблица32[[#This Row],[Столбец7]]/100</f>
        <v>0</v>
      </c>
      <c r="AC168" s="181">
        <f>SUM(Таблица32[[#This Row],[Didox]:[ мехнат]],Таблица32[[#This Row],[Avtokameral]])*Таблица32[[#This Row],[Столбец7]]/100</f>
        <v>0</v>
      </c>
      <c r="AD168" s="181">
        <f>SUM(Таблица32[[#This Row],[Pul oqimlari]:[Foyda va zarar]])*Таблица32[[#This Row],[Столбец7]]/100</f>
        <v>0</v>
      </c>
      <c r="AE168" s="168">
        <f>Таблица32[[#This Row],[Столбец7]]*Таблица32[[#This Row],[Nazoratchi]]%</f>
        <v>0</v>
      </c>
      <c r="AF168" s="168">
        <f>Таблица32[[#This Row],[Ishga vaqtida kelish nazoratchi]]+Таблица32[[#This Row],[Nazoratchi2]]</f>
        <v>0</v>
      </c>
      <c r="AG16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68" s="168">
        <f>Таблица32[[#This Row],[Ishga kelish bank klient3]]+Таблица32[[#This Row],[Gruppa bank klient 2]]</f>
        <v>0</v>
      </c>
    </row>
    <row r="169" spans="1:34" ht="18.75" x14ac:dyDescent="0.3">
      <c r="A169" s="130">
        <v>167</v>
      </c>
      <c r="B169" s="236" t="s">
        <v>453</v>
      </c>
      <c r="C169" s="237" t="s">
        <v>467</v>
      </c>
      <c r="D169" s="236"/>
      <c r="E169" s="241">
        <v>15000000</v>
      </c>
      <c r="F169" s="239" t="s">
        <v>218</v>
      </c>
      <c r="G169" s="206"/>
      <c r="H169" s="206"/>
      <c r="I169" s="216"/>
      <c r="J169" s="206">
        <v>0</v>
      </c>
      <c r="K169" s="206"/>
      <c r="L169" s="183">
        <v>0</v>
      </c>
      <c r="M169" s="183">
        <v>0</v>
      </c>
      <c r="N169" s="183">
        <v>0</v>
      </c>
      <c r="O169" s="183"/>
      <c r="P169" s="183">
        <v>0</v>
      </c>
      <c r="Q169" s="183">
        <v>0</v>
      </c>
      <c r="R169" s="183">
        <v>0</v>
      </c>
      <c r="S169" s="183">
        <v>0</v>
      </c>
      <c r="T169" s="183">
        <v>0</v>
      </c>
      <c r="U169" s="183">
        <v>0</v>
      </c>
      <c r="V169" s="105">
        <v>0</v>
      </c>
      <c r="W169" s="163">
        <f>Таблица32[[#This Row],[Столбец7]]*Таблица32[[#This Row],[Ishga kelish nazoratchi2]]%</f>
        <v>0</v>
      </c>
      <c r="X169" s="168">
        <f>Таблица32[[#This Row],[Столбец7]]*Таблица32[[#This Row],[Ishga vaqtida kelish ketish]]%</f>
        <v>0</v>
      </c>
      <c r="Y169" s="134">
        <f>Таблица32[[#This Row],[Столбец7]]*Таблица32[[#This Row],[Ishga kelish bank klient]]%</f>
        <v>0</v>
      </c>
      <c r="Z169" s="168">
        <f>Таблица32[[#This Row],[Столбец7]]*Таблица32[[#This Row],[Gruppa buxgalter]]%</f>
        <v>0</v>
      </c>
      <c r="AA169" s="168">
        <f>Таблица32[[#This Row],[Столбец7]]*Таблица32[[#This Row],[Gruppa bank klient ]]%</f>
        <v>0</v>
      </c>
      <c r="AB169" s="168">
        <f>Таблица32[[#This Row],[1c]]*Таблица32[[#This Row],[Столбец7]]/100</f>
        <v>0</v>
      </c>
      <c r="AC169" s="181">
        <f>SUM(Таблица32[[#This Row],[Didox]:[ мехнат]],Таблица32[[#This Row],[Avtokameral]])*Таблица32[[#This Row],[Столбец7]]/100</f>
        <v>0</v>
      </c>
      <c r="AD169" s="181">
        <f>SUM(Таблица32[[#This Row],[Pul oqimlari]:[Foyda va zarar]])*Таблица32[[#This Row],[Столбец7]]/100</f>
        <v>0</v>
      </c>
      <c r="AE169" s="168">
        <f>Таблица32[[#This Row],[Столбец7]]*Таблица32[[#This Row],[Nazoratchi]]%</f>
        <v>0</v>
      </c>
      <c r="AF169" s="168">
        <f>Таблица32[[#This Row],[Ishga vaqtida kelish nazoratchi]]+Таблица32[[#This Row],[Nazoratchi2]]</f>
        <v>0</v>
      </c>
      <c r="AG16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69" s="168">
        <f>Таблица32[[#This Row],[Ishga kelish bank klient3]]+Таблица32[[#This Row],[Gruppa bank klient 2]]</f>
        <v>0</v>
      </c>
    </row>
    <row r="170" spans="1:34" ht="18.75" x14ac:dyDescent="0.3">
      <c r="A170" s="130">
        <v>168</v>
      </c>
      <c r="B170" s="236" t="s">
        <v>452</v>
      </c>
      <c r="C170" s="237" t="s">
        <v>467</v>
      </c>
      <c r="D170" s="236"/>
      <c r="E170" s="241">
        <v>5000000</v>
      </c>
      <c r="F170" s="239" t="s">
        <v>218</v>
      </c>
      <c r="G170" s="206"/>
      <c r="H170" s="206"/>
      <c r="I170" s="216"/>
      <c r="J170" s="206">
        <v>0</v>
      </c>
      <c r="K170" s="206"/>
      <c r="L170" s="183">
        <v>0</v>
      </c>
      <c r="M170" s="183">
        <v>0</v>
      </c>
      <c r="N170" s="183">
        <v>0</v>
      </c>
      <c r="O170" s="183"/>
      <c r="P170" s="183">
        <v>0</v>
      </c>
      <c r="Q170" s="183">
        <v>0</v>
      </c>
      <c r="R170" s="183">
        <v>0</v>
      </c>
      <c r="S170" s="183">
        <v>0</v>
      </c>
      <c r="T170" s="183">
        <v>0</v>
      </c>
      <c r="U170" s="183">
        <v>0</v>
      </c>
      <c r="V170" s="206">
        <v>0</v>
      </c>
      <c r="W170" s="163">
        <f>Таблица32[[#This Row],[Столбец7]]*Таблица32[[#This Row],[Ishga kelish nazoratchi2]]%</f>
        <v>0</v>
      </c>
      <c r="X170" s="168">
        <f>Таблица32[[#This Row],[Столбец7]]*Таблица32[[#This Row],[Ishga vaqtida kelish ketish]]%</f>
        <v>0</v>
      </c>
      <c r="Y170" s="134">
        <f>Таблица32[[#This Row],[Столбец7]]*Таблица32[[#This Row],[Ishga kelish bank klient]]%</f>
        <v>0</v>
      </c>
      <c r="Z170" s="168">
        <f>Таблица32[[#This Row],[Столбец7]]*Таблица32[[#This Row],[Gruppa buxgalter]]%</f>
        <v>0</v>
      </c>
      <c r="AA170" s="168">
        <f>Таблица32[[#This Row],[Столбец7]]*Таблица32[[#This Row],[Gruppa bank klient ]]%</f>
        <v>0</v>
      </c>
      <c r="AB170" s="168">
        <f>Таблица32[[#This Row],[1c]]*Таблица32[[#This Row],[Столбец7]]/100</f>
        <v>0</v>
      </c>
      <c r="AC170" s="181">
        <f>SUM(Таблица32[[#This Row],[Didox]:[ мехнат]],Таблица32[[#This Row],[Avtokameral]])*Таблица32[[#This Row],[Столбец7]]/100</f>
        <v>0</v>
      </c>
      <c r="AD170" s="181">
        <f>SUM(Таблица32[[#This Row],[Pul oqimlari]:[Foyda va zarar]])*Таблица32[[#This Row],[Столбец7]]/100</f>
        <v>0</v>
      </c>
      <c r="AE170" s="168">
        <f>Таблица32[[#This Row],[Столбец7]]*Таблица32[[#This Row],[Nazoratchi]]%</f>
        <v>0</v>
      </c>
      <c r="AF170" s="168">
        <f>Таблица32[[#This Row],[Ishga vaqtida kelish nazoratchi]]+Таблица32[[#This Row],[Nazoratchi2]]</f>
        <v>0</v>
      </c>
      <c r="AG17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70" s="168">
        <f>Таблица32[[#This Row],[Ishga kelish bank klient3]]+Таблица32[[#This Row],[Gruppa bank klient 2]]</f>
        <v>0</v>
      </c>
    </row>
    <row r="171" spans="1:34" ht="18.75" x14ac:dyDescent="0.3">
      <c r="A171" s="130">
        <v>169</v>
      </c>
      <c r="B171" s="236" t="s">
        <v>456</v>
      </c>
      <c r="C171" s="106" t="s">
        <v>560</v>
      </c>
      <c r="D171" s="236"/>
      <c r="E171" s="238">
        <v>500000</v>
      </c>
      <c r="F171" s="104" t="s">
        <v>238</v>
      </c>
      <c r="G171" s="206">
        <v>-6</v>
      </c>
      <c r="H171" s="206"/>
      <c r="I171" s="216"/>
      <c r="J171" s="206">
        <v>1</v>
      </c>
      <c r="K171" s="206"/>
      <c r="L171" s="183">
        <v>0</v>
      </c>
      <c r="M171" s="183">
        <v>0</v>
      </c>
      <c r="N171" s="183">
        <v>0</v>
      </c>
      <c r="O171" s="183"/>
      <c r="P171" s="183">
        <v>0</v>
      </c>
      <c r="Q171" s="183">
        <v>0</v>
      </c>
      <c r="R171" s="183">
        <v>0</v>
      </c>
      <c r="S171" s="183">
        <v>0</v>
      </c>
      <c r="T171" s="183">
        <v>0</v>
      </c>
      <c r="U171" s="183">
        <v>0</v>
      </c>
      <c r="V171" s="105">
        <v>0.5</v>
      </c>
      <c r="W171" s="163">
        <f>Таблица32[[#This Row],[Столбец7]]*Таблица32[[#This Row],[Ishga kelish nazoratchi2]]%</f>
        <v>0</v>
      </c>
      <c r="X171" s="168">
        <f>Таблица32[[#This Row],[Столбец7]]*Таблица32[[#This Row],[Ishga vaqtida kelish ketish]]%</f>
        <v>-30000</v>
      </c>
      <c r="Y171" s="134">
        <f>Таблица32[[#This Row],[Столбец7]]*Таблица32[[#This Row],[Ishga kelish bank klient]]%</f>
        <v>0</v>
      </c>
      <c r="Z171" s="168">
        <f>Таблица32[[#This Row],[Столбец7]]*Таблица32[[#This Row],[Gruppa buxgalter]]%</f>
        <v>5000</v>
      </c>
      <c r="AA171" s="168">
        <f>Таблица32[[#This Row],[Столбец7]]*Таблица32[[#This Row],[Gruppa bank klient ]]%</f>
        <v>0</v>
      </c>
      <c r="AB171" s="168">
        <f>Таблица32[[#This Row],[1c]]*Таблица32[[#This Row],[Столбец7]]/100</f>
        <v>0</v>
      </c>
      <c r="AC171" s="181">
        <f>SUM(Таблица32[[#This Row],[Didox]:[ мехнат]],Таблица32[[#This Row],[Avtokameral]])*Таблица32[[#This Row],[Столбец7]]/100</f>
        <v>0</v>
      </c>
      <c r="AD171" s="181">
        <f>SUM(Таблица32[[#This Row],[Pul oqimlari]:[Foyda va zarar]])*Таблица32[[#This Row],[Столбец7]]/100</f>
        <v>0</v>
      </c>
      <c r="AE171" s="168">
        <f>Таблица32[[#This Row],[Столбец7]]*Таблица32[[#This Row],[Nazoratchi]]%</f>
        <v>2500</v>
      </c>
      <c r="AF171" s="168">
        <f>Таблица32[[#This Row],[Ishga vaqtida kelish nazoratchi]]+Таблица32[[#This Row],[Nazoratchi2]]</f>
        <v>2500</v>
      </c>
      <c r="AG17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-25000</v>
      </c>
      <c r="AH171" s="168">
        <f>Таблица32[[#This Row],[Ishga kelish bank klient3]]+Таблица32[[#This Row],[Gruppa bank klient 2]]</f>
        <v>0</v>
      </c>
    </row>
    <row r="172" spans="1:34" ht="18.75" x14ac:dyDescent="0.3">
      <c r="A172" s="130">
        <v>170</v>
      </c>
      <c r="B172" s="236" t="s">
        <v>454</v>
      </c>
      <c r="C172" s="237" t="s">
        <v>467</v>
      </c>
      <c r="D172" s="236"/>
      <c r="E172" s="238">
        <v>0</v>
      </c>
      <c r="F172" s="239" t="s">
        <v>218</v>
      </c>
      <c r="G172" s="206"/>
      <c r="H172" s="206"/>
      <c r="I172" s="216"/>
      <c r="J172" s="206">
        <v>0</v>
      </c>
      <c r="K172" s="206"/>
      <c r="L172" s="183">
        <v>0</v>
      </c>
      <c r="M172" s="183">
        <v>0</v>
      </c>
      <c r="N172" s="183">
        <v>0</v>
      </c>
      <c r="O172" s="183"/>
      <c r="P172" s="183">
        <v>0</v>
      </c>
      <c r="Q172" s="183">
        <v>0</v>
      </c>
      <c r="R172" s="183">
        <v>0</v>
      </c>
      <c r="S172" s="183">
        <v>0</v>
      </c>
      <c r="T172" s="183">
        <v>0</v>
      </c>
      <c r="U172" s="183">
        <v>0</v>
      </c>
      <c r="V172" s="105">
        <v>0</v>
      </c>
      <c r="W172" s="163">
        <f>Таблица32[[#This Row],[Столбец7]]*Таблица32[[#This Row],[Ishga kelish nazoratchi2]]%</f>
        <v>0</v>
      </c>
      <c r="X172" s="168">
        <f>Таблица32[[#This Row],[Столбец7]]*Таблица32[[#This Row],[Ishga vaqtida kelish ketish]]%</f>
        <v>0</v>
      </c>
      <c r="Y172" s="134">
        <f>Таблица32[[#This Row],[Столбец7]]*Таблица32[[#This Row],[Ishga kelish bank klient]]%</f>
        <v>0</v>
      </c>
      <c r="Z172" s="168">
        <f>Таблица32[[#This Row],[Столбец7]]*Таблица32[[#This Row],[Gruppa buxgalter]]%</f>
        <v>0</v>
      </c>
      <c r="AA172" s="168">
        <f>Таблица32[[#This Row],[Столбец7]]*Таблица32[[#This Row],[Gruppa bank klient ]]%</f>
        <v>0</v>
      </c>
      <c r="AB172" s="168">
        <f>Таблица32[[#This Row],[1c]]*Таблица32[[#This Row],[Столбец7]]/100</f>
        <v>0</v>
      </c>
      <c r="AC172" s="181">
        <f>SUM(Таблица32[[#This Row],[Didox]:[ мехнат]],Таблица32[[#This Row],[Avtokameral]])*Таблица32[[#This Row],[Столбец7]]/100</f>
        <v>0</v>
      </c>
      <c r="AD172" s="181">
        <f>SUM(Таблица32[[#This Row],[Pul oqimlari]:[Foyda va zarar]])*Таблица32[[#This Row],[Столбец7]]/100</f>
        <v>0</v>
      </c>
      <c r="AE172" s="168">
        <f>Таблица32[[#This Row],[Столбец7]]*Таблица32[[#This Row],[Nazoratchi]]%</f>
        <v>0</v>
      </c>
      <c r="AF172" s="168">
        <f>Таблица32[[#This Row],[Ishga vaqtida kelish nazoratchi]]+Таблица32[[#This Row],[Nazoratchi2]]</f>
        <v>0</v>
      </c>
      <c r="AG17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72" s="168">
        <f>Таблица32[[#This Row],[Ishga kelish bank klient3]]+Таблица32[[#This Row],[Gruppa bank klient 2]]</f>
        <v>0</v>
      </c>
    </row>
    <row r="173" spans="1:34" ht="18.75" x14ac:dyDescent="0.3">
      <c r="A173" s="130">
        <v>171</v>
      </c>
      <c r="B173" s="236" t="s">
        <v>457</v>
      </c>
      <c r="C173" s="237" t="s">
        <v>219</v>
      </c>
      <c r="D173" s="236"/>
      <c r="E173" s="238">
        <v>600000</v>
      </c>
      <c r="F173" s="239" t="s">
        <v>218</v>
      </c>
      <c r="G173" s="206"/>
      <c r="H173" s="206"/>
      <c r="I173" s="216"/>
      <c r="J173" s="206">
        <v>1</v>
      </c>
      <c r="K173" s="206"/>
      <c r="L173" s="183">
        <v>0.25</v>
      </c>
      <c r="M173" s="183">
        <v>0.25</v>
      </c>
      <c r="N173" s="184"/>
      <c r="O173" s="183"/>
      <c r="P173" s="183">
        <v>0.25</v>
      </c>
      <c r="Q173" s="183">
        <v>0</v>
      </c>
      <c r="R173" s="183">
        <v>0.2</v>
      </c>
      <c r="S173" s="183">
        <v>0</v>
      </c>
      <c r="T173" s="183">
        <v>0</v>
      </c>
      <c r="U173" s="183">
        <v>0</v>
      </c>
      <c r="V173" s="105">
        <v>0.5</v>
      </c>
      <c r="W173" s="163">
        <f>Таблица32[[#This Row],[Столбец7]]*Таблица32[[#This Row],[Ishga kelish nazoratchi2]]%</f>
        <v>0</v>
      </c>
      <c r="X173" s="168">
        <f>Таблица32[[#This Row],[Столбец7]]*Таблица32[[#This Row],[Ishga vaqtida kelish ketish]]%</f>
        <v>0</v>
      </c>
      <c r="Y173" s="134">
        <f>Таблица32[[#This Row],[Столбец7]]*Таблица32[[#This Row],[Ishga kelish bank klient]]%</f>
        <v>0</v>
      </c>
      <c r="Z173" s="168">
        <f>Таблица32[[#This Row],[Столбец7]]*Таблица32[[#This Row],[Gruppa buxgalter]]%</f>
        <v>6000</v>
      </c>
      <c r="AA173" s="168">
        <f>Таблица32[[#This Row],[Столбец7]]*Таблица32[[#This Row],[Gruppa bank klient ]]%</f>
        <v>0</v>
      </c>
      <c r="AB173" s="168">
        <f>Таблица32[[#This Row],[1c]]*Таблица32[[#This Row],[Столбец7]]/100</f>
        <v>0</v>
      </c>
      <c r="AC173" s="181">
        <f>SUM(Таблица32[[#This Row],[Didox]:[ мехнат]],Таблица32[[#This Row],[Avtokameral]])*Таблица32[[#This Row],[Столбец7]]/100</f>
        <v>4500</v>
      </c>
      <c r="AD173" s="181">
        <f>SUM(Таблица32[[#This Row],[Pul oqimlari]:[Foyda va zarar]])*Таблица32[[#This Row],[Столбец7]]/100</f>
        <v>1200</v>
      </c>
      <c r="AE173" s="168">
        <f>Таблица32[[#This Row],[Столбец7]]*Таблица32[[#This Row],[Nazoratchi]]%</f>
        <v>3000</v>
      </c>
      <c r="AF173" s="168">
        <f>Таблица32[[#This Row],[Ishga vaqtida kelish nazoratchi]]+Таблица32[[#This Row],[Nazoratchi2]]</f>
        <v>3000</v>
      </c>
      <c r="AG17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11700</v>
      </c>
      <c r="AH173" s="168">
        <f>Таблица32[[#This Row],[Ishga kelish bank klient3]]+Таблица32[[#This Row],[Gruppa bank klient 2]]</f>
        <v>0</v>
      </c>
    </row>
    <row r="174" spans="1:34" ht="18.75" x14ac:dyDescent="0.3">
      <c r="A174" s="130">
        <v>172</v>
      </c>
      <c r="B174" s="236" t="s">
        <v>458</v>
      </c>
      <c r="C174" s="237" t="s">
        <v>219</v>
      </c>
      <c r="D174" s="236" t="s">
        <v>428</v>
      </c>
      <c r="E174" s="238">
        <v>2000000</v>
      </c>
      <c r="F174" s="239" t="s">
        <v>218</v>
      </c>
      <c r="G174" s="206"/>
      <c r="H174" s="206">
        <v>1</v>
      </c>
      <c r="I174" s="216"/>
      <c r="J174" s="206">
        <v>1</v>
      </c>
      <c r="K174" s="206">
        <v>1</v>
      </c>
      <c r="L174" s="184">
        <v>0.25</v>
      </c>
      <c r="M174" s="184">
        <v>0.25</v>
      </c>
      <c r="N174" s="184">
        <v>0.25</v>
      </c>
      <c r="O174" s="184"/>
      <c r="P174" s="184">
        <v>0.25</v>
      </c>
      <c r="Q174" s="184">
        <v>0</v>
      </c>
      <c r="R174" s="184">
        <v>-0.2</v>
      </c>
      <c r="S174" s="184">
        <v>0</v>
      </c>
      <c r="T174" s="184">
        <v>-0.2</v>
      </c>
      <c r="U174" s="184">
        <v>0</v>
      </c>
      <c r="V174" s="105">
        <v>0.5</v>
      </c>
      <c r="W174" s="163">
        <f>Таблица32[[#This Row],[Столбец7]]*Таблица32[[#This Row],[Ishga kelish nazoratchi2]]%</f>
        <v>0</v>
      </c>
      <c r="X174" s="168">
        <f>Таблица32[[#This Row],[Столбец7]]*Таблица32[[#This Row],[Ishga vaqtida kelish ketish]]%</f>
        <v>0</v>
      </c>
      <c r="Y174" s="134">
        <f>Таблица32[[#This Row],[Столбец7]]*Таблица32[[#This Row],[Ishga kelish bank klient]]%</f>
        <v>20000</v>
      </c>
      <c r="Z174" s="168">
        <f>Таблица32[[#This Row],[Столбец7]]*Таблица32[[#This Row],[Gruppa buxgalter]]%</f>
        <v>20000</v>
      </c>
      <c r="AA174" s="168">
        <f>Таблица32[[#This Row],[Столбец7]]*Таблица32[[#This Row],[Gruppa bank klient ]]%</f>
        <v>20000</v>
      </c>
      <c r="AB174" s="168">
        <f>Таблица32[[#This Row],[1c]]*Таблица32[[#This Row],[Столбец7]]/100</f>
        <v>0</v>
      </c>
      <c r="AC174" s="181">
        <f>SUM(Таблица32[[#This Row],[Didox]:[ мехнат]],Таблица32[[#This Row],[Avtokameral]])*Таблица32[[#This Row],[Столбец7]]/100</f>
        <v>20000</v>
      </c>
      <c r="AD174" s="181">
        <f>SUM(Таблица32[[#This Row],[Pul oqimlari]:[Foyda va zarar]])*Таблица32[[#This Row],[Столбец7]]/100</f>
        <v>-8000</v>
      </c>
      <c r="AE174" s="168">
        <f>Таблица32[[#This Row],[Столбец7]]*Таблица32[[#This Row],[Nazoratchi]]%</f>
        <v>10000</v>
      </c>
      <c r="AF174" s="168">
        <f>Таблица32[[#This Row],[Ishga vaqtida kelish nazoratchi]]+Таблица32[[#This Row],[Nazoratchi2]]</f>
        <v>10000</v>
      </c>
      <c r="AG17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32000</v>
      </c>
      <c r="AH174" s="168">
        <f>Таблица32[[#This Row],[Ishga kelish bank klient3]]+Таблица32[[#This Row],[Gruppa bank klient 2]]</f>
        <v>40000</v>
      </c>
    </row>
    <row r="175" spans="1:34" ht="18.75" x14ac:dyDescent="0.3">
      <c r="A175" s="130">
        <v>173</v>
      </c>
      <c r="B175" s="236" t="s">
        <v>459</v>
      </c>
      <c r="C175" s="237" t="s">
        <v>468</v>
      </c>
      <c r="D175" s="236"/>
      <c r="E175" s="238">
        <v>500000</v>
      </c>
      <c r="F175" s="239" t="s">
        <v>238</v>
      </c>
      <c r="G175" s="206"/>
      <c r="H175" s="212"/>
      <c r="I175" s="216"/>
      <c r="J175" s="206">
        <v>1</v>
      </c>
      <c r="K175" s="206"/>
      <c r="L175" s="184">
        <v>0</v>
      </c>
      <c r="M175" s="184">
        <v>0.25</v>
      </c>
      <c r="N175" s="184"/>
      <c r="O175" s="184"/>
      <c r="P175" s="184">
        <v>0.25</v>
      </c>
      <c r="Q175" s="184">
        <v>0</v>
      </c>
      <c r="R175" s="184">
        <v>0</v>
      </c>
      <c r="S175" s="184">
        <v>0</v>
      </c>
      <c r="T175" s="184">
        <v>0</v>
      </c>
      <c r="U175" s="184">
        <v>0</v>
      </c>
      <c r="V175" s="105">
        <v>0.5</v>
      </c>
      <c r="W175" s="163">
        <f>Таблица32[[#This Row],[Столбец7]]*Таблица32[[#This Row],[Ishga kelish nazoratchi2]]%</f>
        <v>0</v>
      </c>
      <c r="X175" s="168">
        <f>Таблица32[[#This Row],[Столбец7]]*Таблица32[[#This Row],[Ishga vaqtida kelish ketish]]%</f>
        <v>0</v>
      </c>
      <c r="Y175" s="134">
        <f>Таблица32[[#This Row],[Столбец7]]*Таблица32[[#This Row],[Ishga kelish bank klient]]%</f>
        <v>0</v>
      </c>
      <c r="Z175" s="168">
        <f>Таблица32[[#This Row],[Столбец7]]*Таблица32[[#This Row],[Gruppa buxgalter]]%</f>
        <v>5000</v>
      </c>
      <c r="AA175" s="168">
        <f>Таблица32[[#This Row],[Столбец7]]*Таблица32[[#This Row],[Gruppa bank klient ]]%</f>
        <v>0</v>
      </c>
      <c r="AB175" s="168">
        <f>Таблица32[[#This Row],[1c]]*Таблица32[[#This Row],[Столбец7]]/100</f>
        <v>0</v>
      </c>
      <c r="AC175" s="181">
        <f>SUM(Таблица32[[#This Row],[Didox]:[ мехнат]],Таблица32[[#This Row],[Avtokameral]])*Таблица32[[#This Row],[Столбец7]]/100</f>
        <v>2500</v>
      </c>
      <c r="AD175" s="196">
        <f>SUM(Таблица32[[#This Row],[Pul oqimlari]:[Foyda va zarar]])*Таблица32[[#This Row],[Столбец7]]/100</f>
        <v>0</v>
      </c>
      <c r="AE175" s="197">
        <f>Таблица32[[#This Row],[Столбец7]]*Таблица32[[#This Row],[Nazoratchi]]%</f>
        <v>2500</v>
      </c>
      <c r="AF175" s="168">
        <f>Таблица32[[#This Row],[Ishga vaqtida kelish nazoratchi]]+Таблица32[[#This Row],[Nazoratchi2]]</f>
        <v>2500</v>
      </c>
      <c r="AG17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7500</v>
      </c>
      <c r="AH175" s="168">
        <f>Таблица32[[#This Row],[Ishga kelish bank klient3]]+Таблица32[[#This Row],[Gruppa bank klient 2]]</f>
        <v>0</v>
      </c>
    </row>
    <row r="176" spans="1:34" ht="18.75" x14ac:dyDescent="0.3">
      <c r="A176" s="130">
        <v>174</v>
      </c>
      <c r="B176" s="248" t="s">
        <v>460</v>
      </c>
      <c r="C176" s="249" t="s">
        <v>335</v>
      </c>
      <c r="D176" s="248" t="s">
        <v>240</v>
      </c>
      <c r="E176" s="250">
        <v>1000000</v>
      </c>
      <c r="F176" s="239" t="s">
        <v>218</v>
      </c>
      <c r="G176" s="206">
        <v>-0.35</v>
      </c>
      <c r="H176" s="206">
        <v>1</v>
      </c>
      <c r="I176" s="216"/>
      <c r="J176" s="206">
        <v>1</v>
      </c>
      <c r="K176" s="206">
        <v>1</v>
      </c>
      <c r="L176" s="184">
        <v>0.25</v>
      </c>
      <c r="M176" s="184">
        <v>-0.25</v>
      </c>
      <c r="N176" s="184"/>
      <c r="O176" s="184">
        <v>1</v>
      </c>
      <c r="P176" s="184">
        <v>0.25</v>
      </c>
      <c r="Q176" s="183">
        <v>0.2</v>
      </c>
      <c r="R176" s="183">
        <v>0.2</v>
      </c>
      <c r="S176" s="183">
        <v>0.2</v>
      </c>
      <c r="T176" s="183">
        <v>0.2</v>
      </c>
      <c r="U176" s="183">
        <v>0.2</v>
      </c>
      <c r="V176" s="105">
        <v>0.5</v>
      </c>
      <c r="W176" s="163">
        <f>Таблица32[[#This Row],[Столбец7]]*Таблица32[[#This Row],[Ishga kelish nazoratchi2]]%</f>
        <v>0</v>
      </c>
      <c r="X176" s="168">
        <f>Таблица32[[#This Row],[Столбец7]]*Таблица32[[#This Row],[Ishga vaqtida kelish ketish]]%</f>
        <v>-3499.9999999999995</v>
      </c>
      <c r="Y176" s="134">
        <f>Таблица32[[#This Row],[Столбец7]]*Таблица32[[#This Row],[Ishga kelish bank klient]]%</f>
        <v>10000</v>
      </c>
      <c r="Z176" s="168">
        <f>Таблица32[[#This Row],[Столбец7]]*Таблица32[[#This Row],[Gruppa buxgalter]]%</f>
        <v>10000</v>
      </c>
      <c r="AA176" s="168">
        <f>Таблица32[[#This Row],[Столбец7]]*Таблица32[[#This Row],[Gruppa bank klient ]]%</f>
        <v>10000</v>
      </c>
      <c r="AB176" s="168">
        <f>Таблица32[[#This Row],[1c]]*Таблица32[[#This Row],[Столбец7]]/100</f>
        <v>10000</v>
      </c>
      <c r="AC176" s="181">
        <f>SUM(Таблица32[[#This Row],[Didox]:[ мехнат]],Таблица32[[#This Row],[Avtokameral]])*Таблица32[[#This Row],[Столбец7]]/100</f>
        <v>2500</v>
      </c>
      <c r="AD176" s="196">
        <f>SUM(Таблица32[[#This Row],[Pul oqimlari]:[Foyda va zarar]])*Таблица32[[#This Row],[Столбец7]]/100</f>
        <v>10000</v>
      </c>
      <c r="AE176" s="197">
        <f>Таблица32[[#This Row],[Столбец7]]*Таблица32[[#This Row],[Nazoratchi]]%</f>
        <v>5000</v>
      </c>
      <c r="AF176" s="168">
        <f>Таблица32[[#This Row],[Ishga vaqtida kelish nazoratchi]]+Таблица32[[#This Row],[Nazoratchi2]]</f>
        <v>5000</v>
      </c>
      <c r="AG17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176" s="168">
        <f>Таблица32[[#This Row],[Ishga kelish bank klient3]]+Таблица32[[#This Row],[Gruppa bank klient 2]]</f>
        <v>20000</v>
      </c>
    </row>
    <row r="177" spans="1:34" ht="18.75" x14ac:dyDescent="0.3">
      <c r="A177" s="130">
        <v>175</v>
      </c>
      <c r="B177" s="248" t="s">
        <v>461</v>
      </c>
      <c r="C177" s="249" t="s">
        <v>335</v>
      </c>
      <c r="D177" s="248" t="s">
        <v>240</v>
      </c>
      <c r="E177" s="250">
        <v>1000000</v>
      </c>
      <c r="F177" s="239" t="s">
        <v>218</v>
      </c>
      <c r="G177" s="206">
        <v>-0.35</v>
      </c>
      <c r="H177" s="206">
        <v>1</v>
      </c>
      <c r="I177" s="216"/>
      <c r="J177" s="206">
        <v>1</v>
      </c>
      <c r="K177" s="206">
        <v>1</v>
      </c>
      <c r="L177" s="184">
        <v>0.25</v>
      </c>
      <c r="M177" s="184">
        <v>-0.25</v>
      </c>
      <c r="N177" s="184"/>
      <c r="O177" s="184">
        <v>1</v>
      </c>
      <c r="P177" s="184">
        <v>0.25</v>
      </c>
      <c r="Q177" s="183">
        <v>0.2</v>
      </c>
      <c r="R177" s="183">
        <v>0.2</v>
      </c>
      <c r="S177" s="183">
        <v>0.2</v>
      </c>
      <c r="T177" s="183">
        <v>0.2</v>
      </c>
      <c r="U177" s="183">
        <v>0.2</v>
      </c>
      <c r="V177" s="105">
        <v>0.5</v>
      </c>
      <c r="W177" s="163">
        <f>Таблица32[[#This Row],[Столбец7]]*Таблица32[[#This Row],[Ishga kelish nazoratchi2]]%</f>
        <v>0</v>
      </c>
      <c r="X177" s="168">
        <f>Таблица32[[#This Row],[Столбец7]]*Таблица32[[#This Row],[Ishga vaqtida kelish ketish]]%</f>
        <v>-3499.9999999999995</v>
      </c>
      <c r="Y177" s="134">
        <f>Таблица32[[#This Row],[Столбец7]]*Таблица32[[#This Row],[Ishga kelish bank klient]]%</f>
        <v>10000</v>
      </c>
      <c r="Z177" s="168">
        <f>Таблица32[[#This Row],[Столбец7]]*Таблица32[[#This Row],[Gruppa buxgalter]]%</f>
        <v>10000</v>
      </c>
      <c r="AA177" s="168">
        <f>Таблица32[[#This Row],[Столбец7]]*Таблица32[[#This Row],[Gruppa bank klient ]]%</f>
        <v>10000</v>
      </c>
      <c r="AB177" s="168">
        <f>Таблица32[[#This Row],[1c]]*Таблица32[[#This Row],[Столбец7]]/100</f>
        <v>10000</v>
      </c>
      <c r="AC177" s="181">
        <f>SUM(Таблица32[[#This Row],[Didox]:[ мехнат]],Таблица32[[#This Row],[Avtokameral]])*Таблица32[[#This Row],[Столбец7]]/100</f>
        <v>2500</v>
      </c>
      <c r="AD177" s="196">
        <f>SUM(Таблица32[[#This Row],[Pul oqimlari]:[Foyda va zarar]])*Таблица32[[#This Row],[Столбец7]]/100</f>
        <v>10000</v>
      </c>
      <c r="AE177" s="197">
        <f>Таблица32[[#This Row],[Столбец7]]*Таблица32[[#This Row],[Nazoratchi]]%</f>
        <v>5000</v>
      </c>
      <c r="AF177" s="168">
        <f>Таблица32[[#This Row],[Ishga vaqtida kelish nazoratchi]]+Таблица32[[#This Row],[Nazoratchi2]]</f>
        <v>5000</v>
      </c>
      <c r="AG17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177" s="168">
        <f>Таблица32[[#This Row],[Ishga kelish bank klient3]]+Таблица32[[#This Row],[Gruppa bank klient 2]]</f>
        <v>20000</v>
      </c>
    </row>
    <row r="178" spans="1:34" ht="18.75" x14ac:dyDescent="0.3">
      <c r="A178" s="130">
        <v>176</v>
      </c>
      <c r="B178" s="236" t="s">
        <v>462</v>
      </c>
      <c r="C178" s="237" t="s">
        <v>335</v>
      </c>
      <c r="D178" s="236" t="s">
        <v>240</v>
      </c>
      <c r="E178" s="238">
        <v>0</v>
      </c>
      <c r="F178" s="239" t="s">
        <v>218</v>
      </c>
      <c r="G178" s="206">
        <v>-0.35</v>
      </c>
      <c r="H178" s="206">
        <v>1</v>
      </c>
      <c r="I178" s="216"/>
      <c r="J178" s="206">
        <v>1</v>
      </c>
      <c r="K178" s="206">
        <v>1</v>
      </c>
      <c r="L178" s="184">
        <v>0.25</v>
      </c>
      <c r="M178" s="184">
        <v>-0.25</v>
      </c>
      <c r="N178" s="184"/>
      <c r="O178" s="184">
        <v>1</v>
      </c>
      <c r="P178" s="184">
        <v>0.25</v>
      </c>
      <c r="Q178" s="183">
        <v>0.2</v>
      </c>
      <c r="R178" s="183">
        <v>0.2</v>
      </c>
      <c r="S178" s="183">
        <v>0.2</v>
      </c>
      <c r="T178" s="183">
        <v>0.2</v>
      </c>
      <c r="U178" s="183">
        <v>0.2</v>
      </c>
      <c r="V178" s="105">
        <v>0.5</v>
      </c>
      <c r="W178" s="163">
        <f>Таблица32[[#This Row],[Столбец7]]*Таблица32[[#This Row],[Ishga kelish nazoratchi2]]%</f>
        <v>0</v>
      </c>
      <c r="X178" s="168">
        <f>Таблица32[[#This Row],[Столбец7]]*Таблица32[[#This Row],[Ishga vaqtida kelish ketish]]%</f>
        <v>0</v>
      </c>
      <c r="Y178" s="134">
        <f>Таблица32[[#This Row],[Столбец7]]*Таблица32[[#This Row],[Ishga kelish bank klient]]%</f>
        <v>0</v>
      </c>
      <c r="Z178" s="168">
        <f>Таблица32[[#This Row],[Столбец7]]*Таблица32[[#This Row],[Gruppa buxgalter]]%</f>
        <v>0</v>
      </c>
      <c r="AA178" s="168">
        <f>Таблица32[[#This Row],[Столбец7]]*Таблица32[[#This Row],[Gruppa bank klient ]]%</f>
        <v>0</v>
      </c>
      <c r="AB178" s="168">
        <f>Таблица32[[#This Row],[1c]]*Таблица32[[#This Row],[Столбец7]]/100</f>
        <v>0</v>
      </c>
      <c r="AC178" s="181">
        <f>SUM(Таблица32[[#This Row],[Didox]:[ мехнат]],Таблица32[[#This Row],[Avtokameral]])*Таблица32[[#This Row],[Столбец7]]/100</f>
        <v>0</v>
      </c>
      <c r="AD178" s="196">
        <f>SUM(Таблица32[[#This Row],[Pul oqimlari]:[Foyda va zarar]])*Таблица32[[#This Row],[Столбец7]]/100</f>
        <v>0</v>
      </c>
      <c r="AE178" s="197">
        <f>Таблица32[[#This Row],[Столбец7]]*Таблица32[[#This Row],[Nazoratchi]]%</f>
        <v>0</v>
      </c>
      <c r="AF178" s="168">
        <f>Таблица32[[#This Row],[Ishga vaqtida kelish nazoratchi]]+Таблица32[[#This Row],[Nazoratchi2]]</f>
        <v>0</v>
      </c>
      <c r="AG17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78" s="168">
        <f>Таблица32[[#This Row],[Ishga kelish bank klient3]]+Таблица32[[#This Row],[Gruppa bank klient 2]]</f>
        <v>0</v>
      </c>
    </row>
    <row r="179" spans="1:34" ht="18.75" x14ac:dyDescent="0.3">
      <c r="A179" s="130">
        <v>177</v>
      </c>
      <c r="B179" s="236" t="s">
        <v>463</v>
      </c>
      <c r="C179" s="104" t="s">
        <v>217</v>
      </c>
      <c r="D179" s="236"/>
      <c r="E179" s="238">
        <v>0</v>
      </c>
      <c r="F179" s="104" t="s">
        <v>238</v>
      </c>
      <c r="G179" s="206"/>
      <c r="H179" s="206"/>
      <c r="I179" s="216"/>
      <c r="J179" s="206">
        <v>1</v>
      </c>
      <c r="K179" s="206"/>
      <c r="L179" s="183">
        <v>0</v>
      </c>
      <c r="M179" s="183">
        <v>0</v>
      </c>
      <c r="N179" s="183">
        <v>0</v>
      </c>
      <c r="O179" s="183"/>
      <c r="P179" s="183">
        <v>0</v>
      </c>
      <c r="Q179" s="183">
        <v>0</v>
      </c>
      <c r="R179" s="183">
        <v>0</v>
      </c>
      <c r="S179" s="183">
        <v>0</v>
      </c>
      <c r="T179" s="183">
        <v>0</v>
      </c>
      <c r="U179" s="183">
        <v>0</v>
      </c>
      <c r="V179" s="105">
        <v>0.5</v>
      </c>
      <c r="W179" s="163">
        <f>Таблица32[[#This Row],[Столбец7]]*Таблица32[[#This Row],[Ishga kelish nazoratchi2]]%</f>
        <v>0</v>
      </c>
      <c r="X179" s="168">
        <f>Таблица32[[#This Row],[Столбец7]]*Таблица32[[#This Row],[Ishga vaqtida kelish ketish]]%</f>
        <v>0</v>
      </c>
      <c r="Y179" s="134">
        <f>Таблица32[[#This Row],[Столбец7]]*Таблица32[[#This Row],[Ishga kelish bank klient]]%</f>
        <v>0</v>
      </c>
      <c r="Z179" s="168">
        <f>Таблица32[[#This Row],[Столбец7]]*Таблица32[[#This Row],[Gruppa buxgalter]]%</f>
        <v>0</v>
      </c>
      <c r="AA179" s="168">
        <f>Таблица32[[#This Row],[Столбец7]]*Таблица32[[#This Row],[Gruppa bank klient ]]%</f>
        <v>0</v>
      </c>
      <c r="AB179" s="168">
        <f>Таблица32[[#This Row],[1c]]*Таблица32[[#This Row],[Столбец7]]/100</f>
        <v>0</v>
      </c>
      <c r="AC179" s="181">
        <f>SUM(Таблица32[[#This Row],[Didox]:[ мехнат]],Таблица32[[#This Row],[Avtokameral]])*Таблица32[[#This Row],[Столбец7]]/100</f>
        <v>0</v>
      </c>
      <c r="AD179" s="196">
        <f>SUM(Таблица32[[#This Row],[Pul oqimlari]:[Foyda va zarar]])*Таблица32[[#This Row],[Столбец7]]/100</f>
        <v>0</v>
      </c>
      <c r="AE179" s="197">
        <f>Таблица32[[#This Row],[Столбец7]]*Таблица32[[#This Row],[Nazoratchi]]%</f>
        <v>0</v>
      </c>
      <c r="AF179" s="168">
        <f>Таблица32[[#This Row],[Ishga vaqtida kelish nazoratchi]]+Таблица32[[#This Row],[Nazoratchi2]]</f>
        <v>0</v>
      </c>
      <c r="AG17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79" s="168">
        <f>Таблица32[[#This Row],[Ishga kelish bank klient3]]+Таблица32[[#This Row],[Gruppa bank klient 2]]</f>
        <v>0</v>
      </c>
    </row>
    <row r="180" spans="1:34" ht="18.75" x14ac:dyDescent="0.3">
      <c r="A180" s="130">
        <v>178</v>
      </c>
      <c r="B180" s="236" t="s">
        <v>464</v>
      </c>
      <c r="C180" s="237" t="s">
        <v>219</v>
      </c>
      <c r="D180" s="236" t="s">
        <v>428</v>
      </c>
      <c r="E180" s="238">
        <v>1000000</v>
      </c>
      <c r="F180" s="239" t="s">
        <v>218</v>
      </c>
      <c r="G180" s="206"/>
      <c r="H180" s="206">
        <v>1</v>
      </c>
      <c r="I180" s="216"/>
      <c r="J180" s="206">
        <v>1</v>
      </c>
      <c r="K180" s="206">
        <v>1</v>
      </c>
      <c r="L180" s="183">
        <v>0.25</v>
      </c>
      <c r="M180" s="183">
        <v>0.25</v>
      </c>
      <c r="N180" s="183"/>
      <c r="O180" s="183"/>
      <c r="P180" s="183">
        <v>0.25</v>
      </c>
      <c r="Q180" s="183">
        <v>0</v>
      </c>
      <c r="R180" s="183">
        <v>0</v>
      </c>
      <c r="S180" s="183">
        <v>0</v>
      </c>
      <c r="T180" s="183">
        <v>0</v>
      </c>
      <c r="U180" s="183">
        <v>0</v>
      </c>
      <c r="V180" s="105">
        <v>0.5</v>
      </c>
      <c r="W180" s="163">
        <f>Таблица32[[#This Row],[Столбец7]]*Таблица32[[#This Row],[Ishga kelish nazoratchi2]]%</f>
        <v>0</v>
      </c>
      <c r="X180" s="168">
        <f>Таблица32[[#This Row],[Столбец7]]*Таблица32[[#This Row],[Ishga vaqtida kelish ketish]]%</f>
        <v>0</v>
      </c>
      <c r="Y180" s="134">
        <f>Таблица32[[#This Row],[Столбец7]]*Таблица32[[#This Row],[Ishga kelish bank klient]]%</f>
        <v>10000</v>
      </c>
      <c r="Z180" s="168">
        <f>Таблица32[[#This Row],[Столбец7]]*Таблица32[[#This Row],[Gruppa buxgalter]]%</f>
        <v>10000</v>
      </c>
      <c r="AA180" s="168">
        <f>Таблица32[[#This Row],[Столбец7]]*Таблица32[[#This Row],[Gruppa bank klient ]]%</f>
        <v>10000</v>
      </c>
      <c r="AB180" s="168">
        <f>Таблица32[[#This Row],[1c]]*Таблица32[[#This Row],[Столбец7]]/100</f>
        <v>0</v>
      </c>
      <c r="AC180" s="181">
        <f>SUM(Таблица32[[#This Row],[Didox]:[ мехнат]],Таблица32[[#This Row],[Avtokameral]])*Таблица32[[#This Row],[Столбец7]]/100</f>
        <v>7500</v>
      </c>
      <c r="AD180" s="196">
        <f>SUM(Таблица32[[#This Row],[Pul oqimlari]:[Foyda va zarar]])*Таблица32[[#This Row],[Столбец7]]/100</f>
        <v>0</v>
      </c>
      <c r="AE180" s="197">
        <f>Таблица32[[#This Row],[Столбец7]]*Таблица32[[#This Row],[Nazoratchi]]%</f>
        <v>5000</v>
      </c>
      <c r="AF180" s="168">
        <f>Таблица32[[#This Row],[Ishga vaqtida kelish nazoratchi]]+Таблица32[[#This Row],[Nazoratchi2]]</f>
        <v>5000</v>
      </c>
      <c r="AG18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17500</v>
      </c>
      <c r="AH180" s="168">
        <f>Таблица32[[#This Row],[Ishga kelish bank klient3]]+Таблица32[[#This Row],[Gruppa bank klient 2]]</f>
        <v>20000</v>
      </c>
    </row>
    <row r="181" spans="1:34" ht="18.75" x14ac:dyDescent="0.3">
      <c r="A181" s="130">
        <v>179</v>
      </c>
      <c r="B181" s="236" t="s">
        <v>465</v>
      </c>
      <c r="C181" s="104" t="s">
        <v>309</v>
      </c>
      <c r="D181" s="236" t="s">
        <v>428</v>
      </c>
      <c r="E181" s="238">
        <v>0</v>
      </c>
      <c r="F181" s="104" t="s">
        <v>218</v>
      </c>
      <c r="G181" s="206">
        <v>-0.8</v>
      </c>
      <c r="H181" s="206">
        <v>1</v>
      </c>
      <c r="I181" s="216"/>
      <c r="J181" s="206">
        <v>1</v>
      </c>
      <c r="K181" s="206">
        <v>1</v>
      </c>
      <c r="L181" s="183">
        <v>0</v>
      </c>
      <c r="M181" s="183">
        <v>0</v>
      </c>
      <c r="N181" s="183">
        <v>0</v>
      </c>
      <c r="O181" s="183"/>
      <c r="P181" s="183">
        <v>0</v>
      </c>
      <c r="Q181" s="183">
        <v>0</v>
      </c>
      <c r="R181" s="183">
        <v>0</v>
      </c>
      <c r="S181" s="183">
        <v>0</v>
      </c>
      <c r="T181" s="183">
        <v>0</v>
      </c>
      <c r="U181" s="183">
        <v>0</v>
      </c>
      <c r="V181" s="206">
        <v>0.5</v>
      </c>
      <c r="W181" s="163">
        <f>Таблица32[[#This Row],[Столбец7]]*Таблица32[[#This Row],[Ishga kelish nazoratchi2]]%</f>
        <v>0</v>
      </c>
      <c r="X181" s="168">
        <f>Таблица32[[#This Row],[Столбец7]]*Таблица32[[#This Row],[Ishga vaqtida kelish ketish]]%</f>
        <v>0</v>
      </c>
      <c r="Y181" s="134">
        <f>Таблица32[[#This Row],[Столбец7]]*Таблица32[[#This Row],[Ishga kelish bank klient]]%</f>
        <v>0</v>
      </c>
      <c r="Z181" s="168">
        <f>Таблица32[[#This Row],[Столбец7]]*Таблица32[[#This Row],[Gruppa buxgalter]]%</f>
        <v>0</v>
      </c>
      <c r="AA181" s="168">
        <f>Таблица32[[#This Row],[Столбец7]]*Таблица32[[#This Row],[Gruppa bank klient ]]%</f>
        <v>0</v>
      </c>
      <c r="AB181" s="168">
        <f>Таблица32[[#This Row],[1c]]*Таблица32[[#This Row],[Столбец7]]/100</f>
        <v>0</v>
      </c>
      <c r="AC181" s="181">
        <f>SUM(Таблица32[[#This Row],[Didox]:[ мехнат]],Таблица32[[#This Row],[Avtokameral]])*Таблица32[[#This Row],[Столбец7]]/100</f>
        <v>0</v>
      </c>
      <c r="AD181" s="196">
        <f>SUM(Таблица32[[#This Row],[Pul oqimlari]:[Foyda va zarar]])*Таблица32[[#This Row],[Столбец7]]/100</f>
        <v>0</v>
      </c>
      <c r="AE181" s="197">
        <f>Таблица32[[#This Row],[Столбец7]]*Таблица32[[#This Row],[Nazoratchi]]%</f>
        <v>0</v>
      </c>
      <c r="AF181" s="168">
        <f>Таблица32[[#This Row],[Ishga vaqtida kelish nazoratchi]]+Таблица32[[#This Row],[Nazoratchi2]]</f>
        <v>0</v>
      </c>
      <c r="AG18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81" s="168">
        <f>Таблица32[[#This Row],[Ishga kelish bank klient3]]+Таблица32[[#This Row],[Gruppa bank klient 2]]</f>
        <v>0</v>
      </c>
    </row>
    <row r="182" spans="1:34" ht="18.75" x14ac:dyDescent="0.3">
      <c r="A182" s="130">
        <v>180</v>
      </c>
      <c r="B182" s="236" t="s">
        <v>466</v>
      </c>
      <c r="C182" s="237" t="s">
        <v>219</v>
      </c>
      <c r="D182" s="236" t="s">
        <v>428</v>
      </c>
      <c r="E182" s="238">
        <v>4000000</v>
      </c>
      <c r="F182" s="239" t="s">
        <v>218</v>
      </c>
      <c r="G182" s="206"/>
      <c r="H182" s="206">
        <v>1</v>
      </c>
      <c r="I182" s="216"/>
      <c r="J182" s="206">
        <v>-2</v>
      </c>
      <c r="K182" s="206">
        <v>-0.5</v>
      </c>
      <c r="L182" s="183">
        <v>-0.25</v>
      </c>
      <c r="M182" s="183">
        <v>0.25</v>
      </c>
      <c r="N182" s="183"/>
      <c r="O182" s="183"/>
      <c r="P182" s="183">
        <v>0.25</v>
      </c>
      <c r="Q182" s="183">
        <v>0</v>
      </c>
      <c r="R182" s="183">
        <v>0.2</v>
      </c>
      <c r="S182" s="183">
        <v>0</v>
      </c>
      <c r="T182" s="183">
        <v>0</v>
      </c>
      <c r="U182" s="183">
        <v>0</v>
      </c>
      <c r="V182" s="206">
        <v>-2</v>
      </c>
      <c r="W182" s="163">
        <f>Таблица32[[#This Row],[Столбец7]]*Таблица32[[#This Row],[Ishga kelish nazoratchi2]]%</f>
        <v>0</v>
      </c>
      <c r="X182" s="168">
        <f>Таблица32[[#This Row],[Столбец7]]*Таблица32[[#This Row],[Ishga vaqtida kelish ketish]]%</f>
        <v>0</v>
      </c>
      <c r="Y182" s="134">
        <f>Таблица32[[#This Row],[Столбец7]]*Таблица32[[#This Row],[Ishga kelish bank klient]]%</f>
        <v>40000</v>
      </c>
      <c r="Z182" s="168">
        <f>Таблица32[[#This Row],[Столбец7]]*Таблица32[[#This Row],[Gruppa buxgalter]]%</f>
        <v>-80000</v>
      </c>
      <c r="AA182" s="168">
        <f>Таблица32[[#This Row],[Столбец7]]*Таблица32[[#This Row],[Gruppa bank klient ]]%</f>
        <v>-20000</v>
      </c>
      <c r="AB182" s="168">
        <f>Таблица32[[#This Row],[1c]]*Таблица32[[#This Row],[Столбец7]]/100</f>
        <v>0</v>
      </c>
      <c r="AC182" s="181">
        <f>SUM(Таблица32[[#This Row],[Didox]:[ мехнат]],Таблица32[[#This Row],[Avtokameral]])*Таблица32[[#This Row],[Столбец7]]/100</f>
        <v>10000</v>
      </c>
      <c r="AD182" s="196">
        <f>SUM(Таблица32[[#This Row],[Pul oqimlari]:[Foyda va zarar]])*Таблица32[[#This Row],[Столбец7]]/100</f>
        <v>8000</v>
      </c>
      <c r="AE182" s="197">
        <f>Таблица32[[#This Row],[Столбец7]]*Таблица32[[#This Row],[Nazoratchi]]%</f>
        <v>-80000</v>
      </c>
      <c r="AF182" s="168">
        <f>Таблица32[[#This Row],[Ishga vaqtida kelish nazoratchi]]+Таблица32[[#This Row],[Nazoratchi2]]</f>
        <v>-80000</v>
      </c>
      <c r="AG18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-62000</v>
      </c>
      <c r="AH182" s="168">
        <f>Таблица32[[#This Row],[Ishga kelish bank klient3]]+Таблица32[[#This Row],[Gruppa bank klient 2]]</f>
        <v>20000</v>
      </c>
    </row>
    <row r="183" spans="1:34" ht="18.75" x14ac:dyDescent="0.3">
      <c r="A183" s="130">
        <v>181</v>
      </c>
      <c r="B183" s="236" t="s">
        <v>469</v>
      </c>
      <c r="C183" s="237" t="s">
        <v>471</v>
      </c>
      <c r="D183" s="236" t="s">
        <v>428</v>
      </c>
      <c r="E183" s="238">
        <v>10000000</v>
      </c>
      <c r="F183" s="239" t="s">
        <v>218</v>
      </c>
      <c r="G183" s="206">
        <v>0.55000000000000004</v>
      </c>
      <c r="H183" s="206">
        <v>1</v>
      </c>
      <c r="I183" s="216"/>
      <c r="J183" s="206">
        <v>1</v>
      </c>
      <c r="K183" s="206">
        <v>1</v>
      </c>
      <c r="L183" s="183">
        <v>0.25</v>
      </c>
      <c r="M183" s="183">
        <v>0.25</v>
      </c>
      <c r="N183" s="183">
        <v>0.25</v>
      </c>
      <c r="O183" s="183">
        <v>1</v>
      </c>
      <c r="P183" s="183">
        <v>0.25</v>
      </c>
      <c r="Q183" s="183">
        <v>0.2</v>
      </c>
      <c r="R183" s="183">
        <v>0.2</v>
      </c>
      <c r="S183" s="183">
        <v>0.2</v>
      </c>
      <c r="T183" s="183">
        <v>0.2</v>
      </c>
      <c r="U183" s="183">
        <v>0.2</v>
      </c>
      <c r="V183" s="105">
        <v>0.5</v>
      </c>
      <c r="W183" s="163">
        <f>Таблица32[[#This Row],[Столбец7]]*Таблица32[[#This Row],[Ishga kelish nazoratchi2]]%</f>
        <v>0</v>
      </c>
      <c r="X183" s="168">
        <f>Таблица32[[#This Row],[Столбец7]]*Таблица32[[#This Row],[Ishga vaqtida kelish ketish]]%</f>
        <v>55000.000000000007</v>
      </c>
      <c r="Y183" s="134">
        <f>Таблица32[[#This Row],[Столбец7]]*Таблица32[[#This Row],[Ishga kelish bank klient]]%</f>
        <v>100000</v>
      </c>
      <c r="Z183" s="168">
        <f>Таблица32[[#This Row],[Столбец7]]*Таблица32[[#This Row],[Gruppa buxgalter]]%</f>
        <v>100000</v>
      </c>
      <c r="AA183" s="168">
        <f>Таблица32[[#This Row],[Столбец7]]*Таблица32[[#This Row],[Gruppa bank klient ]]%</f>
        <v>100000</v>
      </c>
      <c r="AB183" s="168">
        <f>Таблица32[[#This Row],[1c]]*Таблица32[[#This Row],[Столбец7]]/100</f>
        <v>100000</v>
      </c>
      <c r="AC183" s="181">
        <f>SUM(Таблица32[[#This Row],[Didox]:[ мехнат]],Таблица32[[#This Row],[Avtokameral]])*Таблица32[[#This Row],[Столбец7]]/100</f>
        <v>100000</v>
      </c>
      <c r="AD183" s="196">
        <f>SUM(Таблица32[[#This Row],[Pul oqimlari]:[Foyda va zarar]])*Таблица32[[#This Row],[Столбец7]]/100</f>
        <v>100000</v>
      </c>
      <c r="AE183" s="197">
        <f>Таблица32[[#This Row],[Столбец7]]*Таблица32[[#This Row],[Nazoratchi]]%</f>
        <v>50000</v>
      </c>
      <c r="AF183" s="168">
        <f>Таблица32[[#This Row],[Ishga vaqtida kelish nazoratchi]]+Таблица32[[#This Row],[Nazoratchi2]]</f>
        <v>50000</v>
      </c>
      <c r="AG18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455000</v>
      </c>
      <c r="AH183" s="168">
        <f>Таблица32[[#This Row],[Ishga kelish bank klient3]]+Таблица32[[#This Row],[Gruppa bank klient 2]]</f>
        <v>200000</v>
      </c>
    </row>
    <row r="184" spans="1:34" ht="18.75" x14ac:dyDescent="0.3">
      <c r="A184" s="130">
        <v>182</v>
      </c>
      <c r="B184" s="236" t="s">
        <v>470</v>
      </c>
      <c r="C184" s="237" t="s">
        <v>471</v>
      </c>
      <c r="D184" s="236" t="s">
        <v>428</v>
      </c>
      <c r="E184" s="238">
        <v>2000000</v>
      </c>
      <c r="F184" s="239" t="s">
        <v>218</v>
      </c>
      <c r="G184" s="206">
        <v>0.55000000000000004</v>
      </c>
      <c r="H184" s="206">
        <v>1</v>
      </c>
      <c r="I184" s="216"/>
      <c r="J184" s="206">
        <v>1</v>
      </c>
      <c r="K184" s="206">
        <v>1</v>
      </c>
      <c r="L184" s="183">
        <v>-0.25</v>
      </c>
      <c r="M184" s="183">
        <v>0.25</v>
      </c>
      <c r="N184" s="183">
        <v>0.25</v>
      </c>
      <c r="O184" s="183"/>
      <c r="P184" s="183">
        <v>0.25</v>
      </c>
      <c r="Q184" s="183">
        <v>0.2</v>
      </c>
      <c r="R184" s="183">
        <v>0.2</v>
      </c>
      <c r="S184" s="183">
        <v>0.2</v>
      </c>
      <c r="T184" s="183">
        <v>0.2</v>
      </c>
      <c r="U184" s="183">
        <v>0.2</v>
      </c>
      <c r="V184" s="105">
        <v>0.5</v>
      </c>
      <c r="W184" s="163">
        <f>Таблица32[[#This Row],[Столбец7]]*Таблица32[[#This Row],[Ishga kelish nazoratchi2]]%</f>
        <v>0</v>
      </c>
      <c r="X184" s="168">
        <f>Таблица32[[#This Row],[Столбец7]]*Таблица32[[#This Row],[Ishga vaqtida kelish ketish]]%</f>
        <v>11000.000000000002</v>
      </c>
      <c r="Y184" s="134">
        <f>Таблица32[[#This Row],[Столбец7]]*Таблица32[[#This Row],[Ishga kelish bank klient]]%</f>
        <v>20000</v>
      </c>
      <c r="Z184" s="168">
        <f>Таблица32[[#This Row],[Столбец7]]*Таблица32[[#This Row],[Gruppa buxgalter]]%</f>
        <v>20000</v>
      </c>
      <c r="AA184" s="168">
        <f>Таблица32[[#This Row],[Столбец7]]*Таблица32[[#This Row],[Gruppa bank klient ]]%</f>
        <v>20000</v>
      </c>
      <c r="AB184" s="168">
        <f>Таблица32[[#This Row],[1c]]*Таблица32[[#This Row],[Столбец7]]/100</f>
        <v>0</v>
      </c>
      <c r="AC184" s="181">
        <f>SUM(Таблица32[[#This Row],[Didox]:[ мехнат]],Таблица32[[#This Row],[Avtokameral]])*Таблица32[[#This Row],[Столбец7]]/100</f>
        <v>10000</v>
      </c>
      <c r="AD184" s="196">
        <f>SUM(Таблица32[[#This Row],[Pul oqimlari]:[Foyda va zarar]])*Таблица32[[#This Row],[Столбец7]]/100</f>
        <v>20000</v>
      </c>
      <c r="AE184" s="197">
        <f>Таблица32[[#This Row],[Столбец7]]*Таблица32[[#This Row],[Nazoratchi]]%</f>
        <v>10000</v>
      </c>
      <c r="AF184" s="168">
        <f>Таблица32[[#This Row],[Ishga vaqtida kelish nazoratchi]]+Таблица32[[#This Row],[Nazoratchi2]]</f>
        <v>10000</v>
      </c>
      <c r="AG18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61000</v>
      </c>
      <c r="AH184" s="168">
        <f>Таблица32[[#This Row],[Ishga kelish bank klient3]]+Таблица32[[#This Row],[Gruppa bank klient 2]]</f>
        <v>40000</v>
      </c>
    </row>
    <row r="185" spans="1:34" ht="18.75" x14ac:dyDescent="0.3">
      <c r="A185" s="130">
        <v>183</v>
      </c>
      <c r="B185" s="236" t="s">
        <v>472</v>
      </c>
      <c r="C185" s="237" t="s">
        <v>471</v>
      </c>
      <c r="D185" s="236"/>
      <c r="E185" s="238">
        <v>5000000</v>
      </c>
      <c r="F185" s="239" t="s">
        <v>238</v>
      </c>
      <c r="G185" s="206">
        <v>0.55000000000000004</v>
      </c>
      <c r="H185" s="212"/>
      <c r="I185" s="216"/>
      <c r="J185" s="206">
        <v>1</v>
      </c>
      <c r="K185" s="206"/>
      <c r="L185" s="183">
        <v>0</v>
      </c>
      <c r="M185" s="183">
        <v>0.25</v>
      </c>
      <c r="N185" s="183">
        <v>0.25</v>
      </c>
      <c r="O185" s="183"/>
      <c r="P185" s="183">
        <v>-0.25</v>
      </c>
      <c r="Q185" s="183">
        <v>-0.2</v>
      </c>
      <c r="R185" s="183">
        <v>0.2</v>
      </c>
      <c r="S185" s="183">
        <v>0.2</v>
      </c>
      <c r="T185" s="183">
        <v>0.2</v>
      </c>
      <c r="U185" s="183">
        <v>-0.2</v>
      </c>
      <c r="V185" s="105">
        <v>0.5</v>
      </c>
      <c r="W185" s="163">
        <f>Таблица32[[#This Row],[Столбец7]]*Таблица32[[#This Row],[Ishga kelish nazoratchi2]]%</f>
        <v>0</v>
      </c>
      <c r="X185" s="168">
        <f>Таблица32[[#This Row],[Столбец7]]*Таблица32[[#This Row],[Ishga vaqtida kelish ketish]]%</f>
        <v>27500.000000000004</v>
      </c>
      <c r="Y185" s="134">
        <f>Таблица32[[#This Row],[Столбец7]]*Таблица32[[#This Row],[Ishga kelish bank klient]]%</f>
        <v>0</v>
      </c>
      <c r="Z185" s="168">
        <f>Таблица32[[#This Row],[Столбец7]]*Таблица32[[#This Row],[Gruppa buxgalter]]%</f>
        <v>50000</v>
      </c>
      <c r="AA185" s="168">
        <f>Таблица32[[#This Row],[Столбец7]]*Таблица32[[#This Row],[Gruppa bank klient ]]%</f>
        <v>0</v>
      </c>
      <c r="AB185" s="168">
        <f>Таблица32[[#This Row],[1c]]*Таблица32[[#This Row],[Столбец7]]/100</f>
        <v>0</v>
      </c>
      <c r="AC185" s="181">
        <f>SUM(Таблица32[[#This Row],[Didox]:[ мехнат]],Таблица32[[#This Row],[Avtokameral]])*Таблица32[[#This Row],[Столбец7]]/100</f>
        <v>12500</v>
      </c>
      <c r="AD185" s="196">
        <f>SUM(Таблица32[[#This Row],[Pul oqimlari]:[Foyda va zarar]])*Таблица32[[#This Row],[Столбец7]]/100</f>
        <v>10000</v>
      </c>
      <c r="AE185" s="197">
        <f>Таблица32[[#This Row],[Столбец7]]*Таблица32[[#This Row],[Nazoratchi]]%</f>
        <v>25000</v>
      </c>
      <c r="AF185" s="168">
        <f>Таблица32[[#This Row],[Ishga vaqtida kelish nazoratchi]]+Таблица32[[#This Row],[Nazoratchi2]]</f>
        <v>25000</v>
      </c>
      <c r="AG18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100000</v>
      </c>
      <c r="AH185" s="168">
        <f>Таблица32[[#This Row],[Ishga kelish bank klient3]]+Таблица32[[#This Row],[Gruppa bank klient 2]]</f>
        <v>0</v>
      </c>
    </row>
    <row r="186" spans="1:34" ht="18.75" x14ac:dyDescent="0.3">
      <c r="A186" s="130">
        <v>184</v>
      </c>
      <c r="B186" s="236" t="s">
        <v>473</v>
      </c>
      <c r="C186" s="237" t="s">
        <v>471</v>
      </c>
      <c r="D186" s="236"/>
      <c r="E186" s="238">
        <v>5000000</v>
      </c>
      <c r="F186" s="239" t="s">
        <v>238</v>
      </c>
      <c r="G186" s="206">
        <v>0.55000000000000004</v>
      </c>
      <c r="H186" s="212"/>
      <c r="I186" s="216"/>
      <c r="J186" s="206">
        <v>1</v>
      </c>
      <c r="K186" s="206"/>
      <c r="L186" s="183">
        <v>0</v>
      </c>
      <c r="M186" s="183">
        <v>0.25</v>
      </c>
      <c r="N186" s="183">
        <v>0.25</v>
      </c>
      <c r="O186" s="183"/>
      <c r="P186" s="183">
        <v>-0.25</v>
      </c>
      <c r="Q186" s="183">
        <v>-0.2</v>
      </c>
      <c r="R186" s="183">
        <v>0.2</v>
      </c>
      <c r="S186" s="183">
        <v>0.2</v>
      </c>
      <c r="T186" s="183">
        <v>-0.2</v>
      </c>
      <c r="U186" s="183">
        <v>-0.2</v>
      </c>
      <c r="V186" s="105">
        <v>0.5</v>
      </c>
      <c r="W186" s="163">
        <f>Таблица32[[#This Row],[Столбец7]]*Таблица32[[#This Row],[Ishga kelish nazoratchi2]]%</f>
        <v>0</v>
      </c>
      <c r="X186" s="168">
        <f>Таблица32[[#This Row],[Столбец7]]*Таблица32[[#This Row],[Ishga vaqtida kelish ketish]]%</f>
        <v>27500.000000000004</v>
      </c>
      <c r="Y186" s="134">
        <f>Таблица32[[#This Row],[Столбец7]]*Таблица32[[#This Row],[Ishga kelish bank klient]]%</f>
        <v>0</v>
      </c>
      <c r="Z186" s="168">
        <f>Таблица32[[#This Row],[Столбец7]]*Таблица32[[#This Row],[Gruppa buxgalter]]%</f>
        <v>50000</v>
      </c>
      <c r="AA186" s="168">
        <f>Таблица32[[#This Row],[Столбец7]]*Таблица32[[#This Row],[Gruppa bank klient ]]%</f>
        <v>0</v>
      </c>
      <c r="AB186" s="168">
        <f>Таблица32[[#This Row],[1c]]*Таблица32[[#This Row],[Столбец7]]/100</f>
        <v>0</v>
      </c>
      <c r="AC186" s="181">
        <f>SUM(Таблица32[[#This Row],[Didox]:[ мехнат]],Таблица32[[#This Row],[Avtokameral]])*Таблица32[[#This Row],[Столбец7]]/100</f>
        <v>12500</v>
      </c>
      <c r="AD186" s="196">
        <f>SUM(Таблица32[[#This Row],[Pul oqimlari]:[Foyda va zarar]])*Таблица32[[#This Row],[Столбец7]]/100</f>
        <v>-10000</v>
      </c>
      <c r="AE186" s="197">
        <f>Таблица32[[#This Row],[Столбец7]]*Таблица32[[#This Row],[Nazoratchi]]%</f>
        <v>25000</v>
      </c>
      <c r="AF186" s="168">
        <f>Таблица32[[#This Row],[Ishga vaqtida kelish nazoratchi]]+Таблица32[[#This Row],[Nazoratchi2]]</f>
        <v>25000</v>
      </c>
      <c r="AG18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80000</v>
      </c>
      <c r="AH186" s="168">
        <f>Таблица32[[#This Row],[Ishga kelish bank klient3]]+Таблица32[[#This Row],[Gruppa bank klient 2]]</f>
        <v>0</v>
      </c>
    </row>
    <row r="187" spans="1:34" ht="18.75" x14ac:dyDescent="0.3">
      <c r="A187" s="130">
        <v>185</v>
      </c>
      <c r="B187" s="236" t="s">
        <v>474</v>
      </c>
      <c r="C187" s="237" t="s">
        <v>471</v>
      </c>
      <c r="D187" s="236"/>
      <c r="E187" s="238">
        <v>5000000</v>
      </c>
      <c r="F187" s="239" t="s">
        <v>238</v>
      </c>
      <c r="G187" s="206">
        <v>0.55000000000000004</v>
      </c>
      <c r="H187" s="212"/>
      <c r="I187" s="216"/>
      <c r="J187" s="206">
        <v>-0.5</v>
      </c>
      <c r="K187" s="206"/>
      <c r="L187" s="183">
        <v>0</v>
      </c>
      <c r="M187" s="183">
        <v>0.25</v>
      </c>
      <c r="N187" s="183">
        <v>0.25</v>
      </c>
      <c r="O187" s="183"/>
      <c r="P187" s="183">
        <v>0.25</v>
      </c>
      <c r="Q187" s="183">
        <v>-0.2</v>
      </c>
      <c r="R187" s="183">
        <v>0.2</v>
      </c>
      <c r="S187" s="183">
        <v>0.2</v>
      </c>
      <c r="T187" s="183">
        <v>0.2</v>
      </c>
      <c r="U187" s="183">
        <v>-0.2</v>
      </c>
      <c r="V187" s="105">
        <v>-0.5</v>
      </c>
      <c r="W187" s="163">
        <f>Таблица32[[#This Row],[Столбец7]]*Таблица32[[#This Row],[Ishga kelish nazoratchi2]]%</f>
        <v>0</v>
      </c>
      <c r="X187" s="168">
        <f>Таблица32[[#This Row],[Столбец7]]*Таблица32[[#This Row],[Ishga vaqtida kelish ketish]]%</f>
        <v>27500.000000000004</v>
      </c>
      <c r="Y187" s="134">
        <f>Таблица32[[#This Row],[Столбец7]]*Таблица32[[#This Row],[Ishga kelish bank klient]]%</f>
        <v>0</v>
      </c>
      <c r="Z187" s="168">
        <f>Таблица32[[#This Row],[Столбец7]]*Таблица32[[#This Row],[Gruppa buxgalter]]%</f>
        <v>-25000</v>
      </c>
      <c r="AA187" s="168">
        <f>Таблица32[[#This Row],[Столбец7]]*Таблица32[[#This Row],[Gruppa bank klient ]]%</f>
        <v>0</v>
      </c>
      <c r="AB187" s="168">
        <f>Таблица32[[#This Row],[1c]]*Таблица32[[#This Row],[Столбец7]]/100</f>
        <v>0</v>
      </c>
      <c r="AC187" s="181">
        <f>SUM(Таблица32[[#This Row],[Didox]:[ мехнат]],Таблица32[[#This Row],[Avtokameral]])*Таблица32[[#This Row],[Столбец7]]/100</f>
        <v>37500</v>
      </c>
      <c r="AD187" s="196">
        <f>SUM(Таблица32[[#This Row],[Pul oqimlari]:[Foyda va zarar]])*Таблица32[[#This Row],[Столбец7]]/100</f>
        <v>10000</v>
      </c>
      <c r="AE187" s="197">
        <f>Таблица32[[#This Row],[Столбец7]]*Таблица32[[#This Row],[Nazoratchi]]%</f>
        <v>-25000</v>
      </c>
      <c r="AF187" s="168">
        <f>Таблица32[[#This Row],[Ishga vaqtida kelish nazoratchi]]+Таблица32[[#This Row],[Nazoratchi2]]</f>
        <v>-25000</v>
      </c>
      <c r="AG18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50000</v>
      </c>
      <c r="AH187" s="168">
        <f>Таблица32[[#This Row],[Ishga kelish bank klient3]]+Таблица32[[#This Row],[Gruppa bank klient 2]]</f>
        <v>0</v>
      </c>
    </row>
    <row r="188" spans="1:34" ht="18.75" x14ac:dyDescent="0.3">
      <c r="A188" s="130">
        <v>186</v>
      </c>
      <c r="B188" s="236" t="s">
        <v>475</v>
      </c>
      <c r="C188" s="237" t="s">
        <v>309</v>
      </c>
      <c r="D188" s="236"/>
      <c r="E188" s="238">
        <v>3500000</v>
      </c>
      <c r="F188" s="239" t="s">
        <v>218</v>
      </c>
      <c r="G188" s="206">
        <v>-0.8</v>
      </c>
      <c r="H188" s="212"/>
      <c r="I188" s="216"/>
      <c r="J188" s="206">
        <v>-0.5</v>
      </c>
      <c r="K188" s="206"/>
      <c r="L188" s="183">
        <v>0.25</v>
      </c>
      <c r="M188" s="183">
        <v>0.25</v>
      </c>
      <c r="N188" s="183">
        <v>0.25</v>
      </c>
      <c r="O188" s="183"/>
      <c r="P188" s="183">
        <v>0.25</v>
      </c>
      <c r="Q188" s="183">
        <v>0</v>
      </c>
      <c r="R188" s="183">
        <v>0.2</v>
      </c>
      <c r="S188" s="183">
        <v>0.2</v>
      </c>
      <c r="T188" s="183">
        <v>0</v>
      </c>
      <c r="U188" s="183">
        <v>0</v>
      </c>
      <c r="V188" s="206">
        <v>-0.5</v>
      </c>
      <c r="W188" s="163">
        <f>Таблица32[[#This Row],[Столбец7]]*Таблица32[[#This Row],[Ishga kelish nazoratchi2]]%</f>
        <v>0</v>
      </c>
      <c r="X188" s="168">
        <f>Таблица32[[#This Row],[Столбец7]]*Таблица32[[#This Row],[Ishga vaqtida kelish ketish]]%</f>
        <v>-28000</v>
      </c>
      <c r="Y188" s="134">
        <f>Таблица32[[#This Row],[Столбец7]]*Таблица32[[#This Row],[Ishga kelish bank klient]]%</f>
        <v>0</v>
      </c>
      <c r="Z188" s="168">
        <f>Таблица32[[#This Row],[Столбец7]]*Таблица32[[#This Row],[Gruppa buxgalter]]%</f>
        <v>-17500</v>
      </c>
      <c r="AA188" s="168">
        <f>Таблица32[[#This Row],[Столбец7]]*Таблица32[[#This Row],[Gruppa bank klient ]]%</f>
        <v>0</v>
      </c>
      <c r="AB188" s="168">
        <f>Таблица32[[#This Row],[1c]]*Таблица32[[#This Row],[Столбец7]]/100</f>
        <v>0</v>
      </c>
      <c r="AC188" s="181">
        <f>SUM(Таблица32[[#This Row],[Didox]:[ мехнат]],Таблица32[[#This Row],[Avtokameral]])*Таблица32[[#This Row],[Столбец7]]/100</f>
        <v>35000</v>
      </c>
      <c r="AD188" s="196">
        <f>SUM(Таблица32[[#This Row],[Pul oqimlari]:[Foyda va zarar]])*Таблица32[[#This Row],[Столбец7]]/100</f>
        <v>14000</v>
      </c>
      <c r="AE188" s="197">
        <f>Таблица32[[#This Row],[Столбец7]]*Таблица32[[#This Row],[Nazoratchi]]%</f>
        <v>-17500</v>
      </c>
      <c r="AF188" s="168">
        <f>Таблица32[[#This Row],[Ishga vaqtida kelish nazoratchi]]+Таблица32[[#This Row],[Nazoratchi2]]</f>
        <v>-17500</v>
      </c>
      <c r="AG18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3500</v>
      </c>
      <c r="AH188" s="168">
        <f>Таблица32[[#This Row],[Ishga kelish bank klient3]]+Таблица32[[#This Row],[Gruppa bank klient 2]]</f>
        <v>0</v>
      </c>
    </row>
    <row r="189" spans="1:34" ht="18.75" x14ac:dyDescent="0.3">
      <c r="A189" s="130">
        <v>187</v>
      </c>
      <c r="B189" s="236" t="s">
        <v>476</v>
      </c>
      <c r="C189" s="237" t="s">
        <v>309</v>
      </c>
      <c r="D189" s="236"/>
      <c r="E189" s="238">
        <v>3500000</v>
      </c>
      <c r="F189" s="239" t="s">
        <v>218</v>
      </c>
      <c r="G189" s="206">
        <v>-0.8</v>
      </c>
      <c r="H189" s="212"/>
      <c r="I189" s="216"/>
      <c r="J189" s="206">
        <v>1</v>
      </c>
      <c r="K189" s="206"/>
      <c r="L189" s="183">
        <v>0.25</v>
      </c>
      <c r="M189" s="183">
        <v>0.25</v>
      </c>
      <c r="N189" s="183">
        <v>0.25</v>
      </c>
      <c r="O189" s="183"/>
      <c r="P189" s="183">
        <v>0.25</v>
      </c>
      <c r="Q189" s="183">
        <v>0</v>
      </c>
      <c r="R189" s="183">
        <v>0.2</v>
      </c>
      <c r="S189" s="183">
        <v>0.2</v>
      </c>
      <c r="T189" s="183">
        <v>0</v>
      </c>
      <c r="U189" s="183">
        <v>0</v>
      </c>
      <c r="V189" s="206">
        <v>0.5</v>
      </c>
      <c r="W189" s="163">
        <f>Таблица32[[#This Row],[Столбец7]]*Таблица32[[#This Row],[Ishga kelish nazoratchi2]]%</f>
        <v>0</v>
      </c>
      <c r="X189" s="168">
        <f>Таблица32[[#This Row],[Столбец7]]*Таблица32[[#This Row],[Ishga vaqtida kelish ketish]]%</f>
        <v>-28000</v>
      </c>
      <c r="Y189" s="134">
        <f>Таблица32[[#This Row],[Столбец7]]*Таблица32[[#This Row],[Ishga kelish bank klient]]%</f>
        <v>0</v>
      </c>
      <c r="Z189" s="168">
        <f>Таблица32[[#This Row],[Столбец7]]*Таблица32[[#This Row],[Gruppa buxgalter]]%</f>
        <v>35000</v>
      </c>
      <c r="AA189" s="168">
        <f>Таблица32[[#This Row],[Столбец7]]*Таблица32[[#This Row],[Gruppa bank klient ]]%</f>
        <v>0</v>
      </c>
      <c r="AB189" s="168">
        <f>Таблица32[[#This Row],[1c]]*Таблица32[[#This Row],[Столбец7]]/100</f>
        <v>0</v>
      </c>
      <c r="AC189" s="181">
        <f>SUM(Таблица32[[#This Row],[Didox]:[ мехнат]],Таблица32[[#This Row],[Avtokameral]])*Таблица32[[#This Row],[Столбец7]]/100</f>
        <v>35000</v>
      </c>
      <c r="AD189" s="196">
        <f>SUM(Таблица32[[#This Row],[Pul oqimlari]:[Foyda va zarar]])*Таблица32[[#This Row],[Столбец7]]/100</f>
        <v>14000</v>
      </c>
      <c r="AE189" s="197">
        <f>Таблица32[[#This Row],[Столбец7]]*Таблица32[[#This Row],[Nazoratchi]]%</f>
        <v>17500</v>
      </c>
      <c r="AF189" s="168">
        <f>Таблица32[[#This Row],[Ishga vaqtida kelish nazoratchi]]+Таблица32[[#This Row],[Nazoratchi2]]</f>
        <v>17500</v>
      </c>
      <c r="AG18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56000</v>
      </c>
      <c r="AH189" s="168">
        <f>Таблица32[[#This Row],[Ishga kelish bank klient3]]+Таблица32[[#This Row],[Gruppa bank klient 2]]</f>
        <v>0</v>
      </c>
    </row>
    <row r="190" spans="1:34" ht="18.75" x14ac:dyDescent="0.3">
      <c r="A190" s="130">
        <v>188</v>
      </c>
      <c r="B190" s="236" t="s">
        <v>477</v>
      </c>
      <c r="C190" s="237" t="s">
        <v>308</v>
      </c>
      <c r="D190" s="236"/>
      <c r="E190" s="238">
        <v>1000000</v>
      </c>
      <c r="F190" s="239" t="s">
        <v>218</v>
      </c>
      <c r="G190" s="206">
        <v>0.9</v>
      </c>
      <c r="H190" s="212"/>
      <c r="I190" s="216"/>
      <c r="J190" s="206"/>
      <c r="K190" s="206"/>
      <c r="L190" s="183">
        <v>0</v>
      </c>
      <c r="M190" s="183">
        <v>0</v>
      </c>
      <c r="N190" s="183">
        <v>0</v>
      </c>
      <c r="O190" s="184"/>
      <c r="P190" s="183">
        <v>0</v>
      </c>
      <c r="Q190" s="183">
        <v>0</v>
      </c>
      <c r="R190" s="183">
        <v>0</v>
      </c>
      <c r="S190" s="183">
        <v>0</v>
      </c>
      <c r="T190" s="183">
        <v>0</v>
      </c>
      <c r="U190" s="183">
        <v>0</v>
      </c>
      <c r="V190" s="206"/>
      <c r="W190" s="163">
        <f>Таблица32[[#This Row],[Столбец7]]*Таблица32[[#This Row],[Ishga kelish nazoratchi2]]%</f>
        <v>0</v>
      </c>
      <c r="X190" s="168">
        <f>Таблица32[[#This Row],[Столбец7]]*Таблица32[[#This Row],[Ishga vaqtida kelish ketish]]%</f>
        <v>9000.0000000000018</v>
      </c>
      <c r="Y190" s="134">
        <f>Таблица32[[#This Row],[Столбец7]]*Таблица32[[#This Row],[Ishga kelish bank klient]]%</f>
        <v>0</v>
      </c>
      <c r="Z190" s="168">
        <f>Таблица32[[#This Row],[Столбец7]]*Таблица32[[#This Row],[Gruppa buxgalter]]%</f>
        <v>0</v>
      </c>
      <c r="AA190" s="168">
        <f>Таблица32[[#This Row],[Столбец7]]*Таблица32[[#This Row],[Gruppa bank klient ]]%</f>
        <v>0</v>
      </c>
      <c r="AB190" s="168">
        <f>Таблица32[[#This Row],[1c]]*Таблица32[[#This Row],[Столбец7]]/100</f>
        <v>0</v>
      </c>
      <c r="AC190" s="181">
        <f>SUM(Таблица32[[#This Row],[Didox]:[ мехнат]],Таблица32[[#This Row],[Avtokameral]])*Таблица32[[#This Row],[Столбец7]]/100</f>
        <v>0</v>
      </c>
      <c r="AD190" s="196">
        <f>SUM(Таблица32[[#This Row],[Pul oqimlari]:[Foyda va zarar]])*Таблица32[[#This Row],[Столбец7]]/100</f>
        <v>0</v>
      </c>
      <c r="AE190" s="197">
        <f>Таблица32[[#This Row],[Столбец7]]*Таблица32[[#This Row],[Nazoratchi]]%</f>
        <v>0</v>
      </c>
      <c r="AF190" s="168">
        <f>Таблица32[[#This Row],[Ishga vaqtida kelish nazoratchi]]+Таблица32[[#This Row],[Nazoratchi2]]</f>
        <v>0</v>
      </c>
      <c r="AG19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9000.0000000000018</v>
      </c>
      <c r="AH190" s="168">
        <f>Таблица32[[#This Row],[Ishga kelish bank klient3]]+Таблица32[[#This Row],[Gruppa bank klient 2]]</f>
        <v>0</v>
      </c>
    </row>
    <row r="191" spans="1:34" ht="18.75" x14ac:dyDescent="0.3">
      <c r="A191" s="130">
        <v>189</v>
      </c>
      <c r="B191" s="236" t="s">
        <v>478</v>
      </c>
      <c r="C191" s="237" t="s">
        <v>303</v>
      </c>
      <c r="D191" s="236" t="s">
        <v>326</v>
      </c>
      <c r="E191" s="238">
        <v>0</v>
      </c>
      <c r="F191" s="239" t="s">
        <v>218</v>
      </c>
      <c r="G191" s="206">
        <v>-0.25</v>
      </c>
      <c r="H191" s="206">
        <v>1</v>
      </c>
      <c r="I191" s="216"/>
      <c r="J191" s="206">
        <v>1</v>
      </c>
      <c r="K191" s="206">
        <v>1</v>
      </c>
      <c r="L191" s="183">
        <v>0</v>
      </c>
      <c r="M191" s="183">
        <v>0</v>
      </c>
      <c r="N191" s="183">
        <v>0</v>
      </c>
      <c r="O191" s="183"/>
      <c r="P191" s="183">
        <v>0</v>
      </c>
      <c r="Q191" s="183">
        <v>0</v>
      </c>
      <c r="R191" s="183">
        <v>0</v>
      </c>
      <c r="S191" s="183">
        <v>0</v>
      </c>
      <c r="T191" s="183">
        <v>0</v>
      </c>
      <c r="U191" s="183">
        <v>0</v>
      </c>
      <c r="V191" s="105">
        <v>0.5</v>
      </c>
      <c r="W191" s="163">
        <f>Таблица32[[#This Row],[Столбец7]]*Таблица32[[#This Row],[Ishga kelish nazoratchi2]]%</f>
        <v>0</v>
      </c>
      <c r="X191" s="168">
        <f>Таблица32[[#This Row],[Столбец7]]*Таблица32[[#This Row],[Ishga vaqtida kelish ketish]]%</f>
        <v>0</v>
      </c>
      <c r="Y191" s="134">
        <f>Таблица32[[#This Row],[Столбец7]]*Таблица32[[#This Row],[Ishga kelish bank klient]]%</f>
        <v>0</v>
      </c>
      <c r="Z191" s="168">
        <f>Таблица32[[#This Row],[Столбец7]]*Таблица32[[#This Row],[Gruppa buxgalter]]%</f>
        <v>0</v>
      </c>
      <c r="AA191" s="168">
        <f>Таблица32[[#This Row],[Столбец7]]*Таблица32[[#This Row],[Gruppa bank klient ]]%</f>
        <v>0</v>
      </c>
      <c r="AB191" s="168">
        <f>Таблица32[[#This Row],[1c]]*Таблица32[[#This Row],[Столбец7]]/100</f>
        <v>0</v>
      </c>
      <c r="AC191" s="181">
        <f>SUM(Таблица32[[#This Row],[Didox]:[ мехнат]],Таблица32[[#This Row],[Avtokameral]])*Таблица32[[#This Row],[Столбец7]]/100</f>
        <v>0</v>
      </c>
      <c r="AD191" s="196">
        <f>SUM(Таблица32[[#This Row],[Pul oqimlari]:[Foyda va zarar]])*Таблица32[[#This Row],[Столбец7]]/100</f>
        <v>0</v>
      </c>
      <c r="AE191" s="197">
        <f>Таблица32[[#This Row],[Столбец7]]*Таблица32[[#This Row],[Nazoratchi]]%</f>
        <v>0</v>
      </c>
      <c r="AF191" s="168">
        <f>Таблица32[[#This Row],[Ishga vaqtida kelish nazoratchi]]+Таблица32[[#This Row],[Nazoratchi2]]</f>
        <v>0</v>
      </c>
      <c r="AG19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1" s="168">
        <f>Таблица32[[#This Row],[Ishga kelish bank klient3]]+Таблица32[[#This Row],[Gruppa bank klient 2]]</f>
        <v>0</v>
      </c>
    </row>
    <row r="192" spans="1:34" ht="18.75" x14ac:dyDescent="0.3">
      <c r="A192" s="130">
        <v>190</v>
      </c>
      <c r="B192" s="236" t="s">
        <v>480</v>
      </c>
      <c r="C192" s="237" t="s">
        <v>303</v>
      </c>
      <c r="D192" s="236" t="s">
        <v>326</v>
      </c>
      <c r="E192" s="238">
        <v>0</v>
      </c>
      <c r="F192" s="239" t="s">
        <v>218</v>
      </c>
      <c r="G192" s="206">
        <v>-0.25</v>
      </c>
      <c r="H192" s="206">
        <v>1</v>
      </c>
      <c r="I192" s="216"/>
      <c r="J192" s="206">
        <v>1</v>
      </c>
      <c r="K192" s="206">
        <v>1</v>
      </c>
      <c r="L192" s="183">
        <v>0</v>
      </c>
      <c r="M192" s="183">
        <v>0</v>
      </c>
      <c r="N192" s="183">
        <v>0</v>
      </c>
      <c r="O192" s="183"/>
      <c r="P192" s="183">
        <v>0</v>
      </c>
      <c r="Q192" s="183">
        <v>0</v>
      </c>
      <c r="R192" s="183">
        <v>0</v>
      </c>
      <c r="S192" s="183">
        <v>0</v>
      </c>
      <c r="T192" s="183">
        <v>0</v>
      </c>
      <c r="U192" s="183">
        <v>0</v>
      </c>
      <c r="V192" s="105">
        <v>0.5</v>
      </c>
      <c r="W192" s="163">
        <f>Таблица32[[#This Row],[Столбец7]]*Таблица32[[#This Row],[Ishga kelish nazoratchi2]]%</f>
        <v>0</v>
      </c>
      <c r="X192" s="168">
        <f>Таблица32[[#This Row],[Столбец7]]*Таблица32[[#This Row],[Ishga vaqtida kelish ketish]]%</f>
        <v>0</v>
      </c>
      <c r="Y192" s="134">
        <f>Таблица32[[#This Row],[Столбец7]]*Таблица32[[#This Row],[Ishga kelish bank klient]]%</f>
        <v>0</v>
      </c>
      <c r="Z192" s="168">
        <f>Таблица32[[#This Row],[Столбец7]]*Таблица32[[#This Row],[Gruppa buxgalter]]%</f>
        <v>0</v>
      </c>
      <c r="AA192" s="168">
        <f>Таблица32[[#This Row],[Столбец7]]*Таблица32[[#This Row],[Gruppa bank klient ]]%</f>
        <v>0</v>
      </c>
      <c r="AB192" s="168">
        <f>Таблица32[[#This Row],[1c]]*Таблица32[[#This Row],[Столбец7]]/100</f>
        <v>0</v>
      </c>
      <c r="AC192" s="181">
        <f>SUM(Таблица32[[#This Row],[Didox]:[ мехнат]],Таблица32[[#This Row],[Avtokameral]])*Таблица32[[#This Row],[Столбец7]]/100</f>
        <v>0</v>
      </c>
      <c r="AD192" s="196">
        <f>SUM(Таблица32[[#This Row],[Pul oqimlari]:[Foyda va zarar]])*Таблица32[[#This Row],[Столбец7]]/100</f>
        <v>0</v>
      </c>
      <c r="AE192" s="197">
        <f>Таблица32[[#This Row],[Столбец7]]*Таблица32[[#This Row],[Nazoratchi]]%</f>
        <v>0</v>
      </c>
      <c r="AF192" s="168">
        <f>Таблица32[[#This Row],[Ishga vaqtida kelish nazoratchi]]+Таблица32[[#This Row],[Nazoratchi2]]</f>
        <v>0</v>
      </c>
      <c r="AG19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2" s="168">
        <f>Таблица32[[#This Row],[Ishga kelish bank klient3]]+Таблица32[[#This Row],[Gruppa bank klient 2]]</f>
        <v>0</v>
      </c>
    </row>
    <row r="193" spans="1:34" ht="18.75" x14ac:dyDescent="0.3">
      <c r="A193" s="130">
        <v>191</v>
      </c>
      <c r="B193" s="236" t="s">
        <v>481</v>
      </c>
      <c r="C193" s="237" t="s">
        <v>303</v>
      </c>
      <c r="D193" s="236" t="s">
        <v>326</v>
      </c>
      <c r="E193" s="238">
        <v>0</v>
      </c>
      <c r="F193" s="239" t="s">
        <v>218</v>
      </c>
      <c r="G193" s="206">
        <v>-0.25</v>
      </c>
      <c r="H193" s="206">
        <v>1</v>
      </c>
      <c r="I193" s="216"/>
      <c r="J193" s="206">
        <v>1</v>
      </c>
      <c r="K193" s="206">
        <v>1</v>
      </c>
      <c r="L193" s="183">
        <v>0</v>
      </c>
      <c r="M193" s="183">
        <v>0</v>
      </c>
      <c r="N193" s="183">
        <v>0</v>
      </c>
      <c r="O193" s="183"/>
      <c r="P193" s="183">
        <v>0</v>
      </c>
      <c r="Q193" s="183">
        <v>0</v>
      </c>
      <c r="R193" s="183">
        <v>0</v>
      </c>
      <c r="S193" s="183">
        <v>0</v>
      </c>
      <c r="T193" s="183">
        <v>0</v>
      </c>
      <c r="U193" s="183">
        <v>0</v>
      </c>
      <c r="V193" s="105">
        <v>0.5</v>
      </c>
      <c r="W193" s="163">
        <f>Таблица32[[#This Row],[Столбец7]]*Таблица32[[#This Row],[Ishga kelish nazoratchi2]]%</f>
        <v>0</v>
      </c>
      <c r="X193" s="168">
        <f>Таблица32[[#This Row],[Столбец7]]*Таблица32[[#This Row],[Ishga vaqtida kelish ketish]]%</f>
        <v>0</v>
      </c>
      <c r="Y193" s="134">
        <f>Таблица32[[#This Row],[Столбец7]]*Таблица32[[#This Row],[Ishga kelish bank klient]]%</f>
        <v>0</v>
      </c>
      <c r="Z193" s="168">
        <f>Таблица32[[#This Row],[Столбец7]]*Таблица32[[#This Row],[Gruppa buxgalter]]%</f>
        <v>0</v>
      </c>
      <c r="AA193" s="168">
        <f>Таблица32[[#This Row],[Столбец7]]*Таблица32[[#This Row],[Gruppa bank klient ]]%</f>
        <v>0</v>
      </c>
      <c r="AB193" s="168">
        <f>Таблица32[[#This Row],[1c]]*Таблица32[[#This Row],[Столбец7]]/100</f>
        <v>0</v>
      </c>
      <c r="AC193" s="181">
        <f>SUM(Таблица32[[#This Row],[Didox]:[ мехнат]],Таблица32[[#This Row],[Avtokameral]])*Таблица32[[#This Row],[Столбец7]]/100</f>
        <v>0</v>
      </c>
      <c r="AD193" s="196">
        <f>SUM(Таблица32[[#This Row],[Pul oqimlari]:[Foyda va zarar]])*Таблица32[[#This Row],[Столбец7]]/100</f>
        <v>0</v>
      </c>
      <c r="AE193" s="197">
        <f>Таблица32[[#This Row],[Столбец7]]*Таблица32[[#This Row],[Nazoratchi]]%</f>
        <v>0</v>
      </c>
      <c r="AF193" s="168">
        <f>Таблица32[[#This Row],[Ishga vaqtida kelish nazoratchi]]+Таблица32[[#This Row],[Nazoratchi2]]</f>
        <v>0</v>
      </c>
      <c r="AG19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3" s="168">
        <f>Таблица32[[#This Row],[Ishga kelish bank klient3]]+Таблица32[[#This Row],[Gruppa bank klient 2]]</f>
        <v>0</v>
      </c>
    </row>
    <row r="194" spans="1:34" ht="18.75" x14ac:dyDescent="0.3">
      <c r="A194" s="130">
        <v>192</v>
      </c>
      <c r="B194" s="236" t="s">
        <v>482</v>
      </c>
      <c r="C194" s="237" t="s">
        <v>303</v>
      </c>
      <c r="D194" s="236" t="s">
        <v>326</v>
      </c>
      <c r="E194" s="238">
        <v>0</v>
      </c>
      <c r="F194" s="239" t="s">
        <v>218</v>
      </c>
      <c r="G194" s="206">
        <v>-0.25</v>
      </c>
      <c r="H194" s="206">
        <v>1</v>
      </c>
      <c r="I194" s="216"/>
      <c r="J194" s="206">
        <v>1</v>
      </c>
      <c r="K194" s="206">
        <v>1</v>
      </c>
      <c r="L194" s="183">
        <v>0</v>
      </c>
      <c r="M194" s="183">
        <v>0</v>
      </c>
      <c r="N194" s="183">
        <v>0</v>
      </c>
      <c r="O194" s="183"/>
      <c r="P194" s="183">
        <v>0</v>
      </c>
      <c r="Q194" s="183">
        <v>0</v>
      </c>
      <c r="R194" s="183">
        <v>0</v>
      </c>
      <c r="S194" s="183">
        <v>0</v>
      </c>
      <c r="T194" s="183">
        <v>0</v>
      </c>
      <c r="U194" s="183">
        <v>0</v>
      </c>
      <c r="V194" s="105">
        <v>0.5</v>
      </c>
      <c r="W194" s="163">
        <f>Таблица32[[#This Row],[Столбец7]]*Таблица32[[#This Row],[Ishga kelish nazoratchi2]]%</f>
        <v>0</v>
      </c>
      <c r="X194" s="168">
        <f>Таблица32[[#This Row],[Столбец7]]*Таблица32[[#This Row],[Ishga vaqtida kelish ketish]]%</f>
        <v>0</v>
      </c>
      <c r="Y194" s="134">
        <f>Таблица32[[#This Row],[Столбец7]]*Таблица32[[#This Row],[Ishga kelish bank klient]]%</f>
        <v>0</v>
      </c>
      <c r="Z194" s="168">
        <f>Таблица32[[#This Row],[Столбец7]]*Таблица32[[#This Row],[Gruppa buxgalter]]%</f>
        <v>0</v>
      </c>
      <c r="AA194" s="168">
        <f>Таблица32[[#This Row],[Столбец7]]*Таблица32[[#This Row],[Gruppa bank klient ]]%</f>
        <v>0</v>
      </c>
      <c r="AB194" s="168">
        <f>Таблица32[[#This Row],[1c]]*Таблица32[[#This Row],[Столбец7]]/100</f>
        <v>0</v>
      </c>
      <c r="AC194" s="181">
        <f>SUM(Таблица32[[#This Row],[Didox]:[ мехнат]],Таблица32[[#This Row],[Avtokameral]])*Таблица32[[#This Row],[Столбец7]]/100</f>
        <v>0</v>
      </c>
      <c r="AD194" s="196">
        <f>SUM(Таблица32[[#This Row],[Pul oqimlari]:[Foyda va zarar]])*Таблица32[[#This Row],[Столбец7]]/100</f>
        <v>0</v>
      </c>
      <c r="AE194" s="197">
        <f>Таблица32[[#This Row],[Столбец7]]*Таблица32[[#This Row],[Nazoratchi]]%</f>
        <v>0</v>
      </c>
      <c r="AF194" s="168">
        <f>Таблица32[[#This Row],[Ishga vaqtida kelish nazoratchi]]+Таблица32[[#This Row],[Nazoratchi2]]</f>
        <v>0</v>
      </c>
      <c r="AG19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4" s="168">
        <f>Таблица32[[#This Row],[Ishga kelish bank klient3]]+Таблица32[[#This Row],[Gruppa bank klient 2]]</f>
        <v>0</v>
      </c>
    </row>
    <row r="195" spans="1:34" ht="18.75" x14ac:dyDescent="0.3">
      <c r="A195" s="130">
        <v>193</v>
      </c>
      <c r="B195" s="236" t="s">
        <v>479</v>
      </c>
      <c r="C195" s="237" t="s">
        <v>224</v>
      </c>
      <c r="D195" s="236" t="s">
        <v>326</v>
      </c>
      <c r="E195" s="238">
        <v>0</v>
      </c>
      <c r="F195" s="239" t="s">
        <v>218</v>
      </c>
      <c r="G195" s="206"/>
      <c r="H195" s="206">
        <v>1</v>
      </c>
      <c r="I195" s="216"/>
      <c r="J195" s="206">
        <v>1</v>
      </c>
      <c r="K195" s="206">
        <v>1</v>
      </c>
      <c r="L195" s="183">
        <v>0</v>
      </c>
      <c r="M195" s="183">
        <v>0</v>
      </c>
      <c r="N195" s="183">
        <v>0</v>
      </c>
      <c r="O195" s="183"/>
      <c r="P195" s="183">
        <v>0</v>
      </c>
      <c r="Q195" s="183">
        <v>0</v>
      </c>
      <c r="R195" s="183">
        <v>0</v>
      </c>
      <c r="S195" s="183">
        <v>0</v>
      </c>
      <c r="T195" s="183">
        <v>0</v>
      </c>
      <c r="U195" s="183">
        <v>0</v>
      </c>
      <c r="V195" s="105">
        <v>0.5</v>
      </c>
      <c r="W195" s="163">
        <f>Таблица32[[#This Row],[Столбец7]]*Таблица32[[#This Row],[Ishga kelish nazoratchi2]]%</f>
        <v>0</v>
      </c>
      <c r="X195" s="168">
        <f>Таблица32[[#This Row],[Столбец7]]*Таблица32[[#This Row],[Ishga vaqtida kelish ketish]]%</f>
        <v>0</v>
      </c>
      <c r="Y195" s="134">
        <f>Таблица32[[#This Row],[Столбец7]]*Таблица32[[#This Row],[Ishga kelish bank klient]]%</f>
        <v>0</v>
      </c>
      <c r="Z195" s="168">
        <f>Таблица32[[#This Row],[Столбец7]]*Таблица32[[#This Row],[Gruppa buxgalter]]%</f>
        <v>0</v>
      </c>
      <c r="AA195" s="168">
        <f>Таблица32[[#This Row],[Столбец7]]*Таблица32[[#This Row],[Gruppa bank klient ]]%</f>
        <v>0</v>
      </c>
      <c r="AB195" s="168">
        <f>Таблица32[[#This Row],[1c]]*Таблица32[[#This Row],[Столбец7]]/100</f>
        <v>0</v>
      </c>
      <c r="AC195" s="181">
        <f>SUM(Таблица32[[#This Row],[Didox]:[ мехнат]],Таблица32[[#This Row],[Avtokameral]])*Таблица32[[#This Row],[Столбец7]]/100</f>
        <v>0</v>
      </c>
      <c r="AD195" s="196">
        <f>SUM(Таблица32[[#This Row],[Pul oqimlari]:[Foyda va zarar]])*Таблица32[[#This Row],[Столбец7]]/100</f>
        <v>0</v>
      </c>
      <c r="AE195" s="197">
        <f>Таблица32[[#This Row],[Столбец7]]*Таблица32[[#This Row],[Nazoratchi]]%</f>
        <v>0</v>
      </c>
      <c r="AF195" s="168">
        <f>Таблица32[[#This Row],[Ishga vaqtida kelish nazoratchi]]+Таблица32[[#This Row],[Nazoratchi2]]</f>
        <v>0</v>
      </c>
      <c r="AG19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5" s="168">
        <f>Таблица32[[#This Row],[Ishga kelish bank klient3]]+Таблица32[[#This Row],[Gruppa bank klient 2]]</f>
        <v>0</v>
      </c>
    </row>
    <row r="196" spans="1:34" ht="18.75" x14ac:dyDescent="0.3">
      <c r="A196" s="130">
        <v>194</v>
      </c>
      <c r="B196" s="236" t="s">
        <v>483</v>
      </c>
      <c r="C196" s="237" t="s">
        <v>224</v>
      </c>
      <c r="D196" s="236" t="s">
        <v>326</v>
      </c>
      <c r="E196" s="238">
        <v>7500000</v>
      </c>
      <c r="F196" s="239" t="s">
        <v>218</v>
      </c>
      <c r="G196" s="206"/>
      <c r="H196" s="206">
        <v>1</v>
      </c>
      <c r="I196" s="216"/>
      <c r="J196" s="206">
        <v>1</v>
      </c>
      <c r="K196" s="206">
        <v>1</v>
      </c>
      <c r="L196" s="183">
        <v>0.25</v>
      </c>
      <c r="M196" s="183">
        <v>0.25</v>
      </c>
      <c r="N196" s="183">
        <v>0.25</v>
      </c>
      <c r="O196" s="183"/>
      <c r="P196" s="183">
        <v>0.25</v>
      </c>
      <c r="Q196" s="183">
        <v>0</v>
      </c>
      <c r="R196" s="183">
        <v>0</v>
      </c>
      <c r="S196" s="183">
        <v>0</v>
      </c>
      <c r="T196" s="183">
        <v>0</v>
      </c>
      <c r="U196" s="183">
        <v>0</v>
      </c>
      <c r="V196" s="105">
        <v>0.5</v>
      </c>
      <c r="W196" s="163">
        <f>Таблица32[[#This Row],[Столбец7]]*Таблица32[[#This Row],[Ishga kelish nazoratchi2]]%</f>
        <v>0</v>
      </c>
      <c r="X196" s="168">
        <f>Таблица32[[#This Row],[Столбец7]]*Таблица32[[#This Row],[Ishga vaqtida kelish ketish]]%</f>
        <v>0</v>
      </c>
      <c r="Y196" s="134">
        <f>Таблица32[[#This Row],[Столбец7]]*Таблица32[[#This Row],[Ishga kelish bank klient]]%</f>
        <v>75000</v>
      </c>
      <c r="Z196" s="168">
        <f>Таблица32[[#This Row],[Столбец7]]*Таблица32[[#This Row],[Gruppa buxgalter]]%</f>
        <v>75000</v>
      </c>
      <c r="AA196" s="168">
        <f>Таблица32[[#This Row],[Столбец7]]*Таблица32[[#This Row],[Gruppa bank klient ]]%</f>
        <v>75000</v>
      </c>
      <c r="AB196" s="168">
        <f>Таблица32[[#This Row],[1c]]*Таблица32[[#This Row],[Столбец7]]/100</f>
        <v>0</v>
      </c>
      <c r="AC196" s="181">
        <f>SUM(Таблица32[[#This Row],[Didox]:[ мехнат]],Таблица32[[#This Row],[Avtokameral]])*Таблица32[[#This Row],[Столбец7]]/100</f>
        <v>75000</v>
      </c>
      <c r="AD196" s="196">
        <f>SUM(Таблица32[[#This Row],[Pul oqimlari]:[Foyda va zarar]])*Таблица32[[#This Row],[Столбец7]]/100</f>
        <v>0</v>
      </c>
      <c r="AE196" s="197">
        <f>Таблица32[[#This Row],[Столбец7]]*Таблица32[[#This Row],[Nazoratchi]]%</f>
        <v>37500</v>
      </c>
      <c r="AF196" s="168">
        <f>Таблица32[[#This Row],[Ishga vaqtida kelish nazoratchi]]+Таблица32[[#This Row],[Nazoratchi2]]</f>
        <v>37500</v>
      </c>
      <c r="AG19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150000</v>
      </c>
      <c r="AH196" s="168">
        <f>Таблица32[[#This Row],[Ishga kelish bank klient3]]+Таблица32[[#This Row],[Gruppa bank klient 2]]</f>
        <v>150000</v>
      </c>
    </row>
    <row r="197" spans="1:34" ht="18.75" x14ac:dyDescent="0.3">
      <c r="A197" s="130">
        <v>195</v>
      </c>
      <c r="B197" s="236" t="s">
        <v>493</v>
      </c>
      <c r="C197" s="237" t="s">
        <v>217</v>
      </c>
      <c r="D197" s="236" t="s">
        <v>428</v>
      </c>
      <c r="E197" s="238">
        <v>700000</v>
      </c>
      <c r="F197" s="239" t="s">
        <v>238</v>
      </c>
      <c r="G197" s="206"/>
      <c r="H197" s="206">
        <v>1</v>
      </c>
      <c r="I197" s="216"/>
      <c r="J197" s="206">
        <v>1</v>
      </c>
      <c r="K197" s="206">
        <v>1</v>
      </c>
      <c r="L197" s="183">
        <v>0.25</v>
      </c>
      <c r="M197" s="183">
        <v>0.25</v>
      </c>
      <c r="N197" s="183">
        <v>0.25</v>
      </c>
      <c r="O197" s="183"/>
      <c r="P197" s="183">
        <v>0.25</v>
      </c>
      <c r="Q197" s="183">
        <v>-0.2</v>
      </c>
      <c r="R197" s="183">
        <v>0.2</v>
      </c>
      <c r="S197" s="183">
        <v>-0.2</v>
      </c>
      <c r="T197" s="183">
        <v>-0.2</v>
      </c>
      <c r="U197" s="183">
        <v>-0.2</v>
      </c>
      <c r="V197" s="105">
        <v>0.5</v>
      </c>
      <c r="W197" s="163">
        <f>Таблица32[[#This Row],[Столбец7]]*Таблица32[[#This Row],[Ishga kelish nazoratchi2]]%</f>
        <v>0</v>
      </c>
      <c r="X197" s="168">
        <f>Таблица32[[#This Row],[Столбец7]]*Таблица32[[#This Row],[Ishga vaqtida kelish ketish]]%</f>
        <v>0</v>
      </c>
      <c r="Y197" s="134">
        <f>Таблица32[[#This Row],[Столбец7]]*Таблица32[[#This Row],[Ishga kelish bank klient]]%</f>
        <v>7000</v>
      </c>
      <c r="Z197" s="168">
        <f>Таблица32[[#This Row],[Столбец7]]*Таблица32[[#This Row],[Gruppa buxgalter]]%</f>
        <v>7000</v>
      </c>
      <c r="AA197" s="168">
        <f>Таблица32[[#This Row],[Столбец7]]*Таблица32[[#This Row],[Gruppa bank klient ]]%</f>
        <v>7000</v>
      </c>
      <c r="AB197" s="168">
        <f>Таблица32[[#This Row],[1c]]*Таблица32[[#This Row],[Столбец7]]/100</f>
        <v>0</v>
      </c>
      <c r="AC197" s="181">
        <f>SUM(Таблица32[[#This Row],[Didox]:[ мехнат]],Таблица32[[#This Row],[Avtokameral]])*Таблица32[[#This Row],[Столбец7]]/100</f>
        <v>7000</v>
      </c>
      <c r="AD197" s="196">
        <f>SUM(Таблица32[[#This Row],[Pul oqimlari]:[Foyda va zarar]])*Таблица32[[#This Row],[Столбец7]]/100</f>
        <v>-4200.0000000000009</v>
      </c>
      <c r="AE197" s="197">
        <f>Таблица32[[#This Row],[Столбец7]]*Таблица32[[#This Row],[Nazoratchi]]%</f>
        <v>3500</v>
      </c>
      <c r="AF197" s="168">
        <f>Таблица32[[#This Row],[Ishga vaqtida kelish nazoratchi]]+Таблица32[[#This Row],[Nazoratchi2]]</f>
        <v>3500</v>
      </c>
      <c r="AG19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9800</v>
      </c>
      <c r="AH197" s="168">
        <f>Таблица32[[#This Row],[Ishga kelish bank klient3]]+Таблица32[[#This Row],[Gruppa bank klient 2]]</f>
        <v>14000</v>
      </c>
    </row>
    <row r="198" spans="1:34" ht="18.75" x14ac:dyDescent="0.3">
      <c r="A198" s="130">
        <v>196</v>
      </c>
      <c r="B198" s="236" t="s">
        <v>494</v>
      </c>
      <c r="C198" s="237" t="s">
        <v>303</v>
      </c>
      <c r="D198" s="236" t="s">
        <v>428</v>
      </c>
      <c r="E198" s="238">
        <v>14000000</v>
      </c>
      <c r="F198" s="239" t="s">
        <v>218</v>
      </c>
      <c r="G198" s="206">
        <v>-0.25</v>
      </c>
      <c r="H198" s="206">
        <v>1</v>
      </c>
      <c r="I198" s="216"/>
      <c r="J198" s="206">
        <v>1</v>
      </c>
      <c r="K198" s="206">
        <v>1</v>
      </c>
      <c r="L198" s="183">
        <v>0.25</v>
      </c>
      <c r="M198" s="183">
        <v>0.25</v>
      </c>
      <c r="N198" s="183"/>
      <c r="O198" s="183"/>
      <c r="P198" s="183">
        <v>-0.25</v>
      </c>
      <c r="Q198" s="183">
        <v>0.2</v>
      </c>
      <c r="R198" s="183">
        <v>0.2</v>
      </c>
      <c r="S198" s="183">
        <v>0</v>
      </c>
      <c r="T198" s="183">
        <v>0.2</v>
      </c>
      <c r="U198" s="183">
        <v>0</v>
      </c>
      <c r="V198" s="105">
        <v>0.5</v>
      </c>
      <c r="W198" s="163">
        <f>Таблица32[[#This Row],[Столбец7]]*Таблица32[[#This Row],[Ishga kelish nazoratchi2]]%</f>
        <v>0</v>
      </c>
      <c r="X198" s="168">
        <f>Таблица32[[#This Row],[Столбец7]]*Таблица32[[#This Row],[Ishga vaqtida kelish ketish]]%</f>
        <v>-35000</v>
      </c>
      <c r="Y198" s="134">
        <f>Таблица32[[#This Row],[Столбец7]]*Таблица32[[#This Row],[Ishga kelish bank klient]]%</f>
        <v>140000</v>
      </c>
      <c r="Z198" s="168">
        <f>Таблица32[[#This Row],[Столбец7]]*Таблица32[[#This Row],[Gruppa buxgalter]]%</f>
        <v>140000</v>
      </c>
      <c r="AA198" s="168">
        <f>Таблица32[[#This Row],[Столбец7]]*Таблица32[[#This Row],[Gruppa bank klient ]]%</f>
        <v>140000</v>
      </c>
      <c r="AB198" s="168">
        <f>Таблица32[[#This Row],[1c]]*Таблица32[[#This Row],[Столбец7]]/100</f>
        <v>0</v>
      </c>
      <c r="AC198" s="181">
        <f>SUM(Таблица32[[#This Row],[Didox]:[ мехнат]],Таблица32[[#This Row],[Avtokameral]])*Таблица32[[#This Row],[Столбец7]]/100</f>
        <v>35000</v>
      </c>
      <c r="AD198" s="196">
        <f>SUM(Таблица32[[#This Row],[Pul oqimlari]:[Foyda va zarar]])*Таблица32[[#This Row],[Столбец7]]/100</f>
        <v>84000.000000000015</v>
      </c>
      <c r="AE198" s="197">
        <f>Таблица32[[#This Row],[Столбец7]]*Таблица32[[#This Row],[Nazoratchi]]%</f>
        <v>70000</v>
      </c>
      <c r="AF198" s="168">
        <f>Таблица32[[#This Row],[Ishga vaqtida kelish nazoratchi]]+Таблица32[[#This Row],[Nazoratchi2]]</f>
        <v>70000</v>
      </c>
      <c r="AG19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224000</v>
      </c>
      <c r="AH198" s="168">
        <f>Таблица32[[#This Row],[Ishga kelish bank klient3]]+Таблица32[[#This Row],[Gruppa bank klient 2]]</f>
        <v>280000</v>
      </c>
    </row>
    <row r="199" spans="1:34" ht="18.75" x14ac:dyDescent="0.3">
      <c r="A199" s="130">
        <v>197</v>
      </c>
      <c r="B199" s="236" t="s">
        <v>495</v>
      </c>
      <c r="C199" s="237" t="s">
        <v>310</v>
      </c>
      <c r="D199" s="236" t="s">
        <v>240</v>
      </c>
      <c r="E199" s="240">
        <v>5000000</v>
      </c>
      <c r="F199" s="239" t="s">
        <v>238</v>
      </c>
      <c r="G199" s="206">
        <v>0.65</v>
      </c>
      <c r="H199" s="206">
        <v>1</v>
      </c>
      <c r="I199" s="216"/>
      <c r="J199" s="206">
        <v>1</v>
      </c>
      <c r="K199" s="206">
        <v>1</v>
      </c>
      <c r="L199" s="183">
        <v>0.25</v>
      </c>
      <c r="M199" s="183">
        <v>0.25</v>
      </c>
      <c r="N199" s="183">
        <v>0.25</v>
      </c>
      <c r="O199" s="183">
        <v>1</v>
      </c>
      <c r="P199" s="183">
        <v>0.25</v>
      </c>
      <c r="Q199" s="183">
        <v>0.2</v>
      </c>
      <c r="R199" s="183">
        <v>0.2</v>
      </c>
      <c r="S199" s="183">
        <v>-0.2</v>
      </c>
      <c r="T199" s="183">
        <v>-0.2</v>
      </c>
      <c r="U199" s="183">
        <v>-0.2</v>
      </c>
      <c r="V199" s="105">
        <v>0.5</v>
      </c>
      <c r="W199" s="163">
        <f>Таблица32[[#This Row],[Столбец7]]*Таблица32[[#This Row],[Ishga kelish nazoratchi2]]%</f>
        <v>0</v>
      </c>
      <c r="X199" s="168">
        <f>Таблица32[[#This Row],[Столбец7]]*Таблица32[[#This Row],[Ishga vaqtida kelish ketish]]%</f>
        <v>32500.000000000004</v>
      </c>
      <c r="Y199" s="134">
        <f>Таблица32[[#This Row],[Столбец7]]*Таблица32[[#This Row],[Ishga kelish bank klient]]%</f>
        <v>50000</v>
      </c>
      <c r="Z199" s="168">
        <f>Таблица32[[#This Row],[Столбец7]]*Таблица32[[#This Row],[Gruppa buxgalter]]%</f>
        <v>50000</v>
      </c>
      <c r="AA199" s="168">
        <f>Таблица32[[#This Row],[Столбец7]]*Таблица32[[#This Row],[Gruppa bank klient ]]%</f>
        <v>50000</v>
      </c>
      <c r="AB199" s="168">
        <f>Таблица32[[#This Row],[1c]]*Таблица32[[#This Row],[Столбец7]]/100</f>
        <v>50000</v>
      </c>
      <c r="AC199" s="181">
        <f>SUM(Таблица32[[#This Row],[Didox]:[ мехнат]],Таблица32[[#This Row],[Avtokameral]])*Таблица32[[#This Row],[Столбец7]]/100</f>
        <v>50000</v>
      </c>
      <c r="AD199" s="196">
        <f>SUM(Таблица32[[#This Row],[Pul oqimlari]:[Foyda va zarar]])*Таблица32[[#This Row],[Столбец7]]/100</f>
        <v>-10000</v>
      </c>
      <c r="AE199" s="197">
        <f>Таблица32[[#This Row],[Столбец7]]*Таблица32[[#This Row],[Nazoratchi]]%</f>
        <v>25000</v>
      </c>
      <c r="AF199" s="168">
        <f>Таблица32[[#This Row],[Ishga vaqtida kelish nazoratchi]]+Таблица32[[#This Row],[Nazoratchi2]]</f>
        <v>25000</v>
      </c>
      <c r="AG19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172500</v>
      </c>
      <c r="AH199" s="168">
        <f>Таблица32[[#This Row],[Ishga kelish bank klient3]]+Таблица32[[#This Row],[Gruppa bank klient 2]]</f>
        <v>100000</v>
      </c>
    </row>
    <row r="200" spans="1:34" ht="18.75" x14ac:dyDescent="0.3">
      <c r="A200" s="130">
        <v>198</v>
      </c>
      <c r="B200" s="236" t="s">
        <v>496</v>
      </c>
      <c r="C200" s="237" t="s">
        <v>309</v>
      </c>
      <c r="D200" s="236" t="s">
        <v>240</v>
      </c>
      <c r="E200" s="238">
        <v>4500000</v>
      </c>
      <c r="F200" s="239" t="s">
        <v>218</v>
      </c>
      <c r="G200" s="206">
        <v>-0.8</v>
      </c>
      <c r="H200" s="206">
        <v>1</v>
      </c>
      <c r="I200" s="216"/>
      <c r="J200" s="206">
        <v>1</v>
      </c>
      <c r="K200" s="206">
        <v>1</v>
      </c>
      <c r="L200" s="183">
        <v>0.25</v>
      </c>
      <c r="M200" s="183">
        <v>0.25</v>
      </c>
      <c r="N200" s="183">
        <v>0.25</v>
      </c>
      <c r="O200" s="183">
        <v>1</v>
      </c>
      <c r="P200" s="183">
        <v>-0.25</v>
      </c>
      <c r="Q200" s="183">
        <v>0.2</v>
      </c>
      <c r="R200" s="183">
        <v>0.2</v>
      </c>
      <c r="S200" s="183">
        <v>0.2</v>
      </c>
      <c r="T200" s="183">
        <v>0.2</v>
      </c>
      <c r="U200" s="183">
        <v>-0.2</v>
      </c>
      <c r="V200" s="206">
        <v>0.5</v>
      </c>
      <c r="W200" s="163">
        <f>Таблица32[[#This Row],[Столбец7]]*Таблица32[[#This Row],[Ishga kelish nazoratchi2]]%</f>
        <v>0</v>
      </c>
      <c r="X200" s="168">
        <f>Таблица32[[#This Row],[Столбец7]]*Таблица32[[#This Row],[Ishga vaqtida kelish ketish]]%</f>
        <v>-36000</v>
      </c>
      <c r="Y200" s="134">
        <f>Таблица32[[#This Row],[Столбец7]]*Таблица32[[#This Row],[Ishga kelish bank klient]]%</f>
        <v>45000</v>
      </c>
      <c r="Z200" s="168">
        <f>Таблица32[[#This Row],[Столбец7]]*Таблица32[[#This Row],[Gruppa buxgalter]]%</f>
        <v>45000</v>
      </c>
      <c r="AA200" s="168">
        <f>Таблица32[[#This Row],[Столбец7]]*Таблица32[[#This Row],[Gruppa bank klient ]]%</f>
        <v>45000</v>
      </c>
      <c r="AB200" s="168">
        <f>Таблица32[[#This Row],[1c]]*Таблица32[[#This Row],[Столбец7]]/100</f>
        <v>45000</v>
      </c>
      <c r="AC200" s="181">
        <f>SUM(Таблица32[[#This Row],[Didox]:[ мехнат]],Таблица32[[#This Row],[Avtokameral]])*Таблица32[[#This Row],[Столбец7]]/100</f>
        <v>22500</v>
      </c>
      <c r="AD200" s="196">
        <f>SUM(Таблица32[[#This Row],[Pul oqimlari]:[Foyda va zarar]])*Таблица32[[#This Row],[Столбец7]]/100</f>
        <v>27000.000000000004</v>
      </c>
      <c r="AE200" s="197">
        <f>Таблица32[[#This Row],[Столбец7]]*Таблица32[[#This Row],[Nazoratchi]]%</f>
        <v>22500</v>
      </c>
      <c r="AF200" s="168">
        <f>Таблица32[[#This Row],[Ishga vaqtida kelish nazoratchi]]+Таблица32[[#This Row],[Nazoratchi2]]</f>
        <v>22500</v>
      </c>
      <c r="AG20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103500</v>
      </c>
      <c r="AH200" s="168">
        <f>Таблица32[[#This Row],[Ishga kelish bank klient3]]+Таблица32[[#This Row],[Gruppa bank klient 2]]</f>
        <v>90000</v>
      </c>
    </row>
    <row r="201" spans="1:34" ht="18.75" x14ac:dyDescent="0.3">
      <c r="A201" s="130">
        <v>199</v>
      </c>
      <c r="B201" s="236" t="s">
        <v>497</v>
      </c>
      <c r="C201" s="237" t="s">
        <v>434</v>
      </c>
      <c r="D201" s="236"/>
      <c r="E201" s="238">
        <v>1000000</v>
      </c>
      <c r="F201" s="239" t="s">
        <v>238</v>
      </c>
      <c r="G201" s="206">
        <v>-0.05</v>
      </c>
      <c r="H201" s="212"/>
      <c r="I201" s="216"/>
      <c r="J201" s="206">
        <v>1</v>
      </c>
      <c r="K201" s="206"/>
      <c r="L201" s="183">
        <v>0.25</v>
      </c>
      <c r="M201" s="183">
        <v>0.25</v>
      </c>
      <c r="N201" s="183"/>
      <c r="O201" s="183"/>
      <c r="P201" s="183">
        <v>0.25</v>
      </c>
      <c r="Q201" s="183">
        <v>0</v>
      </c>
      <c r="R201" s="183">
        <v>0</v>
      </c>
      <c r="S201" s="183">
        <v>0</v>
      </c>
      <c r="T201" s="183">
        <v>0</v>
      </c>
      <c r="U201" s="183">
        <v>0</v>
      </c>
      <c r="V201" s="105">
        <v>0.5</v>
      </c>
      <c r="W201" s="163">
        <f>Таблица32[[#This Row],[Столбец7]]*Таблица32[[#This Row],[Ishga kelish nazoratchi2]]%</f>
        <v>0</v>
      </c>
      <c r="X201" s="168">
        <f>Таблица32[[#This Row],[Столбец7]]*Таблица32[[#This Row],[Ishga vaqtida kelish ketish]]%</f>
        <v>-500</v>
      </c>
      <c r="Y201" s="134">
        <f>Таблица32[[#This Row],[Столбец7]]*Таблица32[[#This Row],[Ishga kelish bank klient]]%</f>
        <v>0</v>
      </c>
      <c r="Z201" s="168">
        <f>Таблица32[[#This Row],[Столбец7]]*Таблица32[[#This Row],[Gruppa buxgalter]]%</f>
        <v>10000</v>
      </c>
      <c r="AA201" s="168">
        <f>Таблица32[[#This Row],[Столбец7]]*Таблица32[[#This Row],[Gruppa bank klient ]]%</f>
        <v>0</v>
      </c>
      <c r="AB201" s="168">
        <f>Таблица32[[#This Row],[1c]]*Таблица32[[#This Row],[Столбец7]]/100</f>
        <v>0</v>
      </c>
      <c r="AC201" s="181">
        <f>SUM(Таблица32[[#This Row],[Didox]:[ мехнат]],Таблица32[[#This Row],[Avtokameral]])*Таблица32[[#This Row],[Столбец7]]/100</f>
        <v>7500</v>
      </c>
      <c r="AD201" s="196">
        <f>SUM(Таблица32[[#This Row],[Pul oqimlari]:[Foyda va zarar]])*Таблица32[[#This Row],[Столбец7]]/100</f>
        <v>0</v>
      </c>
      <c r="AE201" s="197">
        <f>Таблица32[[#This Row],[Столбец7]]*Таблица32[[#This Row],[Nazoratchi]]%</f>
        <v>5000</v>
      </c>
      <c r="AF201" s="168">
        <f>Таблица32[[#This Row],[Ishga vaqtida kelish nazoratchi]]+Таблица32[[#This Row],[Nazoratchi2]]</f>
        <v>5000</v>
      </c>
      <c r="AG20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17000</v>
      </c>
      <c r="AH201" s="168">
        <f>Таблица32[[#This Row],[Ishga kelish bank klient3]]+Таблица32[[#This Row],[Gruppa bank klient 2]]</f>
        <v>0</v>
      </c>
    </row>
    <row r="202" spans="1:34" ht="18.75" x14ac:dyDescent="0.3">
      <c r="A202" s="130">
        <v>200</v>
      </c>
      <c r="B202" s="236" t="s">
        <v>498</v>
      </c>
      <c r="C202" s="237" t="s">
        <v>217</v>
      </c>
      <c r="D202" s="236"/>
      <c r="E202" s="241">
        <v>700000</v>
      </c>
      <c r="F202" s="239" t="s">
        <v>238</v>
      </c>
      <c r="G202" s="206"/>
      <c r="H202" s="212"/>
      <c r="I202" s="216"/>
      <c r="J202" s="206">
        <v>1</v>
      </c>
      <c r="K202" s="206"/>
      <c r="L202" s="183">
        <v>0.25</v>
      </c>
      <c r="M202" s="183">
        <v>0.25</v>
      </c>
      <c r="N202" s="183"/>
      <c r="O202" s="183"/>
      <c r="P202" s="183">
        <v>0.25</v>
      </c>
      <c r="Q202" s="183">
        <v>0</v>
      </c>
      <c r="R202" s="183">
        <v>0.2</v>
      </c>
      <c r="S202" s="183">
        <v>0.2</v>
      </c>
      <c r="T202" s="183">
        <v>0</v>
      </c>
      <c r="U202" s="183">
        <v>0</v>
      </c>
      <c r="V202" s="105">
        <v>0.5</v>
      </c>
      <c r="W202" s="163">
        <f>Таблица32[[#This Row],[Столбец7]]*Таблица32[[#This Row],[Ishga kelish nazoratchi2]]%</f>
        <v>0</v>
      </c>
      <c r="X202" s="168">
        <f>Таблица32[[#This Row],[Столбец7]]*Таблица32[[#This Row],[Ishga vaqtida kelish ketish]]%</f>
        <v>0</v>
      </c>
      <c r="Y202" s="134">
        <f>Таблица32[[#This Row],[Столбец7]]*Таблица32[[#This Row],[Ishga kelish bank klient]]%</f>
        <v>0</v>
      </c>
      <c r="Z202" s="168">
        <f>Таблица32[[#This Row],[Столбец7]]*Таблица32[[#This Row],[Gruppa buxgalter]]%</f>
        <v>7000</v>
      </c>
      <c r="AA202" s="168">
        <f>Таблица32[[#This Row],[Столбец7]]*Таблица32[[#This Row],[Gruppa bank klient ]]%</f>
        <v>0</v>
      </c>
      <c r="AB202" s="168">
        <f>Таблица32[[#This Row],[1c]]*Таблица32[[#This Row],[Столбец7]]/100</f>
        <v>0</v>
      </c>
      <c r="AC202" s="181">
        <f>SUM(Таблица32[[#This Row],[Didox]:[ мехнат]],Таблица32[[#This Row],[Avtokameral]])*Таблица32[[#This Row],[Столбец7]]/100</f>
        <v>5250</v>
      </c>
      <c r="AD202" s="196">
        <f>SUM(Таблица32[[#This Row],[Pul oqimlari]:[Foyda va zarar]])*Таблица32[[#This Row],[Столбец7]]/100</f>
        <v>2800</v>
      </c>
      <c r="AE202" s="197">
        <f>Таблица32[[#This Row],[Столбец7]]*Таблица32[[#This Row],[Nazoratchi]]%</f>
        <v>3500</v>
      </c>
      <c r="AF202" s="168">
        <f>Таблица32[[#This Row],[Ishga vaqtida kelish nazoratchi]]+Таблица32[[#This Row],[Nazoratchi2]]</f>
        <v>3500</v>
      </c>
      <c r="AG20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15050</v>
      </c>
      <c r="AH202" s="168">
        <f>Таблица32[[#This Row],[Ishga kelish bank klient3]]+Таблица32[[#This Row],[Gruppa bank klient 2]]</f>
        <v>0</v>
      </c>
    </row>
    <row r="203" spans="1:34" ht="18.75" x14ac:dyDescent="0.3">
      <c r="A203" s="130">
        <v>201</v>
      </c>
      <c r="B203" s="133" t="s">
        <v>393</v>
      </c>
      <c r="C203" s="104" t="s">
        <v>303</v>
      </c>
      <c r="D203" s="106" t="s">
        <v>240</v>
      </c>
      <c r="E203" s="127">
        <v>2000000</v>
      </c>
      <c r="F203" s="104" t="s">
        <v>218</v>
      </c>
      <c r="G203" s="206">
        <v>-0.25</v>
      </c>
      <c r="H203" s="206">
        <v>1</v>
      </c>
      <c r="I203" s="216"/>
      <c r="J203" s="206">
        <v>1</v>
      </c>
      <c r="K203" s="206">
        <v>1</v>
      </c>
      <c r="L203" s="183">
        <v>0.25</v>
      </c>
      <c r="M203" s="183">
        <v>0.25</v>
      </c>
      <c r="N203" s="183"/>
      <c r="O203" s="183">
        <v>1</v>
      </c>
      <c r="P203" s="183">
        <v>0.25</v>
      </c>
      <c r="Q203" s="183">
        <v>0.2</v>
      </c>
      <c r="R203" s="183">
        <v>0.2</v>
      </c>
      <c r="S203" s="183">
        <v>0.2</v>
      </c>
      <c r="T203" s="183">
        <v>0.2</v>
      </c>
      <c r="U203" s="183">
        <v>0.2</v>
      </c>
      <c r="V203" s="105">
        <v>0.5</v>
      </c>
      <c r="W203" s="163">
        <f>Таблица32[[#This Row],[Столбец7]]*Таблица32[[#This Row],[Ishga kelish nazoratchi2]]%</f>
        <v>0</v>
      </c>
      <c r="X203" s="168">
        <f>Таблица32[[#This Row],[Столбец7]]*Таблица32[[#This Row],[Ishga vaqtida kelish ketish]]%</f>
        <v>-5000</v>
      </c>
      <c r="Y203" s="134">
        <f>Таблица32[[#This Row],[Столбец7]]*Таблица32[[#This Row],[Ishga kelish bank klient]]%</f>
        <v>20000</v>
      </c>
      <c r="Z203" s="168">
        <f>Таблица32[[#This Row],[Столбец7]]*Таблица32[[#This Row],[Gruppa buxgalter]]%</f>
        <v>20000</v>
      </c>
      <c r="AA203" s="168">
        <f>Таблица32[[#This Row],[Столбец7]]*Таблица32[[#This Row],[Gruppa bank klient ]]%</f>
        <v>20000</v>
      </c>
      <c r="AB203" s="168">
        <f>Таблица32[[#This Row],[1c]]*Таблица32[[#This Row],[Столбец7]]/100</f>
        <v>20000</v>
      </c>
      <c r="AC203" s="181">
        <f>SUM(Таблица32[[#This Row],[Didox]:[ мехнат]],Таблица32[[#This Row],[Avtokameral]])*Таблица32[[#This Row],[Столбец7]]/100</f>
        <v>15000</v>
      </c>
      <c r="AD203" s="196">
        <f>SUM(Таблица32[[#This Row],[Pul oqimlari]:[Foyda va zarar]])*Таблица32[[#This Row],[Столбец7]]/100</f>
        <v>20000</v>
      </c>
      <c r="AE203" s="197">
        <f>Таблица32[[#This Row],[Столбец7]]*Таблица32[[#This Row],[Nazoratchi]]%</f>
        <v>10000</v>
      </c>
      <c r="AF203" s="168">
        <f>Таблица32[[#This Row],[Ishga vaqtida kelish nazoratchi]]+Таблица32[[#This Row],[Nazoratchi2]]</f>
        <v>10000</v>
      </c>
      <c r="AG20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70000</v>
      </c>
      <c r="AH203" s="168">
        <f>Таблица32[[#This Row],[Ishga kelish bank klient3]]+Таблица32[[#This Row],[Gruppa bank klient 2]]</f>
        <v>40000</v>
      </c>
    </row>
    <row r="204" spans="1:34" ht="18.75" x14ac:dyDescent="0.3">
      <c r="A204" s="130">
        <v>202</v>
      </c>
      <c r="B204" s="236" t="s">
        <v>499</v>
      </c>
      <c r="C204" s="236" t="s">
        <v>550</v>
      </c>
      <c r="D204" s="236"/>
      <c r="E204" s="253">
        <v>1000000</v>
      </c>
      <c r="F204" s="104" t="s">
        <v>238</v>
      </c>
      <c r="G204" s="206">
        <v>-1.05</v>
      </c>
      <c r="H204" s="212"/>
      <c r="I204" s="216"/>
      <c r="J204" s="206">
        <v>1</v>
      </c>
      <c r="K204" s="206"/>
      <c r="L204" s="183">
        <v>0.25</v>
      </c>
      <c r="M204" s="183">
        <v>-0.25</v>
      </c>
      <c r="N204" s="183"/>
      <c r="O204" s="183">
        <v>-1</v>
      </c>
      <c r="P204" s="183">
        <v>0.25</v>
      </c>
      <c r="Q204" s="183">
        <v>0</v>
      </c>
      <c r="R204" s="183">
        <v>0</v>
      </c>
      <c r="S204" s="183">
        <v>0</v>
      </c>
      <c r="T204" s="183">
        <v>0</v>
      </c>
      <c r="U204" s="183">
        <v>0</v>
      </c>
      <c r="V204" s="105">
        <v>0.5</v>
      </c>
      <c r="W204" s="163">
        <f>Таблица32[[#This Row],[Столбец7]]*Таблица32[[#This Row],[Ishga kelish nazoratchi2]]%</f>
        <v>0</v>
      </c>
      <c r="X204" s="168">
        <f>Таблица32[[#This Row],[Столбец7]]*Таблица32[[#This Row],[Ishga vaqtida kelish ketish]]%</f>
        <v>-10500</v>
      </c>
      <c r="Y204" s="134">
        <f>Таблица32[[#This Row],[Столбец7]]*Таблица32[[#This Row],[Ishga kelish bank klient]]%</f>
        <v>0</v>
      </c>
      <c r="Z204" s="168">
        <f>Таблица32[[#This Row],[Столбец7]]*Таблица32[[#This Row],[Gruppa buxgalter]]%</f>
        <v>10000</v>
      </c>
      <c r="AA204" s="168">
        <f>Таблица32[[#This Row],[Столбец7]]*Таблица32[[#This Row],[Gruppa bank klient ]]%</f>
        <v>0</v>
      </c>
      <c r="AB204" s="168">
        <f>Таблица32[[#This Row],[1c]]*Таблица32[[#This Row],[Столбец7]]/100</f>
        <v>-10000</v>
      </c>
      <c r="AC204" s="181">
        <f>SUM(Таблица32[[#This Row],[Didox]:[ мехнат]],Таблица32[[#This Row],[Avtokameral]])*Таблица32[[#This Row],[Столбец7]]/100</f>
        <v>2500</v>
      </c>
      <c r="AD204" s="196">
        <f>SUM(Таблица32[[#This Row],[Pul oqimlari]:[Foyda va zarar]])*Таблица32[[#This Row],[Столбец7]]/100</f>
        <v>0</v>
      </c>
      <c r="AE204" s="197">
        <f>Таблица32[[#This Row],[Столбец7]]*Таблица32[[#This Row],[Nazoratchi]]%</f>
        <v>5000</v>
      </c>
      <c r="AF204" s="168">
        <f>Таблица32[[#This Row],[Ishga vaqtida kelish nazoratchi]]+Таблица32[[#This Row],[Nazoratchi2]]</f>
        <v>5000</v>
      </c>
      <c r="AG20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-8000</v>
      </c>
      <c r="AH204" s="168">
        <f>Таблица32[[#This Row],[Ishga kelish bank klient3]]+Таблица32[[#This Row],[Gruppa bank klient 2]]</f>
        <v>0</v>
      </c>
    </row>
    <row r="205" spans="1:34" ht="18.75" x14ac:dyDescent="0.3">
      <c r="A205" s="130">
        <v>203</v>
      </c>
      <c r="B205" s="236" t="s">
        <v>500</v>
      </c>
      <c r="C205" s="236" t="s">
        <v>550</v>
      </c>
      <c r="D205" s="236"/>
      <c r="E205" s="253">
        <v>500000</v>
      </c>
      <c r="F205" s="104" t="s">
        <v>238</v>
      </c>
      <c r="G205" s="206">
        <v>-1.05</v>
      </c>
      <c r="H205" s="212"/>
      <c r="I205" s="216"/>
      <c r="J205" s="206">
        <v>1</v>
      </c>
      <c r="K205" s="206"/>
      <c r="L205" s="183">
        <v>0.25</v>
      </c>
      <c r="M205" s="183">
        <v>0.25</v>
      </c>
      <c r="N205" s="183"/>
      <c r="O205" s="183">
        <v>-1</v>
      </c>
      <c r="P205" s="183">
        <v>0.25</v>
      </c>
      <c r="Q205" s="183">
        <v>0</v>
      </c>
      <c r="R205" s="183">
        <v>0</v>
      </c>
      <c r="S205" s="183">
        <v>0</v>
      </c>
      <c r="T205" s="183">
        <v>0</v>
      </c>
      <c r="U205" s="183">
        <v>0</v>
      </c>
      <c r="V205" s="105">
        <v>0.5</v>
      </c>
      <c r="W205" s="163">
        <f>Таблица32[[#This Row],[Столбец7]]*Таблица32[[#This Row],[Ishga kelish nazoratchi2]]%</f>
        <v>0</v>
      </c>
      <c r="X205" s="168">
        <f>Таблица32[[#This Row],[Столбец7]]*Таблица32[[#This Row],[Ishga vaqtida kelish ketish]]%</f>
        <v>-5250</v>
      </c>
      <c r="Y205" s="134">
        <f>Таблица32[[#This Row],[Столбец7]]*Таблица32[[#This Row],[Ishga kelish bank klient]]%</f>
        <v>0</v>
      </c>
      <c r="Z205" s="168">
        <f>Таблица32[[#This Row],[Столбец7]]*Таблица32[[#This Row],[Gruppa buxgalter]]%</f>
        <v>5000</v>
      </c>
      <c r="AA205" s="168">
        <f>Таблица32[[#This Row],[Столбец7]]*Таблица32[[#This Row],[Gruppa bank klient ]]%</f>
        <v>0</v>
      </c>
      <c r="AB205" s="168">
        <f>Таблица32[[#This Row],[1c]]*Таблица32[[#This Row],[Столбец7]]/100</f>
        <v>-5000</v>
      </c>
      <c r="AC205" s="181">
        <f>SUM(Таблица32[[#This Row],[Didox]:[ мехнат]],Таблица32[[#This Row],[Avtokameral]])*Таблица32[[#This Row],[Столбец7]]/100</f>
        <v>3750</v>
      </c>
      <c r="AD205" s="196">
        <f>SUM(Таблица32[[#This Row],[Pul oqimlari]:[Foyda va zarar]])*Таблица32[[#This Row],[Столбец7]]/100</f>
        <v>0</v>
      </c>
      <c r="AE205" s="197">
        <f>Таблица32[[#This Row],[Столбец7]]*Таблица32[[#This Row],[Nazoratchi]]%</f>
        <v>2500</v>
      </c>
      <c r="AF205" s="168">
        <f>Таблица32[[#This Row],[Ishga vaqtida kelish nazoratchi]]+Таблица32[[#This Row],[Nazoratchi2]]</f>
        <v>2500</v>
      </c>
      <c r="AG20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-1500</v>
      </c>
      <c r="AH205" s="168">
        <f>Таблица32[[#This Row],[Ishga kelish bank klient3]]+Таблица32[[#This Row],[Gruppa bank klient 2]]</f>
        <v>0</v>
      </c>
    </row>
    <row r="206" spans="1:34" ht="18.75" x14ac:dyDescent="0.3">
      <c r="A206" s="130">
        <v>204</v>
      </c>
      <c r="B206" s="236" t="s">
        <v>501</v>
      </c>
      <c r="C206" s="236" t="s">
        <v>428</v>
      </c>
      <c r="D206" s="236" t="s">
        <v>428</v>
      </c>
      <c r="E206" s="253">
        <v>700000</v>
      </c>
      <c r="F206" s="104" t="s">
        <v>218</v>
      </c>
      <c r="G206" s="206"/>
      <c r="H206" s="206">
        <v>1</v>
      </c>
      <c r="I206" s="216"/>
      <c r="J206" s="206"/>
      <c r="K206" s="206">
        <v>1</v>
      </c>
      <c r="L206" s="183">
        <v>0.25</v>
      </c>
      <c r="M206" s="183">
        <v>0.25</v>
      </c>
      <c r="N206" s="183"/>
      <c r="O206" s="183"/>
      <c r="P206" s="183">
        <v>0.25</v>
      </c>
      <c r="Q206" s="183">
        <v>0</v>
      </c>
      <c r="R206" s="183">
        <v>0</v>
      </c>
      <c r="S206" s="183">
        <v>0</v>
      </c>
      <c r="T206" s="183">
        <v>0</v>
      </c>
      <c r="U206" s="183">
        <v>0</v>
      </c>
      <c r="V206" s="139"/>
      <c r="W206" s="163">
        <f>Таблица32[[#This Row],[Столбец7]]*Таблица32[[#This Row],[Ishga kelish nazoratchi2]]%</f>
        <v>0</v>
      </c>
      <c r="X206" s="168">
        <f>Таблица32[[#This Row],[Столбец7]]*Таблица32[[#This Row],[Ishga vaqtida kelish ketish]]%</f>
        <v>0</v>
      </c>
      <c r="Y206" s="134">
        <f>Таблица32[[#This Row],[Столбец7]]*Таблица32[[#This Row],[Ishga kelish bank klient]]%</f>
        <v>7000</v>
      </c>
      <c r="Z206" s="168">
        <f>Таблица32[[#This Row],[Столбец7]]*Таблица32[[#This Row],[Gruppa buxgalter]]%</f>
        <v>0</v>
      </c>
      <c r="AA206" s="168">
        <f>Таблица32[[#This Row],[Столбец7]]*Таблица32[[#This Row],[Gruppa bank klient ]]%</f>
        <v>7000</v>
      </c>
      <c r="AB206" s="168">
        <f>Таблица32[[#This Row],[1c]]*Таблица32[[#This Row],[Столбец7]]/100</f>
        <v>0</v>
      </c>
      <c r="AC206" s="181">
        <f>SUM(Таблица32[[#This Row],[Didox]:[ мехнат]],Таблица32[[#This Row],[Avtokameral]])*Таблица32[[#This Row],[Столбец7]]/100</f>
        <v>5250</v>
      </c>
      <c r="AD206" s="196">
        <f>SUM(Таблица32[[#This Row],[Pul oqimlari]:[Foyda va zarar]])*Таблица32[[#This Row],[Столбец7]]/100</f>
        <v>0</v>
      </c>
      <c r="AE206" s="197">
        <f>Таблица32[[#This Row],[Столбец7]]*Таблица32[[#This Row],[Nazoratchi]]%</f>
        <v>0</v>
      </c>
      <c r="AF206" s="168">
        <f>Таблица32[[#This Row],[Ishga vaqtida kelish nazoratchi]]+Таблица32[[#This Row],[Nazoratchi2]]</f>
        <v>0</v>
      </c>
      <c r="AG20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5250</v>
      </c>
      <c r="AH206" s="168">
        <f>Таблица32[[#This Row],[Ishga kelish bank klient3]]+Таблица32[[#This Row],[Gruppa bank klient 2]]</f>
        <v>14000</v>
      </c>
    </row>
    <row r="207" spans="1:34" ht="18.75" x14ac:dyDescent="0.3">
      <c r="A207" s="130">
        <v>205</v>
      </c>
      <c r="B207" s="236" t="s">
        <v>502</v>
      </c>
      <c r="C207" s="236" t="s">
        <v>308</v>
      </c>
      <c r="D207" s="106" t="s">
        <v>240</v>
      </c>
      <c r="E207" s="253">
        <v>9500000</v>
      </c>
      <c r="F207" s="104" t="s">
        <v>218</v>
      </c>
      <c r="G207" s="206">
        <v>0.9</v>
      </c>
      <c r="H207" s="206">
        <v>1</v>
      </c>
      <c r="I207" s="216"/>
      <c r="J207" s="206">
        <v>1</v>
      </c>
      <c r="K207" s="206">
        <v>1</v>
      </c>
      <c r="L207" s="183">
        <v>0</v>
      </c>
      <c r="M207" s="183">
        <v>0.25</v>
      </c>
      <c r="N207" s="183"/>
      <c r="O207" s="184"/>
      <c r="P207" s="183">
        <v>0</v>
      </c>
      <c r="Q207" s="183">
        <v>0</v>
      </c>
      <c r="R207" s="183">
        <v>0</v>
      </c>
      <c r="S207" s="183">
        <v>0</v>
      </c>
      <c r="T207" s="183">
        <v>0</v>
      </c>
      <c r="U207" s="183">
        <v>0</v>
      </c>
      <c r="V207" s="139">
        <v>0.5</v>
      </c>
      <c r="W207" s="163">
        <f>Таблица32[[#This Row],[Столбец7]]*Таблица32[[#This Row],[Ishga kelish nazoratchi2]]%</f>
        <v>0</v>
      </c>
      <c r="X207" s="168">
        <f>Таблица32[[#This Row],[Столбец7]]*Таблица32[[#This Row],[Ishga vaqtida kelish ketish]]%</f>
        <v>85500.000000000015</v>
      </c>
      <c r="Y207" s="134">
        <f>Таблица32[[#This Row],[Столбец7]]*Таблица32[[#This Row],[Ishga kelish bank klient]]%</f>
        <v>95000</v>
      </c>
      <c r="Z207" s="168">
        <f>Таблица32[[#This Row],[Столбец7]]*Таблица32[[#This Row],[Gruppa buxgalter]]%</f>
        <v>95000</v>
      </c>
      <c r="AA207" s="168">
        <f>Таблица32[[#This Row],[Столбец7]]*Таблица32[[#This Row],[Gruppa bank klient ]]%</f>
        <v>95000</v>
      </c>
      <c r="AB207" s="168">
        <f>Таблица32[[#This Row],[1c]]*Таблица32[[#This Row],[Столбец7]]/100</f>
        <v>0</v>
      </c>
      <c r="AC207" s="181">
        <f>SUM(Таблица32[[#This Row],[Didox]:[ мехнат]],Таблица32[[#This Row],[Avtokameral]])*Таблица32[[#This Row],[Столбец7]]/100</f>
        <v>23750</v>
      </c>
      <c r="AD207" s="196">
        <f>SUM(Таблица32[[#This Row],[Pul oqimlari]:[Foyda va zarar]])*Таблица32[[#This Row],[Столбец7]]/100</f>
        <v>0</v>
      </c>
      <c r="AE207" s="197">
        <f>Таблица32[[#This Row],[Столбец7]]*Таблица32[[#This Row],[Nazoratchi]]%</f>
        <v>47500</v>
      </c>
      <c r="AF207" s="168">
        <f>Таблица32[[#This Row],[Ishga vaqtida kelish nazoratchi]]+Таблица32[[#This Row],[Nazoratchi2]]</f>
        <v>47500</v>
      </c>
      <c r="AG20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204250</v>
      </c>
      <c r="AH207" s="168">
        <f>Таблица32[[#This Row],[Ishga kelish bank klient3]]+Таблица32[[#This Row],[Gruppa bank klient 2]]</f>
        <v>190000</v>
      </c>
    </row>
    <row r="208" spans="1:34" ht="18.75" x14ac:dyDescent="0.3">
      <c r="A208" s="130">
        <v>206</v>
      </c>
      <c r="B208" s="236" t="s">
        <v>503</v>
      </c>
      <c r="C208" s="236" t="s">
        <v>434</v>
      </c>
      <c r="D208" s="106" t="s">
        <v>240</v>
      </c>
      <c r="E208" s="253">
        <v>9500000</v>
      </c>
      <c r="F208" s="104" t="s">
        <v>238</v>
      </c>
      <c r="G208" s="206">
        <v>-0.05</v>
      </c>
      <c r="H208" s="206">
        <v>1</v>
      </c>
      <c r="I208" s="216"/>
      <c r="J208" s="206">
        <v>1</v>
      </c>
      <c r="K208" s="206">
        <v>1</v>
      </c>
      <c r="L208" s="183">
        <v>-0.25</v>
      </c>
      <c r="M208" s="183">
        <v>0.25</v>
      </c>
      <c r="N208" s="183"/>
      <c r="O208" s="183"/>
      <c r="P208" s="183">
        <v>-0.25</v>
      </c>
      <c r="Q208" s="183">
        <v>0.2</v>
      </c>
      <c r="R208" s="183">
        <v>0.2</v>
      </c>
      <c r="S208" s="183">
        <v>0.2</v>
      </c>
      <c r="T208" s="183">
        <v>0.2</v>
      </c>
      <c r="U208" s="183">
        <v>-0.2</v>
      </c>
      <c r="V208" s="105">
        <v>0.5</v>
      </c>
      <c r="W208" s="163">
        <f>Таблица32[[#This Row],[Столбец7]]*Таблица32[[#This Row],[Ishga kelish nazoratchi2]]%</f>
        <v>0</v>
      </c>
      <c r="X208" s="168">
        <f>Таблица32[[#This Row],[Столбец7]]*Таблица32[[#This Row],[Ishga vaqtida kelish ketish]]%</f>
        <v>-4750</v>
      </c>
      <c r="Y208" s="134">
        <f>Таблица32[[#This Row],[Столбец7]]*Таблица32[[#This Row],[Ishga kelish bank klient]]%</f>
        <v>95000</v>
      </c>
      <c r="Z208" s="168">
        <f>Таблица32[[#This Row],[Столбец7]]*Таблица32[[#This Row],[Gruppa buxgalter]]%</f>
        <v>95000</v>
      </c>
      <c r="AA208" s="168">
        <f>Таблица32[[#This Row],[Столбец7]]*Таблица32[[#This Row],[Gruppa bank klient ]]%</f>
        <v>95000</v>
      </c>
      <c r="AB208" s="168">
        <f>Таблица32[[#This Row],[1c]]*Таблица32[[#This Row],[Столбец7]]/100</f>
        <v>0</v>
      </c>
      <c r="AC208" s="181">
        <f>SUM(Таблица32[[#This Row],[Didox]:[ мехнат]],Таблица32[[#This Row],[Avtokameral]])*Таблица32[[#This Row],[Столбец7]]/100</f>
        <v>-23750</v>
      </c>
      <c r="AD208" s="196">
        <f>SUM(Таблица32[[#This Row],[Pul oqimlari]:[Foyda va zarar]])*Таблица32[[#This Row],[Столбец7]]/100</f>
        <v>57000.000000000007</v>
      </c>
      <c r="AE208" s="197">
        <f>Таблица32[[#This Row],[Столбец7]]*Таблица32[[#This Row],[Nazoratchi]]%</f>
        <v>47500</v>
      </c>
      <c r="AF208" s="168">
        <f>Таблица32[[#This Row],[Ishga vaqtida kelish nazoratchi]]+Таблица32[[#This Row],[Nazoratchi2]]</f>
        <v>47500</v>
      </c>
      <c r="AG20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123500</v>
      </c>
      <c r="AH208" s="168">
        <f>Таблица32[[#This Row],[Ishga kelish bank klient3]]+Таблица32[[#This Row],[Gruppa bank klient 2]]</f>
        <v>190000</v>
      </c>
    </row>
    <row r="209" spans="1:34" ht="18.75" x14ac:dyDescent="0.3">
      <c r="A209" s="130">
        <v>207</v>
      </c>
      <c r="B209" s="236" t="s">
        <v>504</v>
      </c>
      <c r="C209" s="236" t="s">
        <v>434</v>
      </c>
      <c r="D209" s="236"/>
      <c r="E209" s="253">
        <v>1000000</v>
      </c>
      <c r="F209" s="104" t="s">
        <v>238</v>
      </c>
      <c r="G209" s="206">
        <v>-0.05</v>
      </c>
      <c r="H209" s="212"/>
      <c r="I209" s="216"/>
      <c r="J209" s="206">
        <v>1</v>
      </c>
      <c r="K209" s="206"/>
      <c r="L209" s="183">
        <v>0</v>
      </c>
      <c r="M209" s="183">
        <v>0</v>
      </c>
      <c r="N209" s="183">
        <v>0</v>
      </c>
      <c r="O209" s="183"/>
      <c r="P209" s="183">
        <v>0</v>
      </c>
      <c r="Q209" s="183">
        <v>0.2</v>
      </c>
      <c r="R209" s="183">
        <v>0.2</v>
      </c>
      <c r="S209" s="183">
        <v>0.2</v>
      </c>
      <c r="T209" s="183">
        <v>0</v>
      </c>
      <c r="U209" s="183">
        <v>0</v>
      </c>
      <c r="V209" s="105">
        <v>0.5</v>
      </c>
      <c r="W209" s="163">
        <f>Таблица32[[#This Row],[Столбец7]]*Таблица32[[#This Row],[Ishga kelish nazoratchi2]]%</f>
        <v>0</v>
      </c>
      <c r="X209" s="168">
        <f>Таблица32[[#This Row],[Столбец7]]*Таблица32[[#This Row],[Ishga vaqtida kelish ketish]]%</f>
        <v>-500</v>
      </c>
      <c r="Y209" s="134">
        <f>Таблица32[[#This Row],[Столбец7]]*Таблица32[[#This Row],[Ishga kelish bank klient]]%</f>
        <v>0</v>
      </c>
      <c r="Z209" s="168">
        <f>Таблица32[[#This Row],[Столбец7]]*Таблица32[[#This Row],[Gruppa buxgalter]]%</f>
        <v>10000</v>
      </c>
      <c r="AA209" s="168">
        <f>Таблица32[[#This Row],[Столбец7]]*Таблица32[[#This Row],[Gruppa bank klient ]]%</f>
        <v>0</v>
      </c>
      <c r="AB209" s="168">
        <f>Таблица32[[#This Row],[1c]]*Таблица32[[#This Row],[Столбец7]]/100</f>
        <v>0</v>
      </c>
      <c r="AC209" s="181">
        <f>SUM(Таблица32[[#This Row],[Didox]:[ мехнат]],Таблица32[[#This Row],[Avtokameral]])*Таблица32[[#This Row],[Столбец7]]/100</f>
        <v>0</v>
      </c>
      <c r="AD209" s="196">
        <f>SUM(Таблица32[[#This Row],[Pul oqimlari]:[Foyda va zarar]])*Таблица32[[#This Row],[Столбец7]]/100</f>
        <v>6000.0000000000009</v>
      </c>
      <c r="AE209" s="197">
        <f>Таблица32[[#This Row],[Столбец7]]*Таблица32[[#This Row],[Nazoratchi]]%</f>
        <v>5000</v>
      </c>
      <c r="AF209" s="168">
        <f>Таблица32[[#This Row],[Ishga vaqtida kelish nazoratchi]]+Таблица32[[#This Row],[Nazoratchi2]]</f>
        <v>5000</v>
      </c>
      <c r="AG20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15500</v>
      </c>
      <c r="AH209" s="168">
        <f>Таблица32[[#This Row],[Ishga kelish bank klient3]]+Таблица32[[#This Row],[Gruppa bank klient 2]]</f>
        <v>0</v>
      </c>
    </row>
    <row r="210" spans="1:34" ht="18.75" x14ac:dyDescent="0.3">
      <c r="A210" s="130">
        <v>208</v>
      </c>
      <c r="B210" s="236" t="s">
        <v>505</v>
      </c>
      <c r="C210" s="236" t="s">
        <v>467</v>
      </c>
      <c r="D210" s="236" t="s">
        <v>551</v>
      </c>
      <c r="E210" s="253">
        <v>7000000</v>
      </c>
      <c r="F210" s="104" t="s">
        <v>218</v>
      </c>
      <c r="G210" s="206"/>
      <c r="H210" s="212"/>
      <c r="I210" s="216"/>
      <c r="J210" s="206">
        <v>-1</v>
      </c>
      <c r="K210" s="206">
        <v>1</v>
      </c>
      <c r="L210" s="183">
        <v>-0.25</v>
      </c>
      <c r="M210" s="183">
        <v>0.25</v>
      </c>
      <c r="N210" s="183"/>
      <c r="O210" s="183"/>
      <c r="P210" s="183">
        <v>0</v>
      </c>
      <c r="Q210" s="183">
        <v>-0.2</v>
      </c>
      <c r="R210" s="183">
        <v>-0.2</v>
      </c>
      <c r="S210" s="183">
        <v>-0.2</v>
      </c>
      <c r="T210" s="183">
        <v>0</v>
      </c>
      <c r="U210" s="183">
        <v>0</v>
      </c>
      <c r="V210" s="139">
        <v>-1</v>
      </c>
      <c r="W210" s="163">
        <f>Таблица32[[#This Row],[Столбец7]]*Таблица32[[#This Row],[Ishga kelish nazoratchi2]]%</f>
        <v>0</v>
      </c>
      <c r="X210" s="168">
        <f>Таблица32[[#This Row],[Столбец7]]*Таблица32[[#This Row],[Ishga vaqtida kelish ketish]]%</f>
        <v>0</v>
      </c>
      <c r="Y210" s="134">
        <f>Таблица32[[#This Row],[Столбец7]]*Таблица32[[#This Row],[Ishga kelish bank klient]]%</f>
        <v>0</v>
      </c>
      <c r="Z210" s="168">
        <f>Таблица32[[#This Row],[Столбец7]]*Таблица32[[#This Row],[Gruppa buxgalter]]%</f>
        <v>-70000</v>
      </c>
      <c r="AA210" s="168">
        <f>Таблица32[[#This Row],[Столбец7]]*Таблица32[[#This Row],[Gruppa bank klient ]]%</f>
        <v>70000</v>
      </c>
      <c r="AB210" s="168">
        <f>Таблица32[[#This Row],[1c]]*Таблица32[[#This Row],[Столбец7]]/100</f>
        <v>0</v>
      </c>
      <c r="AC210" s="181">
        <f>SUM(Таблица32[[#This Row],[Didox]:[ мехнат]],Таблица32[[#This Row],[Avtokameral]])*Таблица32[[#This Row],[Столбец7]]/100</f>
        <v>0</v>
      </c>
      <c r="AD210" s="196">
        <f>SUM(Таблица32[[#This Row],[Pul oqimlari]:[Foyda va zarar]])*Таблица32[[#This Row],[Столбец7]]/100</f>
        <v>-42000.000000000007</v>
      </c>
      <c r="AE210" s="197">
        <f>Таблица32[[#This Row],[Столбец7]]*Таблица32[[#This Row],[Nazoratchi]]%</f>
        <v>-70000</v>
      </c>
      <c r="AF210" s="168">
        <f>Таблица32[[#This Row],[Ishga vaqtida kelish nazoratchi]]+Таблица32[[#This Row],[Nazoratchi2]]</f>
        <v>-70000</v>
      </c>
      <c r="AG21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-112000</v>
      </c>
      <c r="AH210" s="168">
        <f>Таблица32[[#This Row],[Ishga kelish bank klient3]]+Таблица32[[#This Row],[Gruppa bank klient 2]]</f>
        <v>70000</v>
      </c>
    </row>
    <row r="211" spans="1:34" ht="18.75" x14ac:dyDescent="0.3">
      <c r="A211" s="130">
        <v>209</v>
      </c>
      <c r="B211" s="236" t="s">
        <v>506</v>
      </c>
      <c r="C211" s="236" t="s">
        <v>467</v>
      </c>
      <c r="D211" s="236"/>
      <c r="E211" s="253">
        <v>0</v>
      </c>
      <c r="F211" s="104" t="s">
        <v>218</v>
      </c>
      <c r="G211" s="206"/>
      <c r="H211" s="212"/>
      <c r="I211" s="216"/>
      <c r="J211" s="206">
        <v>1</v>
      </c>
      <c r="K211" s="206"/>
      <c r="L211" s="183">
        <v>0</v>
      </c>
      <c r="M211" s="183">
        <v>0</v>
      </c>
      <c r="N211" s="183">
        <v>0</v>
      </c>
      <c r="O211" s="183"/>
      <c r="P211" s="183">
        <v>0</v>
      </c>
      <c r="Q211" s="183">
        <v>0</v>
      </c>
      <c r="R211" s="183">
        <v>0</v>
      </c>
      <c r="S211" s="183">
        <v>0</v>
      </c>
      <c r="T211" s="183">
        <v>0</v>
      </c>
      <c r="U211" s="183">
        <v>0</v>
      </c>
      <c r="V211" s="139">
        <v>1</v>
      </c>
      <c r="W211" s="163">
        <f>Таблица32[[#This Row],[Столбец7]]*Таблица32[[#This Row],[Ishga kelish nazoratchi2]]%</f>
        <v>0</v>
      </c>
      <c r="X211" s="168">
        <f>Таблица32[[#This Row],[Столбец7]]*Таблица32[[#This Row],[Ishga vaqtida kelish ketish]]%</f>
        <v>0</v>
      </c>
      <c r="Y211" s="134">
        <f>Таблица32[[#This Row],[Столбец7]]*Таблица32[[#This Row],[Ishga kelish bank klient]]%</f>
        <v>0</v>
      </c>
      <c r="Z211" s="168">
        <f>Таблица32[[#This Row],[Столбец7]]*Таблица32[[#This Row],[Gruppa buxgalter]]%</f>
        <v>0</v>
      </c>
      <c r="AA211" s="168">
        <f>Таблица32[[#This Row],[Столбец7]]*Таблица32[[#This Row],[Gruppa bank klient ]]%</f>
        <v>0</v>
      </c>
      <c r="AB211" s="168">
        <f>Таблица32[[#This Row],[1c]]*Таблица32[[#This Row],[Столбец7]]/100</f>
        <v>0</v>
      </c>
      <c r="AC211" s="181">
        <f>SUM(Таблица32[[#This Row],[Didox]:[ мехнат]],Таблица32[[#This Row],[Avtokameral]])*Таблица32[[#This Row],[Столбец7]]/100</f>
        <v>0</v>
      </c>
      <c r="AD211" s="196">
        <f>SUM(Таблица32[[#This Row],[Pul oqimlari]:[Foyda va zarar]])*Таблица32[[#This Row],[Столбец7]]/100</f>
        <v>0</v>
      </c>
      <c r="AE211" s="197">
        <f>Таблица32[[#This Row],[Столбец7]]*Таблица32[[#This Row],[Nazoratchi]]%</f>
        <v>0</v>
      </c>
      <c r="AF211" s="168">
        <f>Таблица32[[#This Row],[Ishga vaqtida kelish nazoratchi]]+Таблица32[[#This Row],[Nazoratchi2]]</f>
        <v>0</v>
      </c>
      <c r="AG21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11" s="168">
        <f>Таблица32[[#This Row],[Ishga kelish bank klient3]]+Таблица32[[#This Row],[Gruppa bank klient 2]]</f>
        <v>0</v>
      </c>
    </row>
    <row r="212" spans="1:34" ht="18.75" x14ac:dyDescent="0.3">
      <c r="A212" s="130">
        <v>210</v>
      </c>
      <c r="B212" s="236" t="s">
        <v>507</v>
      </c>
      <c r="C212" s="236" t="s">
        <v>467</v>
      </c>
      <c r="D212" s="236" t="s">
        <v>551</v>
      </c>
      <c r="E212" s="253">
        <v>3000000</v>
      </c>
      <c r="F212" s="104" t="s">
        <v>218</v>
      </c>
      <c r="G212" s="206"/>
      <c r="H212" s="212"/>
      <c r="I212" s="216"/>
      <c r="J212" s="206">
        <v>-2.5</v>
      </c>
      <c r="K212" s="206">
        <v>-0.5</v>
      </c>
      <c r="L212" s="183">
        <v>-0.25</v>
      </c>
      <c r="M212" s="183">
        <v>0.25</v>
      </c>
      <c r="N212" s="183"/>
      <c r="O212" s="183"/>
      <c r="P212" s="183">
        <v>0</v>
      </c>
      <c r="Q212" s="183">
        <v>-0.2</v>
      </c>
      <c r="R212" s="183">
        <v>-0.2</v>
      </c>
      <c r="S212" s="183">
        <v>-0.2</v>
      </c>
      <c r="T212" s="183">
        <v>0</v>
      </c>
      <c r="U212" s="183">
        <v>0</v>
      </c>
      <c r="V212" s="139">
        <v>-2.5</v>
      </c>
      <c r="W212" s="163">
        <f>Таблица32[[#This Row],[Столбец7]]*Таблица32[[#This Row],[Ishga kelish nazoratchi2]]%</f>
        <v>0</v>
      </c>
      <c r="X212" s="168">
        <f>Таблица32[[#This Row],[Столбец7]]*Таблица32[[#This Row],[Ishga vaqtida kelish ketish]]%</f>
        <v>0</v>
      </c>
      <c r="Y212" s="134">
        <f>Таблица32[[#This Row],[Столбец7]]*Таблица32[[#This Row],[Ishga kelish bank klient]]%</f>
        <v>0</v>
      </c>
      <c r="Z212" s="168">
        <f>Таблица32[[#This Row],[Столбец7]]*Таблица32[[#This Row],[Gruppa buxgalter]]%</f>
        <v>-75000</v>
      </c>
      <c r="AA212" s="168">
        <f>Таблица32[[#This Row],[Столбец7]]*Таблица32[[#This Row],[Gruppa bank klient ]]%</f>
        <v>-15000</v>
      </c>
      <c r="AB212" s="168">
        <f>Таблица32[[#This Row],[1c]]*Таблица32[[#This Row],[Столбец7]]/100</f>
        <v>0</v>
      </c>
      <c r="AC212" s="181">
        <f>SUM(Таблица32[[#This Row],[Didox]:[ мехнат]],Таблица32[[#This Row],[Avtokameral]])*Таблица32[[#This Row],[Столбец7]]/100</f>
        <v>0</v>
      </c>
      <c r="AD212" s="196">
        <f>SUM(Таблица32[[#This Row],[Pul oqimlari]:[Foyda va zarar]])*Таблица32[[#This Row],[Столбец7]]/100</f>
        <v>-18000.000000000004</v>
      </c>
      <c r="AE212" s="197">
        <f>Таблица32[[#This Row],[Столбец7]]*Таблица32[[#This Row],[Nazoratchi]]%</f>
        <v>-75000</v>
      </c>
      <c r="AF212" s="168">
        <f>Таблица32[[#This Row],[Ishga vaqtida kelish nazoratchi]]+Таблица32[[#This Row],[Nazoratchi2]]</f>
        <v>-75000</v>
      </c>
      <c r="AG21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-93000</v>
      </c>
      <c r="AH212" s="168">
        <f>Таблица32[[#This Row],[Ishga kelish bank klient3]]+Таблица32[[#This Row],[Gruppa bank klient 2]]</f>
        <v>-15000</v>
      </c>
    </row>
    <row r="213" spans="1:34" ht="18.75" x14ac:dyDescent="0.3">
      <c r="A213" s="130">
        <v>211</v>
      </c>
      <c r="B213" s="236" t="s">
        <v>508</v>
      </c>
      <c r="C213" s="236" t="s">
        <v>549</v>
      </c>
      <c r="D213" s="236" t="s">
        <v>551</v>
      </c>
      <c r="E213" s="253">
        <v>500000</v>
      </c>
      <c r="F213" s="104" t="s">
        <v>238</v>
      </c>
      <c r="G213" s="206">
        <v>-2.9</v>
      </c>
      <c r="H213" s="212"/>
      <c r="I213" s="216"/>
      <c r="J213" s="206">
        <v>-0.5</v>
      </c>
      <c r="K213" s="206">
        <v>1</v>
      </c>
      <c r="L213" s="183">
        <v>0.25</v>
      </c>
      <c r="M213" s="183">
        <v>0.25</v>
      </c>
      <c r="N213" s="183"/>
      <c r="O213" s="183"/>
      <c r="P213" s="183">
        <v>0.25</v>
      </c>
      <c r="Q213" s="183">
        <v>-0.2</v>
      </c>
      <c r="R213" s="183">
        <v>-0.2</v>
      </c>
      <c r="S213" s="183">
        <v>-0.2</v>
      </c>
      <c r="T213" s="183">
        <v>-0.2</v>
      </c>
      <c r="U213" s="183">
        <v>-0.2</v>
      </c>
      <c r="V213" s="139">
        <v>-0.5</v>
      </c>
      <c r="W213" s="163">
        <f>Таблица32[[#This Row],[Столбец7]]*Таблица32[[#This Row],[Ishga kelish nazoratchi2]]%</f>
        <v>0</v>
      </c>
      <c r="X213" s="168">
        <f>Таблица32[[#This Row],[Столбец7]]*Таблица32[[#This Row],[Ishga vaqtida kelish ketish]]%</f>
        <v>-14499.999999999998</v>
      </c>
      <c r="Y213" s="134">
        <f>Таблица32[[#This Row],[Столбец7]]*Таблица32[[#This Row],[Ishga kelish bank klient]]%</f>
        <v>0</v>
      </c>
      <c r="Z213" s="168">
        <f>Таблица32[[#This Row],[Столбец7]]*Таблица32[[#This Row],[Gruppa buxgalter]]%</f>
        <v>-2500</v>
      </c>
      <c r="AA213" s="168">
        <f>Таблица32[[#This Row],[Столбец7]]*Таблица32[[#This Row],[Gruppa bank klient ]]%</f>
        <v>5000</v>
      </c>
      <c r="AB213" s="168">
        <f>Таблица32[[#This Row],[1c]]*Таблица32[[#This Row],[Столбец7]]/100</f>
        <v>0</v>
      </c>
      <c r="AC213" s="181">
        <f>SUM(Таблица32[[#This Row],[Didox]:[ мехнат]],Таблица32[[#This Row],[Avtokameral]])*Таблица32[[#This Row],[Столбец7]]/100</f>
        <v>3750</v>
      </c>
      <c r="AD213" s="196">
        <f>SUM(Таблица32[[#This Row],[Pul oqimlari]:[Foyda va zarar]])*Таблица32[[#This Row],[Столбец7]]/100</f>
        <v>-5000</v>
      </c>
      <c r="AE213" s="197">
        <f>Таблица32[[#This Row],[Столбец7]]*Таблица32[[#This Row],[Nazoratchi]]%</f>
        <v>-2500</v>
      </c>
      <c r="AF213" s="168">
        <f>Таблица32[[#This Row],[Ishga vaqtida kelish nazoratchi]]+Таблица32[[#This Row],[Nazoratchi2]]</f>
        <v>-2500</v>
      </c>
      <c r="AG21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-18250</v>
      </c>
      <c r="AH213" s="168">
        <f>Таблица32[[#This Row],[Ishga kelish bank klient3]]+Таблица32[[#This Row],[Gruppa bank klient 2]]</f>
        <v>5000</v>
      </c>
    </row>
    <row r="214" spans="1:34" ht="18.75" x14ac:dyDescent="0.3">
      <c r="A214" s="130">
        <v>212</v>
      </c>
      <c r="B214" s="236" t="s">
        <v>509</v>
      </c>
      <c r="C214" s="236" t="s">
        <v>549</v>
      </c>
      <c r="D214" s="236" t="s">
        <v>551</v>
      </c>
      <c r="E214" s="253">
        <v>500000</v>
      </c>
      <c r="F214" s="104" t="s">
        <v>238</v>
      </c>
      <c r="G214" s="206">
        <v>-2.9</v>
      </c>
      <c r="H214" s="212"/>
      <c r="I214" s="216"/>
      <c r="J214" s="206">
        <v>1</v>
      </c>
      <c r="K214" s="206">
        <v>-0.5</v>
      </c>
      <c r="L214" s="183">
        <v>0.25</v>
      </c>
      <c r="M214" s="183">
        <v>0.25</v>
      </c>
      <c r="N214" s="183"/>
      <c r="O214" s="183"/>
      <c r="P214" s="183">
        <v>0.25</v>
      </c>
      <c r="Q214" s="183">
        <v>-0.2</v>
      </c>
      <c r="R214" s="183">
        <v>-0.2</v>
      </c>
      <c r="S214" s="183">
        <v>-0.2</v>
      </c>
      <c r="T214" s="183">
        <v>-0.2</v>
      </c>
      <c r="U214" s="183">
        <v>-0.2</v>
      </c>
      <c r="V214" s="139">
        <v>0.5</v>
      </c>
      <c r="W214" s="163">
        <f>Таблица32[[#This Row],[Столбец7]]*Таблица32[[#This Row],[Ishga kelish nazoratchi2]]%</f>
        <v>0</v>
      </c>
      <c r="X214" s="168">
        <f>Таблица32[[#This Row],[Столбец7]]*Таблица32[[#This Row],[Ishga vaqtida kelish ketish]]%</f>
        <v>-14499.999999999998</v>
      </c>
      <c r="Y214" s="134">
        <f>Таблица32[[#This Row],[Столбец7]]*Таблица32[[#This Row],[Ishga kelish bank klient]]%</f>
        <v>0</v>
      </c>
      <c r="Z214" s="168">
        <f>Таблица32[[#This Row],[Столбец7]]*Таблица32[[#This Row],[Gruppa buxgalter]]%</f>
        <v>5000</v>
      </c>
      <c r="AA214" s="168">
        <f>Таблица32[[#This Row],[Столбец7]]*Таблица32[[#This Row],[Gruppa bank klient ]]%</f>
        <v>-2500</v>
      </c>
      <c r="AB214" s="168">
        <f>Таблица32[[#This Row],[1c]]*Таблица32[[#This Row],[Столбец7]]/100</f>
        <v>0</v>
      </c>
      <c r="AC214" s="181">
        <f>SUM(Таблица32[[#This Row],[Didox]:[ мехнат]],Таблица32[[#This Row],[Avtokameral]])*Таблица32[[#This Row],[Столбец7]]/100</f>
        <v>3750</v>
      </c>
      <c r="AD214" s="196">
        <f>SUM(Таблица32[[#This Row],[Pul oqimlari]:[Foyda va zarar]])*Таблица32[[#This Row],[Столбец7]]/100</f>
        <v>-5000</v>
      </c>
      <c r="AE214" s="197">
        <f>Таблица32[[#This Row],[Столбец7]]*Таблица32[[#This Row],[Nazoratchi]]%</f>
        <v>2500</v>
      </c>
      <c r="AF214" s="168">
        <f>Таблица32[[#This Row],[Ishga vaqtida kelish nazoratchi]]+Таблица32[[#This Row],[Nazoratchi2]]</f>
        <v>2500</v>
      </c>
      <c r="AG21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-10749.999999999998</v>
      </c>
      <c r="AH214" s="168">
        <f>Таблица32[[#This Row],[Ishga kelish bank klient3]]+Таблица32[[#This Row],[Gruppa bank klient 2]]</f>
        <v>-2500</v>
      </c>
    </row>
    <row r="215" spans="1:34" ht="18.75" x14ac:dyDescent="0.3">
      <c r="A215" s="130">
        <v>213</v>
      </c>
      <c r="B215" s="236" t="s">
        <v>510</v>
      </c>
      <c r="C215" s="236" t="s">
        <v>549</v>
      </c>
      <c r="D215" s="236" t="s">
        <v>551</v>
      </c>
      <c r="E215" s="253">
        <v>1000000</v>
      </c>
      <c r="F215" s="104" t="s">
        <v>238</v>
      </c>
      <c r="G215" s="206">
        <v>-2.9</v>
      </c>
      <c r="H215" s="212"/>
      <c r="I215" s="216"/>
      <c r="J215" s="206">
        <v>1</v>
      </c>
      <c r="K215" s="206">
        <v>1</v>
      </c>
      <c r="L215" s="183">
        <v>0.25</v>
      </c>
      <c r="M215" s="183">
        <v>-0.25</v>
      </c>
      <c r="N215" s="183"/>
      <c r="O215" s="183"/>
      <c r="P215" s="183">
        <v>0.25</v>
      </c>
      <c r="Q215" s="183">
        <v>-0.2</v>
      </c>
      <c r="R215" s="183">
        <v>0.2</v>
      </c>
      <c r="S215" s="183">
        <v>-0.2</v>
      </c>
      <c r="T215" s="183">
        <v>-0.2</v>
      </c>
      <c r="U215" s="183">
        <v>-0.2</v>
      </c>
      <c r="V215" s="139">
        <v>0.5</v>
      </c>
      <c r="W215" s="163">
        <f>Таблица32[[#This Row],[Столбец7]]*Таблица32[[#This Row],[Ishga kelish nazoratchi2]]%</f>
        <v>0</v>
      </c>
      <c r="X215" s="168">
        <f>Таблица32[[#This Row],[Столбец7]]*Таблица32[[#This Row],[Ishga vaqtida kelish ketish]]%</f>
        <v>-28999.999999999996</v>
      </c>
      <c r="Y215" s="134">
        <f>Таблица32[[#This Row],[Столбец7]]*Таблица32[[#This Row],[Ishga kelish bank klient]]%</f>
        <v>0</v>
      </c>
      <c r="Z215" s="168">
        <f>Таблица32[[#This Row],[Столбец7]]*Таблица32[[#This Row],[Gruppa buxgalter]]%</f>
        <v>10000</v>
      </c>
      <c r="AA215" s="168">
        <f>Таблица32[[#This Row],[Столбец7]]*Таблица32[[#This Row],[Gruppa bank klient ]]%</f>
        <v>10000</v>
      </c>
      <c r="AB215" s="168">
        <f>Таблица32[[#This Row],[1c]]*Таблица32[[#This Row],[Столбец7]]/100</f>
        <v>0</v>
      </c>
      <c r="AC215" s="181">
        <f>SUM(Таблица32[[#This Row],[Didox]:[ мехнат]],Таблица32[[#This Row],[Avtokameral]])*Таблица32[[#This Row],[Столбец7]]/100</f>
        <v>2500</v>
      </c>
      <c r="AD215" s="196">
        <f>SUM(Таблица32[[#This Row],[Pul oqimlari]:[Foyda va zarar]])*Таблица32[[#This Row],[Столбец7]]/100</f>
        <v>-6000.0000000000009</v>
      </c>
      <c r="AE215" s="197">
        <f>Таблица32[[#This Row],[Столбец7]]*Таблица32[[#This Row],[Nazoratchi]]%</f>
        <v>5000</v>
      </c>
      <c r="AF215" s="168">
        <f>Таблица32[[#This Row],[Ishga vaqtida kelish nazoratchi]]+Таблица32[[#This Row],[Nazoratchi2]]</f>
        <v>5000</v>
      </c>
      <c r="AG21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-22499.999999999996</v>
      </c>
      <c r="AH215" s="168">
        <f>Таблица32[[#This Row],[Ishga kelish bank klient3]]+Таблица32[[#This Row],[Gruppa bank klient 2]]</f>
        <v>10000</v>
      </c>
    </row>
    <row r="216" spans="1:34" ht="18.75" x14ac:dyDescent="0.3">
      <c r="A216" s="130">
        <v>214</v>
      </c>
      <c r="B216" s="236" t="s">
        <v>511</v>
      </c>
      <c r="C216" s="236" t="s">
        <v>308</v>
      </c>
      <c r="D216" s="106" t="s">
        <v>240</v>
      </c>
      <c r="E216" s="253">
        <v>8000000</v>
      </c>
      <c r="F216" s="104" t="s">
        <v>218</v>
      </c>
      <c r="G216" s="206">
        <v>0.9</v>
      </c>
      <c r="H216" s="206">
        <v>1</v>
      </c>
      <c r="I216" s="216"/>
      <c r="J216" s="206">
        <v>1</v>
      </c>
      <c r="K216" s="206">
        <v>1</v>
      </c>
      <c r="L216" s="183">
        <v>-0.25</v>
      </c>
      <c r="M216" s="183">
        <v>0.25</v>
      </c>
      <c r="N216" s="183">
        <v>0.25</v>
      </c>
      <c r="O216" s="184"/>
      <c r="P216" s="183">
        <v>-0.25</v>
      </c>
      <c r="Q216" s="183">
        <v>0.2</v>
      </c>
      <c r="R216" s="183">
        <v>0.2</v>
      </c>
      <c r="S216" s="183">
        <v>0.2</v>
      </c>
      <c r="T216" s="183">
        <v>0.2</v>
      </c>
      <c r="U216" s="183">
        <v>0.2</v>
      </c>
      <c r="V216" s="139">
        <v>0.5</v>
      </c>
      <c r="W216" s="163">
        <f>Таблица32[[#This Row],[Столбец7]]*Таблица32[[#This Row],[Ishga kelish nazoratchi2]]%</f>
        <v>0</v>
      </c>
      <c r="X216" s="168">
        <f>Таблица32[[#This Row],[Столбец7]]*Таблица32[[#This Row],[Ishga vaqtida kelish ketish]]%</f>
        <v>72000.000000000015</v>
      </c>
      <c r="Y216" s="134">
        <f>Таблица32[[#This Row],[Столбец7]]*Таблица32[[#This Row],[Ishga kelish bank klient]]%</f>
        <v>80000</v>
      </c>
      <c r="Z216" s="168">
        <f>Таблица32[[#This Row],[Столбец7]]*Таблица32[[#This Row],[Gruppa buxgalter]]%</f>
        <v>80000</v>
      </c>
      <c r="AA216" s="168">
        <f>Таблица32[[#This Row],[Столбец7]]*Таблица32[[#This Row],[Gruppa bank klient ]]%</f>
        <v>80000</v>
      </c>
      <c r="AB216" s="168">
        <f>Таблица32[[#This Row],[1c]]*Таблица32[[#This Row],[Столбец7]]/100</f>
        <v>0</v>
      </c>
      <c r="AC216" s="181">
        <f>SUM(Таблица32[[#This Row],[Didox]:[ мехнат]],Таблица32[[#This Row],[Avtokameral]])*Таблица32[[#This Row],[Столбец7]]/100</f>
        <v>0</v>
      </c>
      <c r="AD216" s="196">
        <f>SUM(Таблица32[[#This Row],[Pul oqimlari]:[Foyda va zarar]])*Таблица32[[#This Row],[Столбец7]]/100</f>
        <v>80000</v>
      </c>
      <c r="AE216" s="197">
        <f>Таблица32[[#This Row],[Столбец7]]*Таблица32[[#This Row],[Nazoratchi]]%</f>
        <v>40000</v>
      </c>
      <c r="AF216" s="168">
        <f>Таблица32[[#This Row],[Ishga vaqtida kelish nazoratchi]]+Таблица32[[#This Row],[Nazoratchi2]]</f>
        <v>40000</v>
      </c>
      <c r="AG21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232000</v>
      </c>
      <c r="AH216" s="168">
        <f>Таблица32[[#This Row],[Ishga kelish bank klient3]]+Таблица32[[#This Row],[Gruppa bank klient 2]]</f>
        <v>160000</v>
      </c>
    </row>
    <row r="217" spans="1:34" ht="18.75" x14ac:dyDescent="0.3">
      <c r="A217" s="130">
        <v>215</v>
      </c>
      <c r="B217" s="236" t="s">
        <v>512</v>
      </c>
      <c r="C217" s="236" t="s">
        <v>549</v>
      </c>
      <c r="D217" s="236"/>
      <c r="E217" s="253">
        <v>6000000</v>
      </c>
      <c r="F217" s="104" t="s">
        <v>238</v>
      </c>
      <c r="G217" s="206">
        <v>-2.9</v>
      </c>
      <c r="H217" s="212"/>
      <c r="I217" s="216"/>
      <c r="J217" s="206">
        <v>-0.5</v>
      </c>
      <c r="K217" s="206"/>
      <c r="L217" s="183">
        <v>0.25</v>
      </c>
      <c r="M217" s="183">
        <v>0.25</v>
      </c>
      <c r="N217" s="183"/>
      <c r="O217" s="183"/>
      <c r="P217" s="183">
        <v>-0.25</v>
      </c>
      <c r="Q217" s="183">
        <v>-0.2</v>
      </c>
      <c r="R217" s="183">
        <v>-0.2</v>
      </c>
      <c r="S217" s="183">
        <v>-0.2</v>
      </c>
      <c r="T217" s="183">
        <v>-0.2</v>
      </c>
      <c r="U217" s="183">
        <v>-0.2</v>
      </c>
      <c r="V217" s="139">
        <v>-0.5</v>
      </c>
      <c r="W217" s="163">
        <f>Таблица32[[#This Row],[Столбец7]]*Таблица32[[#This Row],[Ishga kelish nazoratchi2]]%</f>
        <v>0</v>
      </c>
      <c r="X217" s="168">
        <f>Таблица32[[#This Row],[Столбец7]]*Таблица32[[#This Row],[Ishga vaqtida kelish ketish]]%</f>
        <v>-174000</v>
      </c>
      <c r="Y217" s="134">
        <f>Таблица32[[#This Row],[Столбец7]]*Таблица32[[#This Row],[Ishga kelish bank klient]]%</f>
        <v>0</v>
      </c>
      <c r="Z217" s="168">
        <f>Таблица32[[#This Row],[Столбец7]]*Таблица32[[#This Row],[Gruppa buxgalter]]%</f>
        <v>-30000</v>
      </c>
      <c r="AA217" s="168">
        <f>Таблица32[[#This Row],[Столбец7]]*Таблица32[[#This Row],[Gruppa bank klient ]]%</f>
        <v>0</v>
      </c>
      <c r="AB217" s="168">
        <f>Таблица32[[#This Row],[1c]]*Таблица32[[#This Row],[Столбец7]]/100</f>
        <v>0</v>
      </c>
      <c r="AC217" s="181">
        <f>SUM(Таблица32[[#This Row],[Didox]:[ мехнат]],Таблица32[[#This Row],[Avtokameral]])*Таблица32[[#This Row],[Столбец7]]/100</f>
        <v>15000</v>
      </c>
      <c r="AD217" s="196">
        <f>SUM(Таблица32[[#This Row],[Pul oqimlari]:[Foyda va zarar]])*Таблица32[[#This Row],[Столбец7]]/100</f>
        <v>-60000</v>
      </c>
      <c r="AE217" s="197">
        <f>Таблица32[[#This Row],[Столбец7]]*Таблица32[[#This Row],[Nazoratchi]]%</f>
        <v>-30000</v>
      </c>
      <c r="AF217" s="168">
        <f>Таблица32[[#This Row],[Ishga vaqtida kelish nazoratchi]]+Таблица32[[#This Row],[Nazoratchi2]]</f>
        <v>-30000</v>
      </c>
      <c r="AG21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-249000</v>
      </c>
      <c r="AH217" s="168">
        <f>Таблица32[[#This Row],[Ishga kelish bank klient3]]+Таблица32[[#This Row],[Gruppa bank klient 2]]</f>
        <v>0</v>
      </c>
    </row>
    <row r="218" spans="1:34" ht="18.75" x14ac:dyDescent="0.3">
      <c r="A218" s="130">
        <v>216</v>
      </c>
      <c r="B218" s="236" t="s">
        <v>513</v>
      </c>
      <c r="C218" s="106" t="s">
        <v>310</v>
      </c>
      <c r="D218" s="236" t="s">
        <v>551</v>
      </c>
      <c r="E218" s="253">
        <v>1300000</v>
      </c>
      <c r="F218" s="104" t="s">
        <v>238</v>
      </c>
      <c r="G218" s="206">
        <v>0.65</v>
      </c>
      <c r="H218" s="212"/>
      <c r="I218" s="216"/>
      <c r="J218" s="206">
        <v>-0.5</v>
      </c>
      <c r="K218" s="206">
        <v>-0.5</v>
      </c>
      <c r="L218" s="183">
        <v>0.25</v>
      </c>
      <c r="M218" s="183">
        <v>0.25</v>
      </c>
      <c r="N218" s="183">
        <v>-0.25</v>
      </c>
      <c r="O218" s="183"/>
      <c r="P218" s="183">
        <v>0.25</v>
      </c>
      <c r="Q218" s="183">
        <v>0</v>
      </c>
      <c r="R218" s="183">
        <v>-0.2</v>
      </c>
      <c r="S218" s="183">
        <v>-0.2</v>
      </c>
      <c r="T218" s="183">
        <v>0</v>
      </c>
      <c r="U218" s="183">
        <v>0</v>
      </c>
      <c r="V218" s="139">
        <v>-0.5</v>
      </c>
      <c r="W218" s="163">
        <f>Таблица32[[#This Row],[Столбец7]]*Таблица32[[#This Row],[Ishga kelish nazoratchi2]]%</f>
        <v>0</v>
      </c>
      <c r="X218" s="168">
        <f>Таблица32[[#This Row],[Столбец7]]*Таблица32[[#This Row],[Ishga vaqtida kelish ketish]]%</f>
        <v>8450</v>
      </c>
      <c r="Y218" s="134">
        <f>Таблица32[[#This Row],[Столбец7]]*Таблица32[[#This Row],[Ishga kelish bank klient]]%</f>
        <v>0</v>
      </c>
      <c r="Z218" s="168">
        <f>Таблица32[[#This Row],[Столбец7]]*Таблица32[[#This Row],[Gruppa buxgalter]]%</f>
        <v>-6500</v>
      </c>
      <c r="AA218" s="168">
        <f>Таблица32[[#This Row],[Столбец7]]*Таблица32[[#This Row],[Gruppa bank klient ]]%</f>
        <v>-6500</v>
      </c>
      <c r="AB218" s="168">
        <f>Таблица32[[#This Row],[1c]]*Таблица32[[#This Row],[Столбец7]]/100</f>
        <v>0</v>
      </c>
      <c r="AC218" s="181">
        <f>SUM(Таблица32[[#This Row],[Didox]:[ мехнат]],Таблица32[[#This Row],[Avtokameral]])*Таблица32[[#This Row],[Столбец7]]/100</f>
        <v>6500</v>
      </c>
      <c r="AD218" s="196">
        <f>SUM(Таблица32[[#This Row],[Pul oqimlari]:[Foyda va zarar]])*Таблица32[[#This Row],[Столбец7]]/100</f>
        <v>-5200</v>
      </c>
      <c r="AE218" s="197">
        <f>Таблица32[[#This Row],[Столбец7]]*Таблица32[[#This Row],[Nazoratchi]]%</f>
        <v>-6500</v>
      </c>
      <c r="AF218" s="168">
        <f>Таблица32[[#This Row],[Ishga vaqtida kelish nazoratchi]]+Таблица32[[#This Row],[Nazoratchi2]]</f>
        <v>-6500</v>
      </c>
      <c r="AG21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3250</v>
      </c>
      <c r="AH218" s="168">
        <f>Таблица32[[#This Row],[Ishga kelish bank klient3]]+Таблица32[[#This Row],[Gruppa bank klient 2]]</f>
        <v>-6500</v>
      </c>
    </row>
    <row r="219" spans="1:34" ht="18.75" x14ac:dyDescent="0.3">
      <c r="A219" s="130">
        <v>217</v>
      </c>
      <c r="B219" s="236" t="s">
        <v>514</v>
      </c>
      <c r="C219" s="106" t="s">
        <v>310</v>
      </c>
      <c r="D219" s="236"/>
      <c r="E219" s="253">
        <v>1500000</v>
      </c>
      <c r="F219" s="104" t="s">
        <v>238</v>
      </c>
      <c r="G219" s="206">
        <v>0.65</v>
      </c>
      <c r="H219" s="212"/>
      <c r="I219" s="216"/>
      <c r="J219" s="206">
        <v>-2</v>
      </c>
      <c r="K219" s="206"/>
      <c r="L219" s="183">
        <v>0.25</v>
      </c>
      <c r="M219" s="183">
        <v>0.25</v>
      </c>
      <c r="N219" s="183"/>
      <c r="O219" s="183"/>
      <c r="P219" s="183">
        <v>0.25</v>
      </c>
      <c r="Q219" s="183">
        <v>0</v>
      </c>
      <c r="R219" s="183">
        <v>-0.2</v>
      </c>
      <c r="S219" s="183">
        <v>-0.2</v>
      </c>
      <c r="T219" s="183">
        <v>0</v>
      </c>
      <c r="U219" s="183">
        <v>0</v>
      </c>
      <c r="V219" s="139">
        <v>-2</v>
      </c>
      <c r="W219" s="163">
        <f>Таблица32[[#This Row],[Столбец7]]*Таблица32[[#This Row],[Ishga kelish nazoratchi2]]%</f>
        <v>0</v>
      </c>
      <c r="X219" s="168">
        <f>Таблица32[[#This Row],[Столбец7]]*Таблица32[[#This Row],[Ishga vaqtida kelish ketish]]%</f>
        <v>9750</v>
      </c>
      <c r="Y219" s="134">
        <f>Таблица32[[#This Row],[Столбец7]]*Таблица32[[#This Row],[Ishga kelish bank klient]]%</f>
        <v>0</v>
      </c>
      <c r="Z219" s="168">
        <f>Таблица32[[#This Row],[Столбец7]]*Таблица32[[#This Row],[Gruppa buxgalter]]%</f>
        <v>-30000</v>
      </c>
      <c r="AA219" s="168">
        <f>Таблица32[[#This Row],[Столбец7]]*Таблица32[[#This Row],[Gruppa bank klient ]]%</f>
        <v>0</v>
      </c>
      <c r="AB219" s="168">
        <f>Таблица32[[#This Row],[1c]]*Таблица32[[#This Row],[Столбец7]]/100</f>
        <v>0</v>
      </c>
      <c r="AC219" s="181">
        <f>SUM(Таблица32[[#This Row],[Didox]:[ мехнат]],Таблица32[[#This Row],[Avtokameral]])*Таблица32[[#This Row],[Столбец7]]/100</f>
        <v>11250</v>
      </c>
      <c r="AD219" s="196">
        <f>SUM(Таблица32[[#This Row],[Pul oqimlari]:[Foyda va zarar]])*Таблица32[[#This Row],[Столбец7]]/100</f>
        <v>-6000</v>
      </c>
      <c r="AE219" s="197">
        <f>Таблица32[[#This Row],[Столбец7]]*Таблица32[[#This Row],[Nazoratchi]]%</f>
        <v>-30000</v>
      </c>
      <c r="AF219" s="168">
        <f>Таблица32[[#This Row],[Ishga vaqtida kelish nazoratchi]]+Таблица32[[#This Row],[Nazoratchi2]]</f>
        <v>-30000</v>
      </c>
      <c r="AG21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-15000</v>
      </c>
      <c r="AH219" s="168">
        <f>Таблица32[[#This Row],[Ishga kelish bank klient3]]+Таблица32[[#This Row],[Gruppa bank klient 2]]</f>
        <v>0</v>
      </c>
    </row>
    <row r="220" spans="1:34" ht="37.5" x14ac:dyDescent="0.3">
      <c r="A220" s="130">
        <v>218</v>
      </c>
      <c r="B220" s="236" t="s">
        <v>515</v>
      </c>
      <c r="C220" s="106" t="s">
        <v>310</v>
      </c>
      <c r="D220" s="236" t="s">
        <v>551</v>
      </c>
      <c r="E220" s="253">
        <v>800000</v>
      </c>
      <c r="F220" s="104" t="s">
        <v>238</v>
      </c>
      <c r="G220" s="206">
        <v>0.65</v>
      </c>
      <c r="H220" s="212"/>
      <c r="I220" s="216"/>
      <c r="J220" s="206">
        <v>1</v>
      </c>
      <c r="K220" s="206">
        <v>-0.5</v>
      </c>
      <c r="L220" s="183">
        <v>0.25</v>
      </c>
      <c r="M220" s="183">
        <v>-0.25</v>
      </c>
      <c r="N220" s="183"/>
      <c r="O220" s="183"/>
      <c r="P220" s="183">
        <v>0.25</v>
      </c>
      <c r="Q220" s="183">
        <v>0.2</v>
      </c>
      <c r="R220" s="183">
        <v>-0.2</v>
      </c>
      <c r="S220" s="183">
        <v>-0.2</v>
      </c>
      <c r="T220" s="183">
        <v>-0.2</v>
      </c>
      <c r="U220" s="183">
        <v>-0.2</v>
      </c>
      <c r="V220" s="139">
        <v>0.5</v>
      </c>
      <c r="W220" s="163">
        <f>Таблица32[[#This Row],[Столбец7]]*Таблица32[[#This Row],[Ishga kelish nazoratchi2]]%</f>
        <v>0</v>
      </c>
      <c r="X220" s="168">
        <f>Таблица32[[#This Row],[Столбец7]]*Таблица32[[#This Row],[Ishga vaqtida kelish ketish]]%</f>
        <v>5200.0000000000009</v>
      </c>
      <c r="Y220" s="134">
        <f>Таблица32[[#This Row],[Столбец7]]*Таблица32[[#This Row],[Ishga kelish bank klient]]%</f>
        <v>0</v>
      </c>
      <c r="Z220" s="168">
        <f>Таблица32[[#This Row],[Столбец7]]*Таблица32[[#This Row],[Gruppa buxgalter]]%</f>
        <v>8000</v>
      </c>
      <c r="AA220" s="168">
        <f>Таблица32[[#This Row],[Столбец7]]*Таблица32[[#This Row],[Gruppa bank klient ]]%</f>
        <v>-4000</v>
      </c>
      <c r="AB220" s="168">
        <f>Таблица32[[#This Row],[1c]]*Таблица32[[#This Row],[Столбец7]]/100</f>
        <v>0</v>
      </c>
      <c r="AC220" s="181">
        <f>SUM(Таблица32[[#This Row],[Didox]:[ мехнат]],Таблица32[[#This Row],[Avtokameral]])*Таблица32[[#This Row],[Столбец7]]/100</f>
        <v>2000</v>
      </c>
      <c r="AD220" s="196">
        <f>SUM(Таблица32[[#This Row],[Pul oqimlari]:[Foyda va zarar]])*Таблица32[[#This Row],[Столбец7]]/100</f>
        <v>-4800.0000000000009</v>
      </c>
      <c r="AE220" s="197">
        <f>Таблица32[[#This Row],[Столбец7]]*Таблица32[[#This Row],[Nazoratchi]]%</f>
        <v>4000</v>
      </c>
      <c r="AF220" s="168">
        <f>Таблица32[[#This Row],[Ishga vaqtida kelish nazoratchi]]+Таблица32[[#This Row],[Nazoratchi2]]</f>
        <v>4000</v>
      </c>
      <c r="AG22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10400</v>
      </c>
      <c r="AH220" s="168">
        <f>Таблица32[[#This Row],[Ishga kelish bank klient3]]+Таблица32[[#This Row],[Gruppa bank klient 2]]</f>
        <v>-4000</v>
      </c>
    </row>
    <row r="221" spans="1:34" ht="18.75" x14ac:dyDescent="0.3">
      <c r="A221" s="130">
        <v>219</v>
      </c>
      <c r="B221" s="236" t="s">
        <v>516</v>
      </c>
      <c r="C221" s="106" t="s">
        <v>310</v>
      </c>
      <c r="D221" s="236"/>
      <c r="E221" s="253">
        <v>1000000</v>
      </c>
      <c r="F221" s="104" t="s">
        <v>238</v>
      </c>
      <c r="G221" s="206">
        <v>0.65</v>
      </c>
      <c r="H221" s="212"/>
      <c r="I221" s="216"/>
      <c r="J221" s="206">
        <v>1</v>
      </c>
      <c r="K221" s="206"/>
      <c r="L221" s="183">
        <v>0.25</v>
      </c>
      <c r="M221" s="183">
        <v>0.25</v>
      </c>
      <c r="N221" s="183"/>
      <c r="O221" s="183"/>
      <c r="P221" s="183">
        <v>0.25</v>
      </c>
      <c r="Q221" s="183">
        <v>0</v>
      </c>
      <c r="R221" s="183">
        <v>0</v>
      </c>
      <c r="S221" s="183">
        <v>0</v>
      </c>
      <c r="T221" s="183">
        <v>0</v>
      </c>
      <c r="U221" s="183">
        <v>0</v>
      </c>
      <c r="V221" s="139">
        <v>0.5</v>
      </c>
      <c r="W221" s="163">
        <f>Таблица32[[#This Row],[Столбец7]]*Таблица32[[#This Row],[Ishga kelish nazoratchi2]]%</f>
        <v>0</v>
      </c>
      <c r="X221" s="168">
        <f>Таблица32[[#This Row],[Столбец7]]*Таблица32[[#This Row],[Ishga vaqtida kelish ketish]]%</f>
        <v>6500.0000000000009</v>
      </c>
      <c r="Y221" s="134">
        <f>Таблица32[[#This Row],[Столбец7]]*Таблица32[[#This Row],[Ishga kelish bank klient]]%</f>
        <v>0</v>
      </c>
      <c r="Z221" s="168">
        <f>Таблица32[[#This Row],[Столбец7]]*Таблица32[[#This Row],[Gruppa buxgalter]]%</f>
        <v>10000</v>
      </c>
      <c r="AA221" s="168">
        <f>Таблица32[[#This Row],[Столбец7]]*Таблица32[[#This Row],[Gruppa bank klient ]]%</f>
        <v>0</v>
      </c>
      <c r="AB221" s="168">
        <f>Таблица32[[#This Row],[1c]]*Таблица32[[#This Row],[Столбец7]]/100</f>
        <v>0</v>
      </c>
      <c r="AC221" s="181">
        <f>SUM(Таблица32[[#This Row],[Didox]:[ мехнат]],Таблица32[[#This Row],[Avtokameral]])*Таблица32[[#This Row],[Столбец7]]/100</f>
        <v>7500</v>
      </c>
      <c r="AD221" s="196">
        <f>SUM(Таблица32[[#This Row],[Pul oqimlari]:[Foyda va zarar]])*Таблица32[[#This Row],[Столбец7]]/100</f>
        <v>0</v>
      </c>
      <c r="AE221" s="197">
        <f>Таблица32[[#This Row],[Столбец7]]*Таблица32[[#This Row],[Nazoratchi]]%</f>
        <v>5000</v>
      </c>
      <c r="AF221" s="168">
        <f>Таблица32[[#This Row],[Ishga vaqtida kelish nazoratchi]]+Таблица32[[#This Row],[Nazoratchi2]]</f>
        <v>5000</v>
      </c>
      <c r="AG22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24000</v>
      </c>
      <c r="AH221" s="168">
        <f>Таблица32[[#This Row],[Ishga kelish bank klient3]]+Таблица32[[#This Row],[Gruppa bank klient 2]]</f>
        <v>0</v>
      </c>
    </row>
    <row r="222" spans="1:34" ht="18.75" x14ac:dyDescent="0.3">
      <c r="A222" s="130">
        <v>220</v>
      </c>
      <c r="B222" s="236" t="s">
        <v>517</v>
      </c>
      <c r="C222" s="106" t="s">
        <v>310</v>
      </c>
      <c r="D222" s="236"/>
      <c r="E222" s="253">
        <v>1000000</v>
      </c>
      <c r="F222" s="104" t="s">
        <v>238</v>
      </c>
      <c r="G222" s="206">
        <v>0.65</v>
      </c>
      <c r="H222" s="212"/>
      <c r="I222" s="216"/>
      <c r="J222" s="206">
        <v>1</v>
      </c>
      <c r="K222" s="206"/>
      <c r="L222" s="183">
        <v>0.25</v>
      </c>
      <c r="M222" s="183">
        <v>0.25</v>
      </c>
      <c r="N222" s="183"/>
      <c r="O222" s="183">
        <v>1</v>
      </c>
      <c r="P222" s="183">
        <v>0.25</v>
      </c>
      <c r="Q222" s="183">
        <v>0.2</v>
      </c>
      <c r="R222" s="183">
        <v>-0.2</v>
      </c>
      <c r="S222" s="183">
        <v>-0.2</v>
      </c>
      <c r="T222" s="183">
        <v>0.2</v>
      </c>
      <c r="U222" s="183">
        <v>-0.2</v>
      </c>
      <c r="V222" s="139">
        <v>0.5</v>
      </c>
      <c r="W222" s="163">
        <f>Таблица32[[#This Row],[Столбец7]]*Таблица32[[#This Row],[Ishga kelish nazoratchi2]]%</f>
        <v>0</v>
      </c>
      <c r="X222" s="168">
        <f>Таблица32[[#This Row],[Столбец7]]*Таблица32[[#This Row],[Ishga vaqtida kelish ketish]]%</f>
        <v>6500.0000000000009</v>
      </c>
      <c r="Y222" s="134">
        <f>Таблица32[[#This Row],[Столбец7]]*Таблица32[[#This Row],[Ishga kelish bank klient]]%</f>
        <v>0</v>
      </c>
      <c r="Z222" s="168">
        <f>Таблица32[[#This Row],[Столбец7]]*Таблица32[[#This Row],[Gruppa buxgalter]]%</f>
        <v>10000</v>
      </c>
      <c r="AA222" s="168">
        <f>Таблица32[[#This Row],[Столбец7]]*Таблица32[[#This Row],[Gruppa bank klient ]]%</f>
        <v>0</v>
      </c>
      <c r="AB222" s="168">
        <f>Таблица32[[#This Row],[1c]]*Таблица32[[#This Row],[Столбец7]]/100</f>
        <v>10000</v>
      </c>
      <c r="AC222" s="181">
        <f>SUM(Таблица32[[#This Row],[Didox]:[ мехнат]],Таблица32[[#This Row],[Avtokameral]])*Таблица32[[#This Row],[Столбец7]]/100</f>
        <v>7500</v>
      </c>
      <c r="AD222" s="196">
        <f>SUM(Таблица32[[#This Row],[Pul oqimlari]:[Foyda va zarar]])*Таблица32[[#This Row],[Столбец7]]/100</f>
        <v>-2000</v>
      </c>
      <c r="AE222" s="197">
        <f>Таблица32[[#This Row],[Столбец7]]*Таблица32[[#This Row],[Nazoratchi]]%</f>
        <v>5000</v>
      </c>
      <c r="AF222" s="168">
        <f>Таблица32[[#This Row],[Ishga vaqtida kelish nazoratchi]]+Таблица32[[#This Row],[Nazoratchi2]]</f>
        <v>5000</v>
      </c>
      <c r="AG22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32000</v>
      </c>
      <c r="AH222" s="168">
        <f>Таблица32[[#This Row],[Ishga kelish bank klient3]]+Таблица32[[#This Row],[Gruppa bank klient 2]]</f>
        <v>0</v>
      </c>
    </row>
    <row r="223" spans="1:34" ht="18.75" x14ac:dyDescent="0.3">
      <c r="A223" s="130">
        <v>221</v>
      </c>
      <c r="B223" s="236" t="s">
        <v>518</v>
      </c>
      <c r="C223" s="236" t="s">
        <v>549</v>
      </c>
      <c r="D223" s="236" t="s">
        <v>551</v>
      </c>
      <c r="E223" s="253">
        <v>2000000</v>
      </c>
      <c r="F223" s="104" t="s">
        <v>238</v>
      </c>
      <c r="G223" s="206">
        <v>-2.9</v>
      </c>
      <c r="H223" s="212"/>
      <c r="I223" s="216"/>
      <c r="J223" s="206">
        <v>-0.5</v>
      </c>
      <c r="K223" s="206">
        <v>1</v>
      </c>
      <c r="L223" s="183">
        <v>-0.25</v>
      </c>
      <c r="M223" s="183">
        <v>0.25</v>
      </c>
      <c r="N223" s="183"/>
      <c r="O223" s="183"/>
      <c r="P223" s="183">
        <v>0.25</v>
      </c>
      <c r="Q223" s="183">
        <v>-0.2</v>
      </c>
      <c r="R223" s="183">
        <v>0.2</v>
      </c>
      <c r="S223" s="183">
        <v>-0.2</v>
      </c>
      <c r="T223" s="183">
        <v>-0.2</v>
      </c>
      <c r="U223" s="183">
        <v>-0.2</v>
      </c>
      <c r="V223" s="139">
        <v>-0.5</v>
      </c>
      <c r="W223" s="163">
        <f>Таблица32[[#This Row],[Столбец7]]*Таблица32[[#This Row],[Ishga kelish nazoratchi2]]%</f>
        <v>0</v>
      </c>
      <c r="X223" s="168">
        <f>Таблица32[[#This Row],[Столбец7]]*Таблица32[[#This Row],[Ishga vaqtida kelish ketish]]%</f>
        <v>-57999.999999999993</v>
      </c>
      <c r="Y223" s="134">
        <f>Таблица32[[#This Row],[Столбец7]]*Таблица32[[#This Row],[Ishga kelish bank klient]]%</f>
        <v>0</v>
      </c>
      <c r="Z223" s="168">
        <f>Таблица32[[#This Row],[Столбец7]]*Таблица32[[#This Row],[Gruppa buxgalter]]%</f>
        <v>-10000</v>
      </c>
      <c r="AA223" s="168">
        <f>Таблица32[[#This Row],[Столбец7]]*Таблица32[[#This Row],[Gruppa bank klient ]]%</f>
        <v>20000</v>
      </c>
      <c r="AB223" s="168">
        <f>Таблица32[[#This Row],[1c]]*Таблица32[[#This Row],[Столбец7]]/100</f>
        <v>0</v>
      </c>
      <c r="AC223" s="181">
        <f>SUM(Таблица32[[#This Row],[Didox]:[ мехнат]],Таблица32[[#This Row],[Avtokameral]])*Таблица32[[#This Row],[Столбец7]]/100</f>
        <v>5000</v>
      </c>
      <c r="AD223" s="196">
        <f>SUM(Таблица32[[#This Row],[Pul oqimlari]:[Foyda va zarar]])*Таблица32[[#This Row],[Столбец7]]/100</f>
        <v>-12000.000000000002</v>
      </c>
      <c r="AE223" s="197">
        <f>Таблица32[[#This Row],[Столбец7]]*Таблица32[[#This Row],[Nazoratchi]]%</f>
        <v>-10000</v>
      </c>
      <c r="AF223" s="168">
        <f>Таблица32[[#This Row],[Ishga vaqtida kelish nazoratchi]]+Таблица32[[#This Row],[Nazoratchi2]]</f>
        <v>-10000</v>
      </c>
      <c r="AG22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-75000</v>
      </c>
      <c r="AH223" s="168">
        <f>Таблица32[[#This Row],[Ishga kelish bank klient3]]+Таблица32[[#This Row],[Gruppa bank klient 2]]</f>
        <v>20000</v>
      </c>
    </row>
    <row r="224" spans="1:34" ht="18.75" x14ac:dyDescent="0.3">
      <c r="A224" s="130">
        <v>222</v>
      </c>
      <c r="B224" s="236" t="s">
        <v>519</v>
      </c>
      <c r="C224" s="236" t="s">
        <v>549</v>
      </c>
      <c r="D224" s="236"/>
      <c r="E224" s="253">
        <v>2500000</v>
      </c>
      <c r="F224" s="104" t="s">
        <v>238</v>
      </c>
      <c r="G224" s="206">
        <v>-2.9</v>
      </c>
      <c r="H224" s="212"/>
      <c r="I224" s="216"/>
      <c r="J224" s="206">
        <v>1</v>
      </c>
      <c r="K224" s="206"/>
      <c r="L224" s="183">
        <v>0.25</v>
      </c>
      <c r="M224" s="183">
        <v>0.25</v>
      </c>
      <c r="N224" s="183"/>
      <c r="O224" s="183"/>
      <c r="P224" s="183">
        <v>0.25</v>
      </c>
      <c r="Q224" s="183">
        <v>-0.2</v>
      </c>
      <c r="R224" s="183">
        <v>0.2</v>
      </c>
      <c r="S224" s="183">
        <v>-0.2</v>
      </c>
      <c r="T224" s="183">
        <v>-0.2</v>
      </c>
      <c r="U224" s="183">
        <v>-0.2</v>
      </c>
      <c r="V224" s="139">
        <v>0.5</v>
      </c>
      <c r="W224" s="163">
        <f>Таблица32[[#This Row],[Столбец7]]*Таблица32[[#This Row],[Ishga kelish nazoratchi2]]%</f>
        <v>0</v>
      </c>
      <c r="X224" s="168">
        <f>Таблица32[[#This Row],[Столбец7]]*Таблица32[[#This Row],[Ishga vaqtida kelish ketish]]%</f>
        <v>-72500</v>
      </c>
      <c r="Y224" s="134">
        <f>Таблица32[[#This Row],[Столбец7]]*Таблица32[[#This Row],[Ishga kelish bank klient]]%</f>
        <v>0</v>
      </c>
      <c r="Z224" s="168">
        <f>Таблица32[[#This Row],[Столбец7]]*Таблица32[[#This Row],[Gruppa buxgalter]]%</f>
        <v>25000</v>
      </c>
      <c r="AA224" s="168">
        <f>Таблица32[[#This Row],[Столбец7]]*Таблица32[[#This Row],[Gruppa bank klient ]]%</f>
        <v>0</v>
      </c>
      <c r="AB224" s="168">
        <f>Таблица32[[#This Row],[1c]]*Таблица32[[#This Row],[Столбец7]]/100</f>
        <v>0</v>
      </c>
      <c r="AC224" s="181">
        <f>SUM(Таблица32[[#This Row],[Didox]:[ мехнат]],Таблица32[[#This Row],[Avtokameral]])*Таблица32[[#This Row],[Столбец7]]/100</f>
        <v>18750</v>
      </c>
      <c r="AD224" s="196">
        <f>SUM(Таблица32[[#This Row],[Pul oqimlari]:[Foyda va zarar]])*Таблица32[[#This Row],[Столбец7]]/100</f>
        <v>-15000.000000000002</v>
      </c>
      <c r="AE224" s="197">
        <f>Таблица32[[#This Row],[Столбец7]]*Таблица32[[#This Row],[Nazoratchi]]%</f>
        <v>12500</v>
      </c>
      <c r="AF224" s="168">
        <f>Таблица32[[#This Row],[Ishga vaqtida kelish nazoratchi]]+Таблица32[[#This Row],[Nazoratchi2]]</f>
        <v>12500</v>
      </c>
      <c r="AG22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-43750</v>
      </c>
      <c r="AH224" s="168">
        <f>Таблица32[[#This Row],[Ishga kelish bank klient3]]+Таблица32[[#This Row],[Gruppa bank klient 2]]</f>
        <v>0</v>
      </c>
    </row>
    <row r="225" spans="1:34" ht="18.75" x14ac:dyDescent="0.3">
      <c r="A225" s="130">
        <v>223</v>
      </c>
      <c r="B225" s="236" t="s">
        <v>520</v>
      </c>
      <c r="C225" s="236" t="s">
        <v>219</v>
      </c>
      <c r="D225" s="236" t="s">
        <v>551</v>
      </c>
      <c r="E225" s="253">
        <v>6000000</v>
      </c>
      <c r="F225" s="104" t="s">
        <v>218</v>
      </c>
      <c r="G225" s="206"/>
      <c r="H225" s="212"/>
      <c r="I225" s="216"/>
      <c r="J225" s="206">
        <v>1</v>
      </c>
      <c r="K225" s="206">
        <v>1</v>
      </c>
      <c r="L225" s="183">
        <v>0.25</v>
      </c>
      <c r="M225" s="183">
        <v>0.25</v>
      </c>
      <c r="N225" s="183"/>
      <c r="O225" s="183"/>
      <c r="P225" s="183">
        <v>-0.25</v>
      </c>
      <c r="Q225" s="183">
        <v>0</v>
      </c>
      <c r="R225" s="183">
        <v>0.2</v>
      </c>
      <c r="S225" s="183">
        <v>0</v>
      </c>
      <c r="T225" s="183">
        <v>-0.2</v>
      </c>
      <c r="U225" s="183">
        <v>0</v>
      </c>
      <c r="V225" s="105">
        <v>0.5</v>
      </c>
      <c r="W225" s="163">
        <f>Таблица32[[#This Row],[Столбец7]]*Таблица32[[#This Row],[Ishga kelish nazoratchi2]]%</f>
        <v>0</v>
      </c>
      <c r="X225" s="168">
        <f>Таблица32[[#This Row],[Столбец7]]*Таблица32[[#This Row],[Ishga vaqtida kelish ketish]]%</f>
        <v>0</v>
      </c>
      <c r="Y225" s="134">
        <f>Таблица32[[#This Row],[Столбец7]]*Таблица32[[#This Row],[Ishga kelish bank klient]]%</f>
        <v>0</v>
      </c>
      <c r="Z225" s="168">
        <f>Таблица32[[#This Row],[Столбец7]]*Таблица32[[#This Row],[Gruppa buxgalter]]%</f>
        <v>60000</v>
      </c>
      <c r="AA225" s="168">
        <f>Таблица32[[#This Row],[Столбец7]]*Таблица32[[#This Row],[Gruppa bank klient ]]%</f>
        <v>60000</v>
      </c>
      <c r="AB225" s="168">
        <f>Таблица32[[#This Row],[1c]]*Таблица32[[#This Row],[Столбец7]]/100</f>
        <v>0</v>
      </c>
      <c r="AC225" s="181">
        <f>SUM(Таблица32[[#This Row],[Didox]:[ мехнат]],Таблица32[[#This Row],[Avtokameral]])*Таблица32[[#This Row],[Столбец7]]/100</f>
        <v>15000</v>
      </c>
      <c r="AD225" s="196">
        <f>SUM(Таблица32[[#This Row],[Pul oqimlari]:[Foyda va zarar]])*Таблица32[[#This Row],[Столбец7]]/100</f>
        <v>0</v>
      </c>
      <c r="AE225" s="197">
        <f>Таблица32[[#This Row],[Столбец7]]*Таблица32[[#This Row],[Nazoratchi]]%</f>
        <v>30000</v>
      </c>
      <c r="AF225" s="168">
        <f>Таблица32[[#This Row],[Ishga vaqtida kelish nazoratchi]]+Таблица32[[#This Row],[Nazoratchi2]]</f>
        <v>30000</v>
      </c>
      <c r="AG22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75000</v>
      </c>
      <c r="AH225" s="168">
        <f>Таблица32[[#This Row],[Ishga kelish bank klient3]]+Таблица32[[#This Row],[Gruppa bank klient 2]]</f>
        <v>60000</v>
      </c>
    </row>
    <row r="226" spans="1:34" ht="18.75" x14ac:dyDescent="0.3">
      <c r="A226" s="130">
        <v>224</v>
      </c>
      <c r="B226" s="236" t="s">
        <v>521</v>
      </c>
      <c r="C226" s="236" t="s">
        <v>217</v>
      </c>
      <c r="D226" s="236" t="s">
        <v>551</v>
      </c>
      <c r="E226" s="253">
        <v>1500000</v>
      </c>
      <c r="F226" s="104" t="s">
        <v>238</v>
      </c>
      <c r="G226" s="206"/>
      <c r="H226" s="212"/>
      <c r="I226" s="216"/>
      <c r="J226" s="206">
        <v>1</v>
      </c>
      <c r="K226" s="206">
        <v>1</v>
      </c>
      <c r="L226" s="183">
        <v>0.25</v>
      </c>
      <c r="M226" s="183">
        <v>0.25</v>
      </c>
      <c r="N226" s="183"/>
      <c r="O226" s="183"/>
      <c r="P226" s="183">
        <v>0.25</v>
      </c>
      <c r="Q226" s="183">
        <v>-0.2</v>
      </c>
      <c r="R226" s="183">
        <v>0.2</v>
      </c>
      <c r="S226" s="183">
        <v>-0.2</v>
      </c>
      <c r="T226" s="183">
        <v>-0.2</v>
      </c>
      <c r="U226" s="183">
        <v>-0.2</v>
      </c>
      <c r="V226" s="105">
        <v>0.5</v>
      </c>
      <c r="W226" s="163">
        <f>Таблица32[[#This Row],[Столбец7]]*Таблица32[[#This Row],[Ishga kelish nazoratchi2]]%</f>
        <v>0</v>
      </c>
      <c r="X226" s="168">
        <f>Таблица32[[#This Row],[Столбец7]]*Таблица32[[#This Row],[Ishga vaqtida kelish ketish]]%</f>
        <v>0</v>
      </c>
      <c r="Y226" s="134">
        <f>Таблица32[[#This Row],[Столбец7]]*Таблица32[[#This Row],[Ishga kelish bank klient]]%</f>
        <v>0</v>
      </c>
      <c r="Z226" s="168">
        <f>Таблица32[[#This Row],[Столбец7]]*Таблица32[[#This Row],[Gruppa buxgalter]]%</f>
        <v>15000</v>
      </c>
      <c r="AA226" s="168">
        <f>Таблица32[[#This Row],[Столбец7]]*Таблица32[[#This Row],[Gruppa bank klient ]]%</f>
        <v>15000</v>
      </c>
      <c r="AB226" s="168">
        <f>Таблица32[[#This Row],[1c]]*Таблица32[[#This Row],[Столбец7]]/100</f>
        <v>0</v>
      </c>
      <c r="AC226" s="181">
        <f>SUM(Таблица32[[#This Row],[Didox]:[ мехнат]],Таблица32[[#This Row],[Avtokameral]])*Таблица32[[#This Row],[Столбец7]]/100</f>
        <v>11250</v>
      </c>
      <c r="AD226" s="196">
        <f>SUM(Таблица32[[#This Row],[Pul oqimlari]:[Foyda va zarar]])*Таблица32[[#This Row],[Столбец7]]/100</f>
        <v>-9000.0000000000018</v>
      </c>
      <c r="AE226" s="197">
        <f>Таблица32[[#This Row],[Столбец7]]*Таблица32[[#This Row],[Nazoratchi]]%</f>
        <v>7500</v>
      </c>
      <c r="AF226" s="168">
        <f>Таблица32[[#This Row],[Ishga vaqtida kelish nazoratchi]]+Таблица32[[#This Row],[Nazoratchi2]]</f>
        <v>7500</v>
      </c>
      <c r="AG22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17250</v>
      </c>
      <c r="AH226" s="168">
        <f>Таблица32[[#This Row],[Ishga kelish bank klient3]]+Таблица32[[#This Row],[Gruppa bank klient 2]]</f>
        <v>15000</v>
      </c>
    </row>
    <row r="227" spans="1:34" ht="18.75" x14ac:dyDescent="0.3">
      <c r="A227" s="130">
        <v>225</v>
      </c>
      <c r="B227" s="236" t="s">
        <v>522</v>
      </c>
      <c r="C227" s="106" t="s">
        <v>217</v>
      </c>
      <c r="D227" s="236" t="s">
        <v>551</v>
      </c>
      <c r="E227" s="253">
        <v>0</v>
      </c>
      <c r="F227" s="104" t="s">
        <v>238</v>
      </c>
      <c r="G227" s="206"/>
      <c r="H227" s="212"/>
      <c r="I227" s="216"/>
      <c r="J227" s="206">
        <v>1</v>
      </c>
      <c r="K227" s="206">
        <v>1</v>
      </c>
      <c r="L227" s="183">
        <v>0</v>
      </c>
      <c r="M227" s="183">
        <v>0</v>
      </c>
      <c r="N227" s="183">
        <v>0</v>
      </c>
      <c r="O227" s="183"/>
      <c r="P227" s="183">
        <v>0</v>
      </c>
      <c r="Q227" s="183">
        <v>0</v>
      </c>
      <c r="R227" s="183">
        <v>0</v>
      </c>
      <c r="S227" s="183">
        <v>0</v>
      </c>
      <c r="T227" s="183">
        <v>0</v>
      </c>
      <c r="U227" s="183">
        <v>0</v>
      </c>
      <c r="V227" s="105">
        <v>0.5</v>
      </c>
      <c r="W227" s="163">
        <f>Таблица32[[#This Row],[Столбец7]]*Таблица32[[#This Row],[Ishga kelish nazoratchi2]]%</f>
        <v>0</v>
      </c>
      <c r="X227" s="168">
        <f>Таблица32[[#This Row],[Столбец7]]*Таблица32[[#This Row],[Ishga vaqtida kelish ketish]]%</f>
        <v>0</v>
      </c>
      <c r="Y227" s="134">
        <f>Таблица32[[#This Row],[Столбец7]]*Таблица32[[#This Row],[Ishga kelish bank klient]]%</f>
        <v>0</v>
      </c>
      <c r="Z227" s="168">
        <f>Таблица32[[#This Row],[Столбец7]]*Таблица32[[#This Row],[Gruppa buxgalter]]%</f>
        <v>0</v>
      </c>
      <c r="AA227" s="168">
        <f>Таблица32[[#This Row],[Столбец7]]*Таблица32[[#This Row],[Gruppa bank klient ]]%</f>
        <v>0</v>
      </c>
      <c r="AB227" s="168">
        <f>Таблица32[[#This Row],[1c]]*Таблица32[[#This Row],[Столбец7]]/100</f>
        <v>0</v>
      </c>
      <c r="AC227" s="181">
        <f>SUM(Таблица32[[#This Row],[Didox]:[ мехнат]],Таблица32[[#This Row],[Avtokameral]])*Таблица32[[#This Row],[Столбец7]]/100</f>
        <v>0</v>
      </c>
      <c r="AD227" s="196">
        <f>SUM(Таблица32[[#This Row],[Pul oqimlari]:[Foyda va zarar]])*Таблица32[[#This Row],[Столбец7]]/100</f>
        <v>0</v>
      </c>
      <c r="AE227" s="197">
        <f>Таблица32[[#This Row],[Столбец7]]*Таблица32[[#This Row],[Nazoratchi]]%</f>
        <v>0</v>
      </c>
      <c r="AF227" s="168">
        <f>Таблица32[[#This Row],[Ishga vaqtida kelish nazoratchi]]+Таблица32[[#This Row],[Nazoratchi2]]</f>
        <v>0</v>
      </c>
      <c r="AG22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27" s="168">
        <f>Таблица32[[#This Row],[Ishga kelish bank klient3]]+Таблица32[[#This Row],[Gruppa bank klient 2]]</f>
        <v>0</v>
      </c>
    </row>
    <row r="228" spans="1:34" ht="18.75" x14ac:dyDescent="0.3">
      <c r="A228" s="130">
        <v>226</v>
      </c>
      <c r="B228" s="236" t="s">
        <v>523</v>
      </c>
      <c r="C228" s="106" t="s">
        <v>310</v>
      </c>
      <c r="D228" s="236" t="s">
        <v>551</v>
      </c>
      <c r="E228" s="253">
        <v>0</v>
      </c>
      <c r="F228" s="104" t="s">
        <v>238</v>
      </c>
      <c r="G228" s="206">
        <v>0.65</v>
      </c>
      <c r="H228" s="212"/>
      <c r="I228" s="216"/>
      <c r="J228" s="206">
        <v>1</v>
      </c>
      <c r="K228" s="206">
        <v>1</v>
      </c>
      <c r="L228" s="183">
        <v>0.25</v>
      </c>
      <c r="M228" s="183">
        <v>0.25</v>
      </c>
      <c r="N228" s="183"/>
      <c r="O228" s="183"/>
      <c r="P228" s="183">
        <v>0.25</v>
      </c>
      <c r="Q228" s="183">
        <v>0</v>
      </c>
      <c r="R228" s="183">
        <v>0</v>
      </c>
      <c r="S228" s="183">
        <v>0</v>
      </c>
      <c r="T228" s="183">
        <v>0</v>
      </c>
      <c r="U228" s="183">
        <v>0</v>
      </c>
      <c r="V228" s="139">
        <v>0.5</v>
      </c>
      <c r="W228" s="163">
        <f>Таблица32[[#This Row],[Столбец7]]*Таблица32[[#This Row],[Ishga kelish nazoratchi2]]%</f>
        <v>0</v>
      </c>
      <c r="X228" s="168">
        <f>Таблица32[[#This Row],[Столбец7]]*Таблица32[[#This Row],[Ishga vaqtida kelish ketish]]%</f>
        <v>0</v>
      </c>
      <c r="Y228" s="134">
        <f>Таблица32[[#This Row],[Столбец7]]*Таблица32[[#This Row],[Ishga kelish bank klient]]%</f>
        <v>0</v>
      </c>
      <c r="Z228" s="168">
        <f>Таблица32[[#This Row],[Столбец7]]*Таблица32[[#This Row],[Gruppa buxgalter]]%</f>
        <v>0</v>
      </c>
      <c r="AA228" s="168">
        <f>Таблица32[[#This Row],[Столбец7]]*Таблица32[[#This Row],[Gruppa bank klient ]]%</f>
        <v>0</v>
      </c>
      <c r="AB228" s="168">
        <f>Таблица32[[#This Row],[1c]]*Таблица32[[#This Row],[Столбец7]]/100</f>
        <v>0</v>
      </c>
      <c r="AC228" s="181">
        <f>SUM(Таблица32[[#This Row],[Didox]:[ мехнат]],Таблица32[[#This Row],[Avtokameral]])*Таблица32[[#This Row],[Столбец7]]/100</f>
        <v>0</v>
      </c>
      <c r="AD228" s="196">
        <f>SUM(Таблица32[[#This Row],[Pul oqimlari]:[Foyda va zarar]])*Таблица32[[#This Row],[Столбец7]]/100</f>
        <v>0</v>
      </c>
      <c r="AE228" s="197">
        <f>Таблица32[[#This Row],[Столбец7]]*Таблица32[[#This Row],[Nazoratchi]]%</f>
        <v>0</v>
      </c>
      <c r="AF228" s="168">
        <f>Таблица32[[#This Row],[Ishga vaqtida kelish nazoratchi]]+Таблица32[[#This Row],[Nazoratchi2]]</f>
        <v>0</v>
      </c>
      <c r="AG22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28" s="168">
        <f>Таблица32[[#This Row],[Ishga kelish bank klient3]]+Таблица32[[#This Row],[Gruppa bank klient 2]]</f>
        <v>0</v>
      </c>
    </row>
    <row r="229" spans="1:34" ht="18.75" x14ac:dyDescent="0.3">
      <c r="A229" s="130">
        <v>227</v>
      </c>
      <c r="B229" s="236" t="s">
        <v>524</v>
      </c>
      <c r="C229" s="106" t="s">
        <v>310</v>
      </c>
      <c r="D229" s="236" t="s">
        <v>551</v>
      </c>
      <c r="E229" s="253">
        <v>0</v>
      </c>
      <c r="F229" s="104" t="s">
        <v>238</v>
      </c>
      <c r="G229" s="206">
        <v>0.65</v>
      </c>
      <c r="H229" s="212"/>
      <c r="I229" s="216"/>
      <c r="J229" s="206">
        <v>1</v>
      </c>
      <c r="K229" s="206">
        <v>1</v>
      </c>
      <c r="L229" s="183">
        <v>0</v>
      </c>
      <c r="M229" s="183">
        <v>0</v>
      </c>
      <c r="N229" s="183">
        <v>0</v>
      </c>
      <c r="O229" s="183"/>
      <c r="P229" s="183">
        <v>0</v>
      </c>
      <c r="Q229" s="183">
        <v>0</v>
      </c>
      <c r="R229" s="183">
        <v>0</v>
      </c>
      <c r="S229" s="183">
        <v>0</v>
      </c>
      <c r="T229" s="183">
        <v>0</v>
      </c>
      <c r="U229" s="183">
        <v>0</v>
      </c>
      <c r="V229" s="139">
        <v>0.5</v>
      </c>
      <c r="W229" s="163">
        <f>Таблица32[[#This Row],[Столбец7]]*Таблица32[[#This Row],[Ishga kelish nazoratchi2]]%</f>
        <v>0</v>
      </c>
      <c r="X229" s="168">
        <f>Таблица32[[#This Row],[Столбец7]]*Таблица32[[#This Row],[Ishga vaqtida kelish ketish]]%</f>
        <v>0</v>
      </c>
      <c r="Y229" s="134">
        <f>Таблица32[[#This Row],[Столбец7]]*Таблица32[[#This Row],[Ishga kelish bank klient]]%</f>
        <v>0</v>
      </c>
      <c r="Z229" s="168">
        <f>Таблица32[[#This Row],[Столбец7]]*Таблица32[[#This Row],[Gruppa buxgalter]]%</f>
        <v>0</v>
      </c>
      <c r="AA229" s="168">
        <f>Таблица32[[#This Row],[Столбец7]]*Таблица32[[#This Row],[Gruppa bank klient ]]%</f>
        <v>0</v>
      </c>
      <c r="AB229" s="168">
        <f>Таблица32[[#This Row],[1c]]*Таблица32[[#This Row],[Столбец7]]/100</f>
        <v>0</v>
      </c>
      <c r="AC229" s="181">
        <f>SUM(Таблица32[[#This Row],[Didox]:[ мехнат]],Таблица32[[#This Row],[Avtokameral]])*Таблица32[[#This Row],[Столбец7]]/100</f>
        <v>0</v>
      </c>
      <c r="AD229" s="196">
        <f>SUM(Таблица32[[#This Row],[Pul oqimlari]:[Foyda va zarar]])*Таблица32[[#This Row],[Столбец7]]/100</f>
        <v>0</v>
      </c>
      <c r="AE229" s="197">
        <f>Таблица32[[#This Row],[Столбец7]]*Таблица32[[#This Row],[Nazoratchi]]%</f>
        <v>0</v>
      </c>
      <c r="AF229" s="168">
        <f>Таблица32[[#This Row],[Ishga vaqtida kelish nazoratchi]]+Таблица32[[#This Row],[Nazoratchi2]]</f>
        <v>0</v>
      </c>
      <c r="AG22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29" s="168">
        <f>Таблица32[[#This Row],[Ishga kelish bank klient3]]+Таблица32[[#This Row],[Gruppa bank klient 2]]</f>
        <v>0</v>
      </c>
    </row>
    <row r="230" spans="1:34" ht="18.75" x14ac:dyDescent="0.3">
      <c r="A230" s="130">
        <v>228</v>
      </c>
      <c r="B230" s="236" t="s">
        <v>525</v>
      </c>
      <c r="C230" s="106" t="s">
        <v>310</v>
      </c>
      <c r="D230" s="236"/>
      <c r="E230" s="253">
        <v>1400000</v>
      </c>
      <c r="F230" s="104" t="s">
        <v>238</v>
      </c>
      <c r="G230" s="206">
        <v>0.65</v>
      </c>
      <c r="H230" s="212"/>
      <c r="I230" s="216"/>
      <c r="J230" s="206">
        <v>1</v>
      </c>
      <c r="K230" s="206"/>
      <c r="L230" s="183">
        <v>0.25</v>
      </c>
      <c r="M230" s="183">
        <v>0.25</v>
      </c>
      <c r="N230" s="183"/>
      <c r="O230" s="183">
        <v>1</v>
      </c>
      <c r="P230" s="183">
        <v>0.25</v>
      </c>
      <c r="Q230" s="183">
        <v>0.2</v>
      </c>
      <c r="R230" s="183">
        <v>-0.2</v>
      </c>
      <c r="S230" s="183">
        <v>-0.2</v>
      </c>
      <c r="T230" s="183">
        <v>-0.2</v>
      </c>
      <c r="U230" s="183">
        <v>-0.2</v>
      </c>
      <c r="V230" s="139">
        <v>0.5</v>
      </c>
      <c r="W230" s="163">
        <f>Таблица32[[#This Row],[Столбец7]]*Таблица32[[#This Row],[Ishga kelish nazoratchi2]]%</f>
        <v>0</v>
      </c>
      <c r="X230" s="168">
        <f>Таблица32[[#This Row],[Столбец7]]*Таблица32[[#This Row],[Ishga vaqtida kelish ketish]]%</f>
        <v>9100</v>
      </c>
      <c r="Y230" s="134">
        <f>Таблица32[[#This Row],[Столбец7]]*Таблица32[[#This Row],[Ishga kelish bank klient]]%</f>
        <v>0</v>
      </c>
      <c r="Z230" s="168">
        <f>Таблица32[[#This Row],[Столбец7]]*Таблица32[[#This Row],[Gruppa buxgalter]]%</f>
        <v>14000</v>
      </c>
      <c r="AA230" s="168">
        <f>Таблица32[[#This Row],[Столбец7]]*Таблица32[[#This Row],[Gruppa bank klient ]]%</f>
        <v>0</v>
      </c>
      <c r="AB230" s="168">
        <f>Таблица32[[#This Row],[1c]]*Таблица32[[#This Row],[Столбец7]]/100</f>
        <v>14000</v>
      </c>
      <c r="AC230" s="181">
        <f>SUM(Таблица32[[#This Row],[Didox]:[ мехнат]],Таблица32[[#This Row],[Avtokameral]])*Таблица32[[#This Row],[Столбец7]]/100</f>
        <v>10500</v>
      </c>
      <c r="AD230" s="196">
        <f>SUM(Таблица32[[#This Row],[Pul oqimlari]:[Foyda va zarar]])*Таблица32[[#This Row],[Столбец7]]/100</f>
        <v>-8400.0000000000018</v>
      </c>
      <c r="AE230" s="197">
        <f>Таблица32[[#This Row],[Столбец7]]*Таблица32[[#This Row],[Nazoratchi]]%</f>
        <v>7000</v>
      </c>
      <c r="AF230" s="168">
        <f>Таблица32[[#This Row],[Ishga vaqtida kelish nazoratchi]]+Таблица32[[#This Row],[Nazoratchi2]]</f>
        <v>7000</v>
      </c>
      <c r="AG23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39200</v>
      </c>
      <c r="AH230" s="168">
        <f>Таблица32[[#This Row],[Ishga kelish bank klient3]]+Таблица32[[#This Row],[Gruppa bank klient 2]]</f>
        <v>0</v>
      </c>
    </row>
    <row r="231" spans="1:34" ht="18.75" x14ac:dyDescent="0.3">
      <c r="A231" s="130">
        <v>229</v>
      </c>
      <c r="B231" s="236" t="s">
        <v>526</v>
      </c>
      <c r="C231" s="236" t="s">
        <v>468</v>
      </c>
      <c r="D231" s="236"/>
      <c r="E231" s="253">
        <v>500000</v>
      </c>
      <c r="F231" s="104" t="s">
        <v>238</v>
      </c>
      <c r="G231" s="206"/>
      <c r="H231" s="212"/>
      <c r="I231" s="216"/>
      <c r="J231" s="206">
        <v>1</v>
      </c>
      <c r="K231" s="206"/>
      <c r="L231" s="183">
        <v>0.25</v>
      </c>
      <c r="M231" s="183">
        <v>0.25</v>
      </c>
      <c r="N231" s="183"/>
      <c r="O231" s="183"/>
      <c r="P231" s="183">
        <v>-0.25</v>
      </c>
      <c r="Q231" s="183">
        <v>0</v>
      </c>
      <c r="R231" s="183">
        <v>0</v>
      </c>
      <c r="S231" s="183">
        <v>0</v>
      </c>
      <c r="T231" s="183">
        <v>0</v>
      </c>
      <c r="U231" s="183">
        <v>0</v>
      </c>
      <c r="V231" s="105">
        <v>0.5</v>
      </c>
      <c r="W231" s="163">
        <f>Таблица32[[#This Row],[Столбец7]]*Таблица32[[#This Row],[Ishga kelish nazoratchi2]]%</f>
        <v>0</v>
      </c>
      <c r="X231" s="168">
        <f>Таблица32[[#This Row],[Столбец7]]*Таблица32[[#This Row],[Ishga vaqtida kelish ketish]]%</f>
        <v>0</v>
      </c>
      <c r="Y231" s="134">
        <f>Таблица32[[#This Row],[Столбец7]]*Таблица32[[#This Row],[Ishga kelish bank klient]]%</f>
        <v>0</v>
      </c>
      <c r="Z231" s="168">
        <f>Таблица32[[#This Row],[Столбец7]]*Таблица32[[#This Row],[Gruppa buxgalter]]%</f>
        <v>5000</v>
      </c>
      <c r="AA231" s="168">
        <f>Таблица32[[#This Row],[Столбец7]]*Таблица32[[#This Row],[Gruppa bank klient ]]%</f>
        <v>0</v>
      </c>
      <c r="AB231" s="168">
        <f>Таблица32[[#This Row],[1c]]*Таблица32[[#This Row],[Столбец7]]/100</f>
        <v>0</v>
      </c>
      <c r="AC231" s="181">
        <f>SUM(Таблица32[[#This Row],[Didox]:[ мехнат]],Таблица32[[#This Row],[Avtokameral]])*Таблица32[[#This Row],[Столбец7]]/100</f>
        <v>1250</v>
      </c>
      <c r="AD231" s="196">
        <f>SUM(Таблица32[[#This Row],[Pul oqimlari]:[Foyda va zarar]])*Таблица32[[#This Row],[Столбец7]]/100</f>
        <v>0</v>
      </c>
      <c r="AE231" s="197">
        <f>Таблица32[[#This Row],[Столбец7]]*Таблица32[[#This Row],[Nazoratchi]]%</f>
        <v>2500</v>
      </c>
      <c r="AF231" s="168">
        <f>Таблица32[[#This Row],[Ishga vaqtida kelish nazoratchi]]+Таблица32[[#This Row],[Nazoratchi2]]</f>
        <v>2500</v>
      </c>
      <c r="AG23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6250</v>
      </c>
      <c r="AH231" s="168">
        <f>Таблица32[[#This Row],[Ishga kelish bank klient3]]+Таблица32[[#This Row],[Gruppa bank klient 2]]</f>
        <v>0</v>
      </c>
    </row>
    <row r="232" spans="1:34" ht="18.75" x14ac:dyDescent="0.3">
      <c r="A232" s="130">
        <v>230</v>
      </c>
      <c r="B232" s="236" t="s">
        <v>527</v>
      </c>
      <c r="C232" s="236" t="s">
        <v>468</v>
      </c>
      <c r="D232" s="236" t="s">
        <v>551</v>
      </c>
      <c r="E232" s="253">
        <v>500000</v>
      </c>
      <c r="F232" s="104" t="s">
        <v>238</v>
      </c>
      <c r="G232" s="206"/>
      <c r="H232" s="212"/>
      <c r="I232" s="216"/>
      <c r="J232" s="206">
        <v>1</v>
      </c>
      <c r="K232" s="206">
        <v>1</v>
      </c>
      <c r="L232" s="183">
        <v>0.25</v>
      </c>
      <c r="M232" s="183">
        <v>0.25</v>
      </c>
      <c r="N232" s="183"/>
      <c r="O232" s="183">
        <v>1</v>
      </c>
      <c r="P232" s="183">
        <v>0.25</v>
      </c>
      <c r="Q232" s="183">
        <v>0</v>
      </c>
      <c r="R232" s="183">
        <v>0.2</v>
      </c>
      <c r="S232" s="183">
        <v>-0.2</v>
      </c>
      <c r="T232" s="183">
        <v>0</v>
      </c>
      <c r="U232" s="183">
        <v>0</v>
      </c>
      <c r="V232" s="105">
        <v>0.5</v>
      </c>
      <c r="W232" s="163">
        <f>Таблица32[[#This Row],[Столбец7]]*Таблица32[[#This Row],[Ishga kelish nazoratchi2]]%</f>
        <v>0</v>
      </c>
      <c r="X232" s="168">
        <f>Таблица32[[#This Row],[Столбец7]]*Таблица32[[#This Row],[Ishga vaqtida kelish ketish]]%</f>
        <v>0</v>
      </c>
      <c r="Y232" s="134">
        <f>Таблица32[[#This Row],[Столбец7]]*Таблица32[[#This Row],[Ishga kelish bank klient]]%</f>
        <v>0</v>
      </c>
      <c r="Z232" s="168">
        <f>Таблица32[[#This Row],[Столбец7]]*Таблица32[[#This Row],[Gruppa buxgalter]]%</f>
        <v>5000</v>
      </c>
      <c r="AA232" s="168">
        <f>Таблица32[[#This Row],[Столбец7]]*Таблица32[[#This Row],[Gruppa bank klient ]]%</f>
        <v>5000</v>
      </c>
      <c r="AB232" s="168">
        <f>Таблица32[[#This Row],[1c]]*Таблица32[[#This Row],[Столбец7]]/100</f>
        <v>5000</v>
      </c>
      <c r="AC232" s="181">
        <f>SUM(Таблица32[[#This Row],[Didox]:[ мехнат]],Таблица32[[#This Row],[Avtokameral]])*Таблица32[[#This Row],[Столбец7]]/100</f>
        <v>3750</v>
      </c>
      <c r="AD232" s="196">
        <f>SUM(Таблица32[[#This Row],[Pul oqimlari]:[Foyda va zarar]])*Таблица32[[#This Row],[Столбец7]]/100</f>
        <v>0</v>
      </c>
      <c r="AE232" s="197">
        <f>Таблица32[[#This Row],[Столбец7]]*Таблица32[[#This Row],[Nazoratchi]]%</f>
        <v>2500</v>
      </c>
      <c r="AF232" s="168">
        <f>Таблица32[[#This Row],[Ishga vaqtida kelish nazoratchi]]+Таблица32[[#This Row],[Nazoratchi2]]</f>
        <v>2500</v>
      </c>
      <c r="AG23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13750</v>
      </c>
      <c r="AH232" s="168">
        <f>Таблица32[[#This Row],[Ishga kelish bank klient3]]+Таблица32[[#This Row],[Gruppa bank klient 2]]</f>
        <v>5000</v>
      </c>
    </row>
    <row r="233" spans="1:34" ht="18.75" x14ac:dyDescent="0.3">
      <c r="A233" s="130">
        <v>231</v>
      </c>
      <c r="B233" s="236" t="s">
        <v>528</v>
      </c>
      <c r="C233" s="236" t="s">
        <v>217</v>
      </c>
      <c r="D233" s="236" t="s">
        <v>551</v>
      </c>
      <c r="E233" s="253">
        <v>2500000</v>
      </c>
      <c r="F233" s="104" t="s">
        <v>238</v>
      </c>
      <c r="G233" s="206"/>
      <c r="H233" s="212"/>
      <c r="I233" s="216"/>
      <c r="J233" s="206">
        <v>1</v>
      </c>
      <c r="K233" s="206">
        <v>1</v>
      </c>
      <c r="L233" s="183">
        <v>0.25</v>
      </c>
      <c r="M233" s="183">
        <v>0.25</v>
      </c>
      <c r="N233" s="183"/>
      <c r="O233" s="183"/>
      <c r="P233" s="183">
        <v>0.25</v>
      </c>
      <c r="Q233" s="183">
        <v>-0.2</v>
      </c>
      <c r="R233" s="183">
        <v>0.2</v>
      </c>
      <c r="S233" s="183">
        <v>0.2</v>
      </c>
      <c r="T233" s="183">
        <v>-0.2</v>
      </c>
      <c r="U233" s="183">
        <v>-0.2</v>
      </c>
      <c r="V233" s="105">
        <v>0.5</v>
      </c>
      <c r="W233" s="163">
        <f>Таблица32[[#This Row],[Столбец7]]*Таблица32[[#This Row],[Ishga kelish nazoratchi2]]%</f>
        <v>0</v>
      </c>
      <c r="X233" s="168">
        <f>Таблица32[[#This Row],[Столбец7]]*Таблица32[[#This Row],[Ishga vaqtida kelish ketish]]%</f>
        <v>0</v>
      </c>
      <c r="Y233" s="134">
        <f>Таблица32[[#This Row],[Столбец7]]*Таблица32[[#This Row],[Ishga kelish bank klient]]%</f>
        <v>0</v>
      </c>
      <c r="Z233" s="168">
        <f>Таблица32[[#This Row],[Столбец7]]*Таблица32[[#This Row],[Gruppa buxgalter]]%</f>
        <v>25000</v>
      </c>
      <c r="AA233" s="168">
        <f>Таблица32[[#This Row],[Столбец7]]*Таблица32[[#This Row],[Gruppa bank klient ]]%</f>
        <v>25000</v>
      </c>
      <c r="AB233" s="168">
        <f>Таблица32[[#This Row],[1c]]*Таблица32[[#This Row],[Столбец7]]/100</f>
        <v>0</v>
      </c>
      <c r="AC233" s="181">
        <f>SUM(Таблица32[[#This Row],[Didox]:[ мехнат]],Таблица32[[#This Row],[Avtokameral]])*Таблица32[[#This Row],[Столбец7]]/100</f>
        <v>18750</v>
      </c>
      <c r="AD233" s="196">
        <f>SUM(Таблица32[[#This Row],[Pul oqimlari]:[Foyda va zarar]])*Таблица32[[#This Row],[Столбец7]]/100</f>
        <v>-5000</v>
      </c>
      <c r="AE233" s="197">
        <f>Таблица32[[#This Row],[Столбец7]]*Таблица32[[#This Row],[Nazoratchi]]%</f>
        <v>12500</v>
      </c>
      <c r="AF233" s="168">
        <f>Таблица32[[#This Row],[Ishga vaqtida kelish nazoratchi]]+Таблица32[[#This Row],[Nazoratchi2]]</f>
        <v>12500</v>
      </c>
      <c r="AG23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38750</v>
      </c>
      <c r="AH233" s="168">
        <f>Таблица32[[#This Row],[Ishga kelish bank klient3]]+Таблица32[[#This Row],[Gruppa bank klient 2]]</f>
        <v>25000</v>
      </c>
    </row>
    <row r="234" spans="1:34" ht="18.75" x14ac:dyDescent="0.3">
      <c r="A234" s="130">
        <v>232</v>
      </c>
      <c r="B234" s="236" t="s">
        <v>529</v>
      </c>
      <c r="C234" s="236" t="s">
        <v>468</v>
      </c>
      <c r="D234" s="236"/>
      <c r="E234" s="253">
        <v>500000</v>
      </c>
      <c r="F234" s="104" t="s">
        <v>238</v>
      </c>
      <c r="G234" s="206"/>
      <c r="H234" s="212"/>
      <c r="I234" s="216"/>
      <c r="J234" s="206">
        <v>1</v>
      </c>
      <c r="K234" s="206"/>
      <c r="L234" s="183">
        <v>0.25</v>
      </c>
      <c r="M234" s="183">
        <v>0.25</v>
      </c>
      <c r="N234" s="183"/>
      <c r="O234" s="183"/>
      <c r="P234" s="183">
        <v>0.25</v>
      </c>
      <c r="Q234" s="183">
        <v>0</v>
      </c>
      <c r="R234" s="183">
        <v>0.2</v>
      </c>
      <c r="S234" s="183">
        <v>-0.2</v>
      </c>
      <c r="T234" s="183">
        <v>0</v>
      </c>
      <c r="U234" s="183">
        <v>0</v>
      </c>
      <c r="V234" s="105">
        <v>0.5</v>
      </c>
      <c r="W234" s="163">
        <f>Таблица32[[#This Row],[Столбец7]]*Таблица32[[#This Row],[Ishga kelish nazoratchi2]]%</f>
        <v>0</v>
      </c>
      <c r="X234" s="168">
        <f>Таблица32[[#This Row],[Столбец7]]*Таблица32[[#This Row],[Ishga vaqtida kelish ketish]]%</f>
        <v>0</v>
      </c>
      <c r="Y234" s="134">
        <f>Таблица32[[#This Row],[Столбец7]]*Таблица32[[#This Row],[Ishga kelish bank klient]]%</f>
        <v>0</v>
      </c>
      <c r="Z234" s="168">
        <f>Таблица32[[#This Row],[Столбец7]]*Таблица32[[#This Row],[Gruppa buxgalter]]%</f>
        <v>5000</v>
      </c>
      <c r="AA234" s="168">
        <f>Таблица32[[#This Row],[Столбец7]]*Таблица32[[#This Row],[Gruppa bank klient ]]%</f>
        <v>0</v>
      </c>
      <c r="AB234" s="168">
        <f>Таблица32[[#This Row],[1c]]*Таблица32[[#This Row],[Столбец7]]/100</f>
        <v>0</v>
      </c>
      <c r="AC234" s="181">
        <f>SUM(Таблица32[[#This Row],[Didox]:[ мехнат]],Таблица32[[#This Row],[Avtokameral]])*Таблица32[[#This Row],[Столбец7]]/100</f>
        <v>3750</v>
      </c>
      <c r="AD234" s="196">
        <f>SUM(Таблица32[[#This Row],[Pul oqimlari]:[Foyda va zarar]])*Таблица32[[#This Row],[Столбец7]]/100</f>
        <v>0</v>
      </c>
      <c r="AE234" s="197">
        <f>Таблица32[[#This Row],[Столбец7]]*Таблица32[[#This Row],[Nazoratchi]]%</f>
        <v>2500</v>
      </c>
      <c r="AF234" s="168">
        <f>Таблица32[[#This Row],[Ishga vaqtida kelish nazoratchi]]+Таблица32[[#This Row],[Nazoratchi2]]</f>
        <v>2500</v>
      </c>
      <c r="AG23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234" s="168">
        <f>Таблица32[[#This Row],[Ishga kelish bank klient3]]+Таблица32[[#This Row],[Gruppa bank klient 2]]</f>
        <v>0</v>
      </c>
    </row>
    <row r="235" spans="1:34" ht="18.75" x14ac:dyDescent="0.3">
      <c r="A235" s="130">
        <v>233</v>
      </c>
      <c r="B235" s="236" t="s">
        <v>530</v>
      </c>
      <c r="C235" s="236" t="s">
        <v>468</v>
      </c>
      <c r="D235" s="236" t="s">
        <v>240</v>
      </c>
      <c r="E235" s="253">
        <v>900000</v>
      </c>
      <c r="F235" s="104" t="s">
        <v>238</v>
      </c>
      <c r="G235" s="206"/>
      <c r="H235" s="206">
        <v>1</v>
      </c>
      <c r="I235" s="216"/>
      <c r="J235" s="206">
        <v>1</v>
      </c>
      <c r="K235" s="206">
        <v>1</v>
      </c>
      <c r="L235" s="183">
        <v>0.25</v>
      </c>
      <c r="M235" s="183">
        <v>0.25</v>
      </c>
      <c r="N235" s="183"/>
      <c r="O235" s="183">
        <v>1</v>
      </c>
      <c r="P235" s="183">
        <v>0.25</v>
      </c>
      <c r="Q235" s="183">
        <v>0.2</v>
      </c>
      <c r="R235" s="183">
        <v>0.2</v>
      </c>
      <c r="S235" s="183">
        <v>0</v>
      </c>
      <c r="T235" s="183">
        <v>0.2</v>
      </c>
      <c r="U235" s="183">
        <v>0.2</v>
      </c>
      <c r="V235" s="105">
        <v>0.5</v>
      </c>
      <c r="W235" s="163">
        <f>Таблица32[[#This Row],[Столбец7]]*Таблица32[[#This Row],[Ishga kelish nazoratchi2]]%</f>
        <v>0</v>
      </c>
      <c r="X235" s="168">
        <f>Таблица32[[#This Row],[Столбец7]]*Таблица32[[#This Row],[Ishga vaqtida kelish ketish]]%</f>
        <v>0</v>
      </c>
      <c r="Y235" s="134">
        <f>Таблица32[[#This Row],[Столбец7]]*Таблица32[[#This Row],[Ishga kelish bank klient]]%</f>
        <v>9000</v>
      </c>
      <c r="Z235" s="168">
        <f>Таблица32[[#This Row],[Столбец7]]*Таблица32[[#This Row],[Gruppa buxgalter]]%</f>
        <v>9000</v>
      </c>
      <c r="AA235" s="168">
        <f>Таблица32[[#This Row],[Столбец7]]*Таблица32[[#This Row],[Gruppa bank klient ]]%</f>
        <v>9000</v>
      </c>
      <c r="AB235" s="168">
        <f>Таблица32[[#This Row],[1c]]*Таблица32[[#This Row],[Столбец7]]/100</f>
        <v>9000</v>
      </c>
      <c r="AC235" s="181">
        <f>SUM(Таблица32[[#This Row],[Didox]:[ мехнат]],Таблица32[[#This Row],[Avtokameral]])*Таблица32[[#This Row],[Столбец7]]/100</f>
        <v>6750</v>
      </c>
      <c r="AD235" s="196">
        <f>SUM(Таблица32[[#This Row],[Pul oqimlari]:[Foyda va zarar]])*Таблица32[[#This Row],[Столбец7]]/100</f>
        <v>7200</v>
      </c>
      <c r="AE235" s="197">
        <f>Таблица32[[#This Row],[Столбец7]]*Таблица32[[#This Row],[Nazoratchi]]%</f>
        <v>4500</v>
      </c>
      <c r="AF235" s="168">
        <f>Таблица32[[#This Row],[Ishga vaqtida kelish nazoratchi]]+Таблица32[[#This Row],[Nazoratchi2]]</f>
        <v>4500</v>
      </c>
      <c r="AG23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31950</v>
      </c>
      <c r="AH235" s="168">
        <f>Таблица32[[#This Row],[Ishga kelish bank klient3]]+Таблица32[[#This Row],[Gruppa bank klient 2]]</f>
        <v>18000</v>
      </c>
    </row>
    <row r="236" spans="1:34" ht="18.75" x14ac:dyDescent="0.3">
      <c r="A236" s="130">
        <v>234</v>
      </c>
      <c r="B236" s="236" t="s">
        <v>531</v>
      </c>
      <c r="C236" s="236" t="s">
        <v>550</v>
      </c>
      <c r="D236" s="236" t="s">
        <v>551</v>
      </c>
      <c r="E236" s="253">
        <v>700000</v>
      </c>
      <c r="F236" s="104" t="s">
        <v>238</v>
      </c>
      <c r="G236" s="206">
        <v>-1.05</v>
      </c>
      <c r="H236" s="212"/>
      <c r="I236" s="216"/>
      <c r="J236" s="206">
        <v>1</v>
      </c>
      <c r="K236" s="206">
        <v>1</v>
      </c>
      <c r="L236" s="183">
        <v>0.25</v>
      </c>
      <c r="M236" s="183">
        <v>0.25</v>
      </c>
      <c r="N236" s="183"/>
      <c r="O236" s="183">
        <v>-1</v>
      </c>
      <c r="P236" s="183">
        <v>0.25</v>
      </c>
      <c r="Q236" s="183">
        <v>0</v>
      </c>
      <c r="R236" s="183">
        <v>-0.2</v>
      </c>
      <c r="S236" s="183">
        <v>-0.2</v>
      </c>
      <c r="T236" s="183">
        <v>0</v>
      </c>
      <c r="U236" s="183">
        <v>0</v>
      </c>
      <c r="V236" s="105">
        <v>0.5</v>
      </c>
      <c r="W236" s="163">
        <f>Таблица32[[#This Row],[Столбец7]]*Таблица32[[#This Row],[Ishga kelish nazoratchi2]]%</f>
        <v>0</v>
      </c>
      <c r="X236" s="168">
        <f>Таблица32[[#This Row],[Столбец7]]*Таблица32[[#This Row],[Ishga vaqtida kelish ketish]]%</f>
        <v>-7350.0000000000009</v>
      </c>
      <c r="Y236" s="134">
        <f>Таблица32[[#This Row],[Столбец7]]*Таблица32[[#This Row],[Ishga kelish bank klient]]%</f>
        <v>0</v>
      </c>
      <c r="Z236" s="168">
        <f>Таблица32[[#This Row],[Столбец7]]*Таблица32[[#This Row],[Gruppa buxgalter]]%</f>
        <v>7000</v>
      </c>
      <c r="AA236" s="168">
        <f>Таблица32[[#This Row],[Столбец7]]*Таблица32[[#This Row],[Gruppa bank klient ]]%</f>
        <v>7000</v>
      </c>
      <c r="AB236" s="168">
        <f>Таблица32[[#This Row],[1c]]*Таблица32[[#This Row],[Столбец7]]/100</f>
        <v>-7000</v>
      </c>
      <c r="AC236" s="181">
        <f>SUM(Таблица32[[#This Row],[Didox]:[ мехнат]],Таблица32[[#This Row],[Avtokameral]])*Таблица32[[#This Row],[Столбец7]]/100</f>
        <v>5250</v>
      </c>
      <c r="AD236" s="196">
        <f>SUM(Таблица32[[#This Row],[Pul oqimlari]:[Foyda va zarar]])*Таблица32[[#This Row],[Столбец7]]/100</f>
        <v>-2800</v>
      </c>
      <c r="AE236" s="197">
        <f>Таблица32[[#This Row],[Столбец7]]*Таблица32[[#This Row],[Nazoratchi]]%</f>
        <v>3500</v>
      </c>
      <c r="AF236" s="168">
        <f>Таблица32[[#This Row],[Ishga vaqtida kelish nazoratchi]]+Таблица32[[#This Row],[Nazoratchi2]]</f>
        <v>3500</v>
      </c>
      <c r="AG23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-4900.0000000000009</v>
      </c>
      <c r="AH236" s="168">
        <f>Таблица32[[#This Row],[Ishga kelish bank klient3]]+Таблица32[[#This Row],[Gruppa bank klient 2]]</f>
        <v>7000</v>
      </c>
    </row>
    <row r="237" spans="1:34" ht="18.75" x14ac:dyDescent="0.3">
      <c r="A237" s="130">
        <v>235</v>
      </c>
      <c r="B237" s="236" t="s">
        <v>532</v>
      </c>
      <c r="C237" s="236" t="s">
        <v>550</v>
      </c>
      <c r="D237" s="236"/>
      <c r="E237" s="253">
        <v>1000000</v>
      </c>
      <c r="F237" s="104" t="s">
        <v>238</v>
      </c>
      <c r="G237" s="206">
        <v>-1.05</v>
      </c>
      <c r="H237" s="212"/>
      <c r="I237" s="216"/>
      <c r="J237" s="206">
        <v>1</v>
      </c>
      <c r="K237" s="206"/>
      <c r="L237" s="183">
        <v>0.25</v>
      </c>
      <c r="M237" s="183">
        <v>-0.25</v>
      </c>
      <c r="N237" s="183"/>
      <c r="O237" s="183">
        <v>-1</v>
      </c>
      <c r="P237" s="183">
        <v>0.25</v>
      </c>
      <c r="Q237" s="183">
        <v>-0.2</v>
      </c>
      <c r="R237" s="183">
        <v>-0.2</v>
      </c>
      <c r="S237" s="183">
        <v>-0.2</v>
      </c>
      <c r="T237" s="183">
        <v>-0.2</v>
      </c>
      <c r="U237" s="183">
        <v>-0.2</v>
      </c>
      <c r="V237" s="105">
        <v>0.5</v>
      </c>
      <c r="W237" s="163">
        <f>Таблица32[[#This Row],[Столбец7]]*Таблица32[[#This Row],[Ishga kelish nazoratchi2]]%</f>
        <v>0</v>
      </c>
      <c r="X237" s="168">
        <f>Таблица32[[#This Row],[Столбец7]]*Таблица32[[#This Row],[Ishga vaqtida kelish ketish]]%</f>
        <v>-10500</v>
      </c>
      <c r="Y237" s="134">
        <f>Таблица32[[#This Row],[Столбец7]]*Таблица32[[#This Row],[Ishga kelish bank klient]]%</f>
        <v>0</v>
      </c>
      <c r="Z237" s="168">
        <f>Таблица32[[#This Row],[Столбец7]]*Таблица32[[#This Row],[Gruppa buxgalter]]%</f>
        <v>10000</v>
      </c>
      <c r="AA237" s="168">
        <f>Таблица32[[#This Row],[Столбец7]]*Таблица32[[#This Row],[Gruppa bank klient ]]%</f>
        <v>0</v>
      </c>
      <c r="AB237" s="168">
        <f>Таблица32[[#This Row],[1c]]*Таблица32[[#This Row],[Столбец7]]/100</f>
        <v>-10000</v>
      </c>
      <c r="AC237" s="181">
        <f>SUM(Таблица32[[#This Row],[Didox]:[ мехнат]],Таблица32[[#This Row],[Avtokameral]])*Таблица32[[#This Row],[Столбец7]]/100</f>
        <v>2500</v>
      </c>
      <c r="AD237" s="196">
        <f>SUM(Таблица32[[#This Row],[Pul oqimlari]:[Foyda va zarar]])*Таблица32[[#This Row],[Столбец7]]/100</f>
        <v>-10000</v>
      </c>
      <c r="AE237" s="197">
        <f>Таблица32[[#This Row],[Столбец7]]*Таблица32[[#This Row],[Nazoratchi]]%</f>
        <v>5000</v>
      </c>
      <c r="AF237" s="168">
        <f>Таблица32[[#This Row],[Ishga vaqtida kelish nazoratchi]]+Таблица32[[#This Row],[Nazoratchi2]]</f>
        <v>5000</v>
      </c>
      <c r="AG23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-18000</v>
      </c>
      <c r="AH237" s="168">
        <f>Таблица32[[#This Row],[Ishga kelish bank klient3]]+Таблица32[[#This Row],[Gruppa bank klient 2]]</f>
        <v>0</v>
      </c>
    </row>
    <row r="238" spans="1:34" ht="18.75" x14ac:dyDescent="0.3">
      <c r="A238" s="130">
        <v>236</v>
      </c>
      <c r="B238" s="236" t="s">
        <v>533</v>
      </c>
      <c r="C238" s="236" t="s">
        <v>550</v>
      </c>
      <c r="D238" s="236" t="s">
        <v>551</v>
      </c>
      <c r="E238" s="253">
        <v>700000</v>
      </c>
      <c r="F238" s="104" t="s">
        <v>238</v>
      </c>
      <c r="G238" s="206">
        <v>-1.05</v>
      </c>
      <c r="H238" s="212"/>
      <c r="I238" s="216"/>
      <c r="J238" s="206">
        <v>1</v>
      </c>
      <c r="K238" s="206">
        <v>1</v>
      </c>
      <c r="L238" s="183">
        <v>0.25</v>
      </c>
      <c r="M238" s="183">
        <v>0.25</v>
      </c>
      <c r="N238" s="183"/>
      <c r="O238" s="183">
        <v>-1</v>
      </c>
      <c r="P238" s="183">
        <v>0.25</v>
      </c>
      <c r="Q238" s="183">
        <v>-0.2</v>
      </c>
      <c r="R238" s="183">
        <v>-0.2</v>
      </c>
      <c r="S238" s="183">
        <v>-0.2</v>
      </c>
      <c r="T238" s="183">
        <v>-0.2</v>
      </c>
      <c r="U238" s="183">
        <v>-0.2</v>
      </c>
      <c r="V238" s="105">
        <v>0.5</v>
      </c>
      <c r="W238" s="163">
        <f>Таблица32[[#This Row],[Столбец7]]*Таблица32[[#This Row],[Ishga kelish nazoratchi2]]%</f>
        <v>0</v>
      </c>
      <c r="X238" s="168">
        <f>Таблица32[[#This Row],[Столбец7]]*Таблица32[[#This Row],[Ishga vaqtida kelish ketish]]%</f>
        <v>-7350.0000000000009</v>
      </c>
      <c r="Y238" s="134">
        <f>Таблица32[[#This Row],[Столбец7]]*Таблица32[[#This Row],[Ishga kelish bank klient]]%</f>
        <v>0</v>
      </c>
      <c r="Z238" s="168">
        <f>Таблица32[[#This Row],[Столбец7]]*Таблица32[[#This Row],[Gruppa buxgalter]]%</f>
        <v>7000</v>
      </c>
      <c r="AA238" s="168">
        <f>Таблица32[[#This Row],[Столбец7]]*Таблица32[[#This Row],[Gruppa bank klient ]]%</f>
        <v>7000</v>
      </c>
      <c r="AB238" s="168">
        <f>Таблица32[[#This Row],[1c]]*Таблица32[[#This Row],[Столбец7]]/100</f>
        <v>-7000</v>
      </c>
      <c r="AC238" s="181">
        <f>SUM(Таблица32[[#This Row],[Didox]:[ мехнат]],Таблица32[[#This Row],[Avtokameral]])*Таблица32[[#This Row],[Столбец7]]/100</f>
        <v>5250</v>
      </c>
      <c r="AD238" s="196">
        <f>SUM(Таблица32[[#This Row],[Pul oqimlari]:[Foyda va zarar]])*Таблица32[[#This Row],[Столбец7]]/100</f>
        <v>-7000</v>
      </c>
      <c r="AE238" s="197">
        <f>Таблица32[[#This Row],[Столбец7]]*Таблица32[[#This Row],[Nazoratchi]]%</f>
        <v>3500</v>
      </c>
      <c r="AF238" s="168">
        <f>Таблица32[[#This Row],[Ishga vaqtida kelish nazoratchi]]+Таблица32[[#This Row],[Nazoratchi2]]</f>
        <v>3500</v>
      </c>
      <c r="AG23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-9100</v>
      </c>
      <c r="AH238" s="168">
        <f>Таблица32[[#This Row],[Ishga kelish bank klient3]]+Таблица32[[#This Row],[Gruppa bank klient 2]]</f>
        <v>7000</v>
      </c>
    </row>
    <row r="239" spans="1:34" ht="18.75" x14ac:dyDescent="0.3">
      <c r="A239" s="130">
        <v>237</v>
      </c>
      <c r="B239" s="236" t="s">
        <v>534</v>
      </c>
      <c r="C239" s="236" t="s">
        <v>550</v>
      </c>
      <c r="D239" s="236" t="s">
        <v>551</v>
      </c>
      <c r="E239" s="253">
        <v>1300000</v>
      </c>
      <c r="F239" s="104" t="s">
        <v>238</v>
      </c>
      <c r="G239" s="206">
        <v>-1.05</v>
      </c>
      <c r="H239" s="212"/>
      <c r="I239" s="216"/>
      <c r="J239" s="206">
        <v>1</v>
      </c>
      <c r="K239" s="206">
        <v>1</v>
      </c>
      <c r="L239" s="183">
        <v>0.25</v>
      </c>
      <c r="M239" s="183">
        <v>0.25</v>
      </c>
      <c r="N239" s="183"/>
      <c r="O239" s="183">
        <v>-1</v>
      </c>
      <c r="P239" s="183">
        <v>0.25</v>
      </c>
      <c r="Q239" s="183">
        <v>0</v>
      </c>
      <c r="R239" s="183">
        <v>-0.2</v>
      </c>
      <c r="S239" s="183">
        <v>0.2</v>
      </c>
      <c r="T239" s="183">
        <v>0.2</v>
      </c>
      <c r="U239" s="183">
        <v>0</v>
      </c>
      <c r="V239" s="105">
        <v>0.5</v>
      </c>
      <c r="W239" s="163">
        <f>Таблица32[[#This Row],[Столбец7]]*Таблица32[[#This Row],[Ishga kelish nazoratchi2]]%</f>
        <v>0</v>
      </c>
      <c r="X239" s="168">
        <f>Таблица32[[#This Row],[Столбец7]]*Таблица32[[#This Row],[Ishga vaqtida kelish ketish]]%</f>
        <v>-13650</v>
      </c>
      <c r="Y239" s="134">
        <f>Таблица32[[#This Row],[Столбец7]]*Таблица32[[#This Row],[Ishga kelish bank klient]]%</f>
        <v>0</v>
      </c>
      <c r="Z239" s="168">
        <f>Таблица32[[#This Row],[Столбец7]]*Таблица32[[#This Row],[Gruppa buxgalter]]%</f>
        <v>13000</v>
      </c>
      <c r="AA239" s="168">
        <f>Таблица32[[#This Row],[Столбец7]]*Таблица32[[#This Row],[Gruppa bank klient ]]%</f>
        <v>13000</v>
      </c>
      <c r="AB239" s="168">
        <f>Таблица32[[#This Row],[1c]]*Таблица32[[#This Row],[Столбец7]]/100</f>
        <v>-13000</v>
      </c>
      <c r="AC239" s="181">
        <f>SUM(Таблица32[[#This Row],[Didox]:[ мехнат]],Таблица32[[#This Row],[Avtokameral]])*Таблица32[[#This Row],[Столбец7]]/100</f>
        <v>9750</v>
      </c>
      <c r="AD239" s="196">
        <f>SUM(Таблица32[[#This Row],[Pul oqimlari]:[Foyda va zarar]])*Таблица32[[#This Row],[Столбец7]]/100</f>
        <v>2600</v>
      </c>
      <c r="AE239" s="197">
        <f>Таблица32[[#This Row],[Столбец7]]*Таблица32[[#This Row],[Nazoratchi]]%</f>
        <v>6500</v>
      </c>
      <c r="AF239" s="168">
        <f>Таблица32[[#This Row],[Ishga vaqtida kelish nazoratchi]]+Таблица32[[#This Row],[Nazoratchi2]]</f>
        <v>6500</v>
      </c>
      <c r="AG23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-1300</v>
      </c>
      <c r="AH239" s="168">
        <f>Таблица32[[#This Row],[Ishga kelish bank klient3]]+Таблица32[[#This Row],[Gruppa bank klient 2]]</f>
        <v>13000</v>
      </c>
    </row>
    <row r="240" spans="1:34" ht="18.75" x14ac:dyDescent="0.3">
      <c r="A240" s="130">
        <v>238</v>
      </c>
      <c r="B240" s="236" t="s">
        <v>535</v>
      </c>
      <c r="C240" s="236" t="s">
        <v>550</v>
      </c>
      <c r="D240" s="236" t="s">
        <v>551</v>
      </c>
      <c r="E240" s="253">
        <v>1300000</v>
      </c>
      <c r="F240" s="104" t="s">
        <v>238</v>
      </c>
      <c r="G240" s="206">
        <v>-1.05</v>
      </c>
      <c r="H240" s="212"/>
      <c r="I240" s="216"/>
      <c r="J240" s="206">
        <v>1</v>
      </c>
      <c r="K240" s="206">
        <v>1</v>
      </c>
      <c r="L240" s="183">
        <v>0.25</v>
      </c>
      <c r="M240" s="183">
        <v>-0.25</v>
      </c>
      <c r="N240" s="183"/>
      <c r="O240" s="183">
        <v>-1</v>
      </c>
      <c r="P240" s="183">
        <v>0.25</v>
      </c>
      <c r="Q240" s="183">
        <v>0</v>
      </c>
      <c r="R240" s="183">
        <v>-0.2</v>
      </c>
      <c r="S240" s="183">
        <v>0.2</v>
      </c>
      <c r="T240" s="183">
        <v>0</v>
      </c>
      <c r="U240" s="183">
        <v>0</v>
      </c>
      <c r="V240" s="105">
        <v>0.5</v>
      </c>
      <c r="W240" s="163">
        <f>Таблица32[[#This Row],[Столбец7]]*Таблица32[[#This Row],[Ishga kelish nazoratchi2]]%</f>
        <v>0</v>
      </c>
      <c r="X240" s="168">
        <f>Таблица32[[#This Row],[Столбец7]]*Таблица32[[#This Row],[Ishga vaqtida kelish ketish]]%</f>
        <v>-13650</v>
      </c>
      <c r="Y240" s="134">
        <f>Таблица32[[#This Row],[Столбец7]]*Таблица32[[#This Row],[Ishga kelish bank klient]]%</f>
        <v>0</v>
      </c>
      <c r="Z240" s="168">
        <f>Таблица32[[#This Row],[Столбец7]]*Таблица32[[#This Row],[Gruppa buxgalter]]%</f>
        <v>13000</v>
      </c>
      <c r="AA240" s="168">
        <f>Таблица32[[#This Row],[Столбец7]]*Таблица32[[#This Row],[Gruppa bank klient ]]%</f>
        <v>13000</v>
      </c>
      <c r="AB240" s="168">
        <f>Таблица32[[#This Row],[1c]]*Таблица32[[#This Row],[Столбец7]]/100</f>
        <v>-13000</v>
      </c>
      <c r="AC240" s="181">
        <f>SUM(Таблица32[[#This Row],[Didox]:[ мехнат]],Таблица32[[#This Row],[Avtokameral]])*Таблица32[[#This Row],[Столбец7]]/100</f>
        <v>3250</v>
      </c>
      <c r="AD240" s="196">
        <f>SUM(Таблица32[[#This Row],[Pul oqimlari]:[Foyda va zarar]])*Таблица32[[#This Row],[Столбец7]]/100</f>
        <v>0</v>
      </c>
      <c r="AE240" s="197">
        <f>Таблица32[[#This Row],[Столбец7]]*Таблица32[[#This Row],[Nazoratchi]]%</f>
        <v>6500</v>
      </c>
      <c r="AF240" s="168">
        <f>Таблица32[[#This Row],[Ishga vaqtida kelish nazoratchi]]+Таблица32[[#This Row],[Nazoratchi2]]</f>
        <v>6500</v>
      </c>
      <c r="AG24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-10400</v>
      </c>
      <c r="AH240" s="168">
        <f>Таблица32[[#This Row],[Ishga kelish bank klient3]]+Таблица32[[#This Row],[Gruppa bank klient 2]]</f>
        <v>13000</v>
      </c>
    </row>
    <row r="241" spans="1:34" ht="18.75" x14ac:dyDescent="0.3">
      <c r="A241" s="130">
        <v>239</v>
      </c>
      <c r="B241" s="236" t="s">
        <v>536</v>
      </c>
      <c r="C241" s="236" t="s">
        <v>550</v>
      </c>
      <c r="D241" s="236" t="s">
        <v>551</v>
      </c>
      <c r="E241" s="253">
        <v>8000000</v>
      </c>
      <c r="F241" s="104" t="s">
        <v>238</v>
      </c>
      <c r="G241" s="206">
        <v>-1.05</v>
      </c>
      <c r="H241" s="212"/>
      <c r="I241" s="216"/>
      <c r="J241" s="206">
        <v>1</v>
      </c>
      <c r="K241" s="206">
        <v>1</v>
      </c>
      <c r="L241" s="183">
        <v>0.25</v>
      </c>
      <c r="M241" s="183">
        <v>0.25</v>
      </c>
      <c r="N241" s="183"/>
      <c r="O241" s="183">
        <v>-1</v>
      </c>
      <c r="P241" s="183">
        <v>0.25</v>
      </c>
      <c r="Q241" s="183">
        <v>-0.2</v>
      </c>
      <c r="R241" s="183">
        <v>-0.2</v>
      </c>
      <c r="S241" s="183">
        <v>0.2</v>
      </c>
      <c r="T241" s="183">
        <v>0.2</v>
      </c>
      <c r="U241" s="183">
        <v>-0.2</v>
      </c>
      <c r="V241" s="105">
        <v>0.5</v>
      </c>
      <c r="W241" s="163">
        <f>Таблица32[[#This Row],[Столбец7]]*Таблица32[[#This Row],[Ishga kelish nazoratchi2]]%</f>
        <v>0</v>
      </c>
      <c r="X241" s="168">
        <f>Таблица32[[#This Row],[Столбец7]]*Таблица32[[#This Row],[Ishga vaqtida kelish ketish]]%</f>
        <v>-84000</v>
      </c>
      <c r="Y241" s="134">
        <f>Таблица32[[#This Row],[Столбец7]]*Таблица32[[#This Row],[Ishga kelish bank klient]]%</f>
        <v>0</v>
      </c>
      <c r="Z241" s="168">
        <f>Таблица32[[#This Row],[Столбец7]]*Таблица32[[#This Row],[Gruppa buxgalter]]%</f>
        <v>80000</v>
      </c>
      <c r="AA241" s="168">
        <f>Таблица32[[#This Row],[Столбец7]]*Таблица32[[#This Row],[Gruppa bank klient ]]%</f>
        <v>80000</v>
      </c>
      <c r="AB241" s="168">
        <f>Таблица32[[#This Row],[1c]]*Таблица32[[#This Row],[Столбец7]]/100</f>
        <v>-80000</v>
      </c>
      <c r="AC241" s="181">
        <f>SUM(Таблица32[[#This Row],[Didox]:[ мехнат]],Таблица32[[#This Row],[Avtokameral]])*Таблица32[[#This Row],[Столбец7]]/100</f>
        <v>60000</v>
      </c>
      <c r="AD241" s="196">
        <f>SUM(Таблица32[[#This Row],[Pul oqimlari]:[Foyda va zarar]])*Таблица32[[#This Row],[Столбец7]]/100</f>
        <v>-16000</v>
      </c>
      <c r="AE241" s="197">
        <f>Таблица32[[#This Row],[Столбец7]]*Таблица32[[#This Row],[Nazoratchi]]%</f>
        <v>40000</v>
      </c>
      <c r="AF241" s="168">
        <f>Таблица32[[#This Row],[Ishga vaqtida kelish nazoratchi]]+Таблица32[[#This Row],[Nazoratchi2]]</f>
        <v>40000</v>
      </c>
      <c r="AG24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-40000</v>
      </c>
      <c r="AH241" s="168">
        <f>Таблица32[[#This Row],[Ishga kelish bank klient3]]+Таблица32[[#This Row],[Gruppa bank klient 2]]</f>
        <v>80000</v>
      </c>
    </row>
    <row r="242" spans="1:34" ht="18.75" x14ac:dyDescent="0.3">
      <c r="A242" s="130">
        <v>240</v>
      </c>
      <c r="B242" s="236" t="s">
        <v>537</v>
      </c>
      <c r="C242" s="236" t="s">
        <v>550</v>
      </c>
      <c r="D242" s="236"/>
      <c r="E242" s="253">
        <v>1200000</v>
      </c>
      <c r="F242" s="104" t="s">
        <v>238</v>
      </c>
      <c r="G242" s="206">
        <v>-1.05</v>
      </c>
      <c r="H242" s="212"/>
      <c r="I242" s="216"/>
      <c r="J242" s="206">
        <v>1</v>
      </c>
      <c r="K242" s="206"/>
      <c r="L242" s="183">
        <v>0</v>
      </c>
      <c r="M242" s="183">
        <v>-0.25</v>
      </c>
      <c r="N242" s="183"/>
      <c r="O242" s="183">
        <v>-1</v>
      </c>
      <c r="P242" s="183">
        <v>0.25</v>
      </c>
      <c r="Q242" s="183">
        <v>0</v>
      </c>
      <c r="R242" s="183">
        <v>0</v>
      </c>
      <c r="S242" s="183">
        <v>0</v>
      </c>
      <c r="T242" s="183">
        <v>0</v>
      </c>
      <c r="U242" s="183">
        <v>0</v>
      </c>
      <c r="V242" s="105">
        <v>0.5</v>
      </c>
      <c r="W242" s="163">
        <f>Таблица32[[#This Row],[Столбец7]]*Таблица32[[#This Row],[Ishga kelish nazoratchi2]]%</f>
        <v>0</v>
      </c>
      <c r="X242" s="168">
        <f>Таблица32[[#This Row],[Столбец7]]*Таблица32[[#This Row],[Ishga vaqtida kelish ketish]]%</f>
        <v>-12600</v>
      </c>
      <c r="Y242" s="134">
        <f>Таблица32[[#This Row],[Столбец7]]*Таблица32[[#This Row],[Ishga kelish bank klient]]%</f>
        <v>0</v>
      </c>
      <c r="Z242" s="168">
        <f>Таблица32[[#This Row],[Столбец7]]*Таблица32[[#This Row],[Gruppa buxgalter]]%</f>
        <v>12000</v>
      </c>
      <c r="AA242" s="168">
        <f>Таблица32[[#This Row],[Столбец7]]*Таблица32[[#This Row],[Gruppa bank klient ]]%</f>
        <v>0</v>
      </c>
      <c r="AB242" s="168">
        <f>Таблица32[[#This Row],[1c]]*Таблица32[[#This Row],[Столбец7]]/100</f>
        <v>-12000</v>
      </c>
      <c r="AC242" s="181">
        <f>SUM(Таблица32[[#This Row],[Didox]:[ мехнат]],Таблица32[[#This Row],[Avtokameral]])*Таблица32[[#This Row],[Столбец7]]/100</f>
        <v>0</v>
      </c>
      <c r="AD242" s="196">
        <f>SUM(Таблица32[[#This Row],[Pul oqimlari]:[Foyda va zarar]])*Таблица32[[#This Row],[Столбец7]]/100</f>
        <v>0</v>
      </c>
      <c r="AE242" s="197">
        <f>Таблица32[[#This Row],[Столбец7]]*Таблица32[[#This Row],[Nazoratchi]]%</f>
        <v>6000</v>
      </c>
      <c r="AF242" s="168">
        <f>Таблица32[[#This Row],[Ishga vaqtida kelish nazoratchi]]+Таблица32[[#This Row],[Nazoratchi2]]</f>
        <v>6000</v>
      </c>
      <c r="AG24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-12600</v>
      </c>
      <c r="AH242" s="168">
        <f>Таблица32[[#This Row],[Ishga kelish bank klient3]]+Таблица32[[#This Row],[Gruppa bank klient 2]]</f>
        <v>0</v>
      </c>
    </row>
    <row r="243" spans="1:34" ht="18.75" x14ac:dyDescent="0.3">
      <c r="A243" s="130">
        <v>241</v>
      </c>
      <c r="B243" s="236" t="s">
        <v>538</v>
      </c>
      <c r="C243" s="236" t="s">
        <v>549</v>
      </c>
      <c r="D243" s="236"/>
      <c r="E243" s="253">
        <v>700000</v>
      </c>
      <c r="F243" s="104" t="s">
        <v>238</v>
      </c>
      <c r="G243" s="206">
        <v>-2.9</v>
      </c>
      <c r="H243" s="212"/>
      <c r="I243" s="216"/>
      <c r="J243" s="206">
        <v>1</v>
      </c>
      <c r="K243" s="206"/>
      <c r="L243" s="183">
        <v>0.25</v>
      </c>
      <c r="M243" s="183">
        <v>0.25</v>
      </c>
      <c r="N243" s="183"/>
      <c r="O243" s="183"/>
      <c r="P243" s="183">
        <v>0</v>
      </c>
      <c r="Q243" s="183">
        <v>0</v>
      </c>
      <c r="R243" s="183">
        <v>0.2</v>
      </c>
      <c r="S243" s="183">
        <v>0.2</v>
      </c>
      <c r="T243" s="183">
        <v>0</v>
      </c>
      <c r="U243" s="183">
        <v>0</v>
      </c>
      <c r="V243" s="139">
        <v>0.5</v>
      </c>
      <c r="W243" s="163">
        <f>Таблица32[[#This Row],[Столбец7]]*Таблица32[[#This Row],[Ishga kelish nazoratchi2]]%</f>
        <v>0</v>
      </c>
      <c r="X243" s="168">
        <f>Таблица32[[#This Row],[Столбец7]]*Таблица32[[#This Row],[Ishga vaqtida kelish ketish]]%</f>
        <v>-20300</v>
      </c>
      <c r="Y243" s="134">
        <f>Таблица32[[#This Row],[Столбец7]]*Таблица32[[#This Row],[Ishga kelish bank klient]]%</f>
        <v>0</v>
      </c>
      <c r="Z243" s="168">
        <f>Таблица32[[#This Row],[Столбец7]]*Таблица32[[#This Row],[Gruppa buxgalter]]%</f>
        <v>7000</v>
      </c>
      <c r="AA243" s="168">
        <f>Таблица32[[#This Row],[Столбец7]]*Таблица32[[#This Row],[Gruppa bank klient ]]%</f>
        <v>0</v>
      </c>
      <c r="AB243" s="168">
        <f>Таблица32[[#This Row],[1c]]*Таблица32[[#This Row],[Столбец7]]/100</f>
        <v>0</v>
      </c>
      <c r="AC243" s="181">
        <f>SUM(Таблица32[[#This Row],[Didox]:[ мехнат]],Таблица32[[#This Row],[Avtokameral]])*Таблица32[[#This Row],[Столбец7]]/100</f>
        <v>3500</v>
      </c>
      <c r="AD243" s="196">
        <f>SUM(Таблица32[[#This Row],[Pul oqimlari]:[Foyda va zarar]])*Таблица32[[#This Row],[Столбец7]]/100</f>
        <v>2800</v>
      </c>
      <c r="AE243" s="197">
        <f>Таблица32[[#This Row],[Столбец7]]*Таблица32[[#This Row],[Nazoratchi]]%</f>
        <v>3500</v>
      </c>
      <c r="AF243" s="168">
        <f>Таблица32[[#This Row],[Ishga vaqtida kelish nazoratchi]]+Таблица32[[#This Row],[Nazoratchi2]]</f>
        <v>3500</v>
      </c>
      <c r="AG24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-7000</v>
      </c>
      <c r="AH243" s="168">
        <f>Таблица32[[#This Row],[Ishga kelish bank klient3]]+Таблица32[[#This Row],[Gruppa bank klient 2]]</f>
        <v>0</v>
      </c>
    </row>
    <row r="244" spans="1:34" ht="18.75" x14ac:dyDescent="0.3">
      <c r="A244" s="130">
        <v>242</v>
      </c>
      <c r="B244" s="236" t="s">
        <v>539</v>
      </c>
      <c r="C244" s="236" t="s">
        <v>549</v>
      </c>
      <c r="D244" s="236" t="s">
        <v>551</v>
      </c>
      <c r="E244" s="253">
        <v>1200000</v>
      </c>
      <c r="F244" s="104" t="s">
        <v>238</v>
      </c>
      <c r="G244" s="206">
        <v>-2.9</v>
      </c>
      <c r="H244" s="212"/>
      <c r="I244" s="216"/>
      <c r="J244" s="206">
        <v>-0.5</v>
      </c>
      <c r="K244" s="206">
        <v>1</v>
      </c>
      <c r="L244" s="183">
        <v>0.25</v>
      </c>
      <c r="M244" s="183">
        <v>0.25</v>
      </c>
      <c r="N244" s="183"/>
      <c r="O244" s="183"/>
      <c r="P244" s="183">
        <v>0.25</v>
      </c>
      <c r="Q244" s="183">
        <v>-0.2</v>
      </c>
      <c r="R244" s="183">
        <v>-0.2</v>
      </c>
      <c r="S244" s="183">
        <v>-0.2</v>
      </c>
      <c r="T244" s="183">
        <v>0.2</v>
      </c>
      <c r="U244" s="183">
        <v>-0.2</v>
      </c>
      <c r="V244" s="139">
        <v>-0.5</v>
      </c>
      <c r="W244" s="163">
        <f>Таблица32[[#This Row],[Столбец7]]*Таблица32[[#This Row],[Ishga kelish nazoratchi2]]%</f>
        <v>0</v>
      </c>
      <c r="X244" s="168">
        <f>Таблица32[[#This Row],[Столбец7]]*Таблица32[[#This Row],[Ishga vaqtida kelish ketish]]%</f>
        <v>-34800</v>
      </c>
      <c r="Y244" s="134">
        <f>Таблица32[[#This Row],[Столбец7]]*Таблица32[[#This Row],[Ishga kelish bank klient]]%</f>
        <v>0</v>
      </c>
      <c r="Z244" s="168">
        <f>Таблица32[[#This Row],[Столбец7]]*Таблица32[[#This Row],[Gruppa buxgalter]]%</f>
        <v>-6000</v>
      </c>
      <c r="AA244" s="168">
        <f>Таблица32[[#This Row],[Столбец7]]*Таблица32[[#This Row],[Gruppa bank klient ]]%</f>
        <v>12000</v>
      </c>
      <c r="AB244" s="168">
        <f>Таблица32[[#This Row],[1c]]*Таблица32[[#This Row],[Столбец7]]/100</f>
        <v>0</v>
      </c>
      <c r="AC244" s="181">
        <f>SUM(Таблица32[[#This Row],[Didox]:[ мехнат]],Таблица32[[#This Row],[Avtokameral]])*Таблица32[[#This Row],[Столбец7]]/100</f>
        <v>9000</v>
      </c>
      <c r="AD244" s="196">
        <f>SUM(Таблица32[[#This Row],[Pul oqimlari]:[Foyda va zarar]])*Таблица32[[#This Row],[Столбец7]]/100</f>
        <v>-7200.0000000000009</v>
      </c>
      <c r="AE244" s="197">
        <f>Таблица32[[#This Row],[Столбец7]]*Таблица32[[#This Row],[Nazoratchi]]%</f>
        <v>-6000</v>
      </c>
      <c r="AF244" s="168">
        <f>Таблица32[[#This Row],[Ishga vaqtida kelish nazoratchi]]+Таблица32[[#This Row],[Nazoratchi2]]</f>
        <v>-6000</v>
      </c>
      <c r="AG24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-39000</v>
      </c>
      <c r="AH244" s="168">
        <f>Таблица32[[#This Row],[Ishga kelish bank klient3]]+Таблица32[[#This Row],[Gruppa bank klient 2]]</f>
        <v>12000</v>
      </c>
    </row>
    <row r="245" spans="1:34" ht="18.75" x14ac:dyDescent="0.3">
      <c r="A245" s="130">
        <v>243</v>
      </c>
      <c r="B245" s="236" t="s">
        <v>540</v>
      </c>
      <c r="C245" s="236" t="s">
        <v>549</v>
      </c>
      <c r="D245" s="236" t="s">
        <v>551</v>
      </c>
      <c r="E245" s="253">
        <v>800000</v>
      </c>
      <c r="F245" s="104" t="s">
        <v>238</v>
      </c>
      <c r="G245" s="206">
        <v>-2.9</v>
      </c>
      <c r="H245" s="212"/>
      <c r="I245" s="216"/>
      <c r="J245" s="206">
        <v>1</v>
      </c>
      <c r="K245" s="206">
        <v>1</v>
      </c>
      <c r="L245" s="183">
        <v>-0.25</v>
      </c>
      <c r="M245" s="183">
        <v>0.25</v>
      </c>
      <c r="N245" s="183"/>
      <c r="O245" s="183"/>
      <c r="P245" s="183">
        <v>0.25</v>
      </c>
      <c r="Q245" s="183">
        <v>0</v>
      </c>
      <c r="R245" s="183">
        <v>0</v>
      </c>
      <c r="S245" s="183">
        <v>0</v>
      </c>
      <c r="T245" s="183">
        <v>0</v>
      </c>
      <c r="U245" s="183">
        <v>0</v>
      </c>
      <c r="V245" s="139">
        <v>0.5</v>
      </c>
      <c r="W245" s="163">
        <f>Таблица32[[#This Row],[Столбец7]]*Таблица32[[#This Row],[Ishga kelish nazoratchi2]]%</f>
        <v>0</v>
      </c>
      <c r="X245" s="168">
        <f>Таблица32[[#This Row],[Столбец7]]*Таблица32[[#This Row],[Ishga vaqtida kelish ketish]]%</f>
        <v>-23200</v>
      </c>
      <c r="Y245" s="134">
        <f>Таблица32[[#This Row],[Столбец7]]*Таблица32[[#This Row],[Ishga kelish bank klient]]%</f>
        <v>0</v>
      </c>
      <c r="Z245" s="168">
        <f>Таблица32[[#This Row],[Столбец7]]*Таблица32[[#This Row],[Gruppa buxgalter]]%</f>
        <v>8000</v>
      </c>
      <c r="AA245" s="168">
        <f>Таблица32[[#This Row],[Столбец7]]*Таблица32[[#This Row],[Gruppa bank klient ]]%</f>
        <v>8000</v>
      </c>
      <c r="AB245" s="168">
        <f>Таблица32[[#This Row],[1c]]*Таблица32[[#This Row],[Столбец7]]/100</f>
        <v>0</v>
      </c>
      <c r="AC245" s="181">
        <f>SUM(Таблица32[[#This Row],[Didox]:[ мехнат]],Таблица32[[#This Row],[Avtokameral]])*Таблица32[[#This Row],[Столбец7]]/100</f>
        <v>2000</v>
      </c>
      <c r="AD245" s="196">
        <f>SUM(Таблица32[[#This Row],[Pul oqimlari]:[Foyda va zarar]])*Таблица32[[#This Row],[Столбец7]]/100</f>
        <v>0</v>
      </c>
      <c r="AE245" s="197">
        <f>Таблица32[[#This Row],[Столбец7]]*Таблица32[[#This Row],[Nazoratchi]]%</f>
        <v>4000</v>
      </c>
      <c r="AF245" s="168">
        <f>Таблица32[[#This Row],[Ishga vaqtida kelish nazoratchi]]+Таблица32[[#This Row],[Nazoratchi2]]</f>
        <v>4000</v>
      </c>
      <c r="AG24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-13200</v>
      </c>
      <c r="AH245" s="168">
        <f>Таблица32[[#This Row],[Ishga kelish bank klient3]]+Таблица32[[#This Row],[Gruppa bank klient 2]]</f>
        <v>8000</v>
      </c>
    </row>
    <row r="246" spans="1:34" ht="18.75" x14ac:dyDescent="0.3">
      <c r="A246" s="130">
        <v>244</v>
      </c>
      <c r="B246" s="236" t="s">
        <v>541</v>
      </c>
      <c r="C246" s="236" t="s">
        <v>549</v>
      </c>
      <c r="D246" s="236" t="s">
        <v>551</v>
      </c>
      <c r="E246" s="253">
        <v>0</v>
      </c>
      <c r="F246" s="104" t="s">
        <v>238</v>
      </c>
      <c r="G246" s="206">
        <v>-2.9</v>
      </c>
      <c r="H246" s="212"/>
      <c r="I246" s="216"/>
      <c r="J246" s="206">
        <v>1</v>
      </c>
      <c r="K246" s="206">
        <v>1</v>
      </c>
      <c r="L246" s="183">
        <v>0</v>
      </c>
      <c r="M246" s="183">
        <v>0</v>
      </c>
      <c r="N246" s="183">
        <v>0</v>
      </c>
      <c r="O246" s="183"/>
      <c r="P246" s="183">
        <v>0</v>
      </c>
      <c r="Q246" s="183">
        <v>0</v>
      </c>
      <c r="R246" s="183">
        <v>0</v>
      </c>
      <c r="S246" s="183">
        <v>0</v>
      </c>
      <c r="T246" s="183">
        <v>0</v>
      </c>
      <c r="U246" s="183">
        <v>0</v>
      </c>
      <c r="V246" s="139">
        <v>0.5</v>
      </c>
      <c r="W246" s="163">
        <f>Таблица32[[#This Row],[Столбец7]]*Таблица32[[#This Row],[Ishga kelish nazoratchi2]]%</f>
        <v>0</v>
      </c>
      <c r="X246" s="168">
        <f>Таблица32[[#This Row],[Столбец7]]*Таблица32[[#This Row],[Ishga vaqtida kelish ketish]]%</f>
        <v>0</v>
      </c>
      <c r="Y246" s="134">
        <f>Таблица32[[#This Row],[Столбец7]]*Таблица32[[#This Row],[Ishga kelish bank klient]]%</f>
        <v>0</v>
      </c>
      <c r="Z246" s="168">
        <f>Таблица32[[#This Row],[Столбец7]]*Таблица32[[#This Row],[Gruppa buxgalter]]%</f>
        <v>0</v>
      </c>
      <c r="AA246" s="168">
        <f>Таблица32[[#This Row],[Столбец7]]*Таблица32[[#This Row],[Gruppa bank klient ]]%</f>
        <v>0</v>
      </c>
      <c r="AB246" s="168">
        <f>Таблица32[[#This Row],[1c]]*Таблица32[[#This Row],[Столбец7]]/100</f>
        <v>0</v>
      </c>
      <c r="AC246" s="181">
        <f>SUM(Таблица32[[#This Row],[Didox]:[ мехнат]],Таблица32[[#This Row],[Avtokameral]])*Таблица32[[#This Row],[Столбец7]]/100</f>
        <v>0</v>
      </c>
      <c r="AD246" s="196">
        <f>SUM(Таблица32[[#This Row],[Pul oqimlari]:[Foyda va zarar]])*Таблица32[[#This Row],[Столбец7]]/100</f>
        <v>0</v>
      </c>
      <c r="AE246" s="197">
        <f>Таблица32[[#This Row],[Столбец7]]*Таблица32[[#This Row],[Nazoratchi]]%</f>
        <v>0</v>
      </c>
      <c r="AF246" s="168">
        <f>Таблица32[[#This Row],[Ishga vaqtida kelish nazoratchi]]+Таблица32[[#This Row],[Nazoratchi2]]</f>
        <v>0</v>
      </c>
      <c r="AG24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46" s="168">
        <f>Таблица32[[#This Row],[Ishga kelish bank klient3]]+Таблица32[[#This Row],[Gruppa bank klient 2]]</f>
        <v>0</v>
      </c>
    </row>
    <row r="247" spans="1:34" ht="18.75" x14ac:dyDescent="0.3">
      <c r="A247" s="130">
        <v>245</v>
      </c>
      <c r="B247" s="236" t="s">
        <v>542</v>
      </c>
      <c r="C247" s="236" t="s">
        <v>335</v>
      </c>
      <c r="D247" s="236"/>
      <c r="E247" s="253">
        <v>500000</v>
      </c>
      <c r="F247" s="104" t="s">
        <v>218</v>
      </c>
      <c r="G247" s="206">
        <v>-0.35</v>
      </c>
      <c r="H247" s="212"/>
      <c r="I247" s="216"/>
      <c r="J247" s="206">
        <v>1</v>
      </c>
      <c r="K247" s="206"/>
      <c r="L247" s="183">
        <v>0.25</v>
      </c>
      <c r="M247" s="183">
        <v>0.25</v>
      </c>
      <c r="N247" s="183"/>
      <c r="O247" s="183"/>
      <c r="P247" s="183">
        <v>0.25</v>
      </c>
      <c r="Q247" s="183">
        <v>0</v>
      </c>
      <c r="R247" s="183">
        <v>0.2</v>
      </c>
      <c r="S247" s="183">
        <v>0.2</v>
      </c>
      <c r="T247" s="183">
        <v>0</v>
      </c>
      <c r="U247" s="183">
        <v>0</v>
      </c>
      <c r="V247" s="105">
        <v>0.5</v>
      </c>
      <c r="W247" s="163">
        <f>Таблица32[[#This Row],[Столбец7]]*Таблица32[[#This Row],[Ishga kelish nazoratchi2]]%</f>
        <v>0</v>
      </c>
      <c r="X247" s="168">
        <f>Таблица32[[#This Row],[Столбец7]]*Таблица32[[#This Row],[Ishga vaqtida kelish ketish]]%</f>
        <v>-1749.9999999999998</v>
      </c>
      <c r="Y247" s="134">
        <f>Таблица32[[#This Row],[Столбец7]]*Таблица32[[#This Row],[Ishga kelish bank klient]]%</f>
        <v>0</v>
      </c>
      <c r="Z247" s="168">
        <f>Таблица32[[#This Row],[Столбец7]]*Таблица32[[#This Row],[Gruppa buxgalter]]%</f>
        <v>5000</v>
      </c>
      <c r="AA247" s="168">
        <f>Таблица32[[#This Row],[Столбец7]]*Таблица32[[#This Row],[Gruppa bank klient ]]%</f>
        <v>0</v>
      </c>
      <c r="AB247" s="168">
        <f>Таблица32[[#This Row],[1c]]*Таблица32[[#This Row],[Столбец7]]/100</f>
        <v>0</v>
      </c>
      <c r="AC247" s="181">
        <f>SUM(Таблица32[[#This Row],[Didox]:[ мехнат]],Таблица32[[#This Row],[Avtokameral]])*Таблица32[[#This Row],[Столбец7]]/100</f>
        <v>3750</v>
      </c>
      <c r="AD247" s="196">
        <f>SUM(Таблица32[[#This Row],[Pul oqimlari]:[Foyda va zarar]])*Таблица32[[#This Row],[Столбец7]]/100</f>
        <v>2000</v>
      </c>
      <c r="AE247" s="197">
        <f>Таблица32[[#This Row],[Столбец7]]*Таблица32[[#This Row],[Nazoratchi]]%</f>
        <v>2500</v>
      </c>
      <c r="AF247" s="168">
        <f>Таблица32[[#This Row],[Ishga vaqtida kelish nazoratchi]]+Таблица32[[#This Row],[Nazoratchi2]]</f>
        <v>2500</v>
      </c>
      <c r="AG24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9000</v>
      </c>
      <c r="AH247" s="168">
        <f>Таблица32[[#This Row],[Ishga kelish bank klient3]]+Таблица32[[#This Row],[Gruppa bank klient 2]]</f>
        <v>0</v>
      </c>
    </row>
    <row r="248" spans="1:34" ht="18.75" x14ac:dyDescent="0.3">
      <c r="A248" s="130">
        <v>246</v>
      </c>
      <c r="B248" s="236" t="s">
        <v>543</v>
      </c>
      <c r="C248" s="236" t="s">
        <v>335</v>
      </c>
      <c r="D248" s="236"/>
      <c r="E248" s="253">
        <v>1000000</v>
      </c>
      <c r="F248" s="104" t="s">
        <v>218</v>
      </c>
      <c r="G248" s="206">
        <v>-0.35</v>
      </c>
      <c r="H248" s="212"/>
      <c r="I248" s="216"/>
      <c r="J248" s="206">
        <v>1</v>
      </c>
      <c r="K248" s="206"/>
      <c r="L248" s="183">
        <v>0.25</v>
      </c>
      <c r="M248" s="183">
        <v>-0.25</v>
      </c>
      <c r="N248" s="183"/>
      <c r="O248" s="183"/>
      <c r="P248" s="183">
        <v>0.25</v>
      </c>
      <c r="Q248" s="183">
        <v>0</v>
      </c>
      <c r="R248" s="183">
        <v>0.2</v>
      </c>
      <c r="S248" s="183">
        <v>0.2</v>
      </c>
      <c r="T248" s="183">
        <v>0</v>
      </c>
      <c r="U248" s="183">
        <v>0</v>
      </c>
      <c r="V248" s="105">
        <v>0.5</v>
      </c>
      <c r="W248" s="163">
        <f>Таблица32[[#This Row],[Столбец7]]*Таблица32[[#This Row],[Ishga kelish nazoratchi2]]%</f>
        <v>0</v>
      </c>
      <c r="X248" s="168">
        <f>Таблица32[[#This Row],[Столбец7]]*Таблица32[[#This Row],[Ishga vaqtida kelish ketish]]%</f>
        <v>-3499.9999999999995</v>
      </c>
      <c r="Y248" s="134">
        <f>Таблица32[[#This Row],[Столбец7]]*Таблица32[[#This Row],[Ishga kelish bank klient]]%</f>
        <v>0</v>
      </c>
      <c r="Z248" s="168">
        <f>Таблица32[[#This Row],[Столбец7]]*Таблица32[[#This Row],[Gruppa buxgalter]]%</f>
        <v>10000</v>
      </c>
      <c r="AA248" s="168">
        <f>Таблица32[[#This Row],[Столбец7]]*Таблица32[[#This Row],[Gruppa bank klient ]]%</f>
        <v>0</v>
      </c>
      <c r="AB248" s="168">
        <f>Таблица32[[#This Row],[1c]]*Таблица32[[#This Row],[Столбец7]]/100</f>
        <v>0</v>
      </c>
      <c r="AC248" s="181">
        <f>SUM(Таблица32[[#This Row],[Didox]:[ мехнат]],Таблица32[[#This Row],[Avtokameral]])*Таблица32[[#This Row],[Столбец7]]/100</f>
        <v>2500</v>
      </c>
      <c r="AD248" s="196">
        <f>SUM(Таблица32[[#This Row],[Pul oqimlari]:[Foyda va zarar]])*Таблица32[[#This Row],[Столбец7]]/100</f>
        <v>4000</v>
      </c>
      <c r="AE248" s="197">
        <f>Таблица32[[#This Row],[Столбец7]]*Таблица32[[#This Row],[Nazoratchi]]%</f>
        <v>5000</v>
      </c>
      <c r="AF248" s="168">
        <f>Таблица32[[#This Row],[Ishga vaqtida kelish nazoratchi]]+Таблица32[[#This Row],[Nazoratchi2]]</f>
        <v>5000</v>
      </c>
      <c r="AG24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13000</v>
      </c>
      <c r="AH248" s="168">
        <f>Таблица32[[#This Row],[Ishga kelish bank klient3]]+Таблица32[[#This Row],[Gruppa bank klient 2]]</f>
        <v>0</v>
      </c>
    </row>
    <row r="249" spans="1:34" ht="18.75" x14ac:dyDescent="0.3">
      <c r="A249" s="130">
        <v>247</v>
      </c>
      <c r="B249" s="236" t="s">
        <v>544</v>
      </c>
      <c r="C249" s="236" t="s">
        <v>335</v>
      </c>
      <c r="D249" s="236"/>
      <c r="E249" s="253">
        <v>500000</v>
      </c>
      <c r="F249" s="104" t="s">
        <v>218</v>
      </c>
      <c r="G249" s="206">
        <v>-0.35</v>
      </c>
      <c r="H249" s="212"/>
      <c r="I249" s="216"/>
      <c r="J249" s="206">
        <v>1</v>
      </c>
      <c r="K249" s="206"/>
      <c r="L249" s="183">
        <v>0.25</v>
      </c>
      <c r="M249" s="183">
        <v>0.25</v>
      </c>
      <c r="N249" s="183"/>
      <c r="O249" s="183"/>
      <c r="P249" s="183">
        <v>0</v>
      </c>
      <c r="Q249" s="183">
        <v>0</v>
      </c>
      <c r="R249" s="183">
        <v>0.2</v>
      </c>
      <c r="S249" s="183">
        <v>0.2</v>
      </c>
      <c r="T249" s="183">
        <v>0</v>
      </c>
      <c r="U249" s="183">
        <v>0</v>
      </c>
      <c r="V249" s="105">
        <v>0.5</v>
      </c>
      <c r="W249" s="163">
        <f>Таблица32[[#This Row],[Столбец7]]*Таблица32[[#This Row],[Ishga kelish nazoratchi2]]%</f>
        <v>0</v>
      </c>
      <c r="X249" s="168">
        <f>Таблица32[[#This Row],[Столбец7]]*Таблица32[[#This Row],[Ishga vaqtida kelish ketish]]%</f>
        <v>-1749.9999999999998</v>
      </c>
      <c r="Y249" s="134">
        <f>Таблица32[[#This Row],[Столбец7]]*Таблица32[[#This Row],[Ishga kelish bank klient]]%</f>
        <v>0</v>
      </c>
      <c r="Z249" s="168">
        <f>Таблица32[[#This Row],[Столбец7]]*Таблица32[[#This Row],[Gruppa buxgalter]]%</f>
        <v>5000</v>
      </c>
      <c r="AA249" s="168">
        <f>Таблица32[[#This Row],[Столбец7]]*Таблица32[[#This Row],[Gruppa bank klient ]]%</f>
        <v>0</v>
      </c>
      <c r="AB249" s="168">
        <f>Таблица32[[#This Row],[1c]]*Таблица32[[#This Row],[Столбец7]]/100</f>
        <v>0</v>
      </c>
      <c r="AC249" s="181">
        <f>SUM(Таблица32[[#This Row],[Didox]:[ мехнат]],Таблица32[[#This Row],[Avtokameral]])*Таблица32[[#This Row],[Столбец7]]/100</f>
        <v>2500</v>
      </c>
      <c r="AD249" s="196">
        <f>SUM(Таблица32[[#This Row],[Pul oqimlari]:[Foyda va zarar]])*Таблица32[[#This Row],[Столбец7]]/100</f>
        <v>2000</v>
      </c>
      <c r="AE249" s="197">
        <f>Таблица32[[#This Row],[Столбец7]]*Таблица32[[#This Row],[Nazoratchi]]%</f>
        <v>2500</v>
      </c>
      <c r="AF249" s="168">
        <f>Таблица32[[#This Row],[Ishga vaqtida kelish nazoratchi]]+Таблица32[[#This Row],[Nazoratchi2]]</f>
        <v>2500</v>
      </c>
      <c r="AG24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7750</v>
      </c>
      <c r="AH249" s="168">
        <f>Таблица32[[#This Row],[Ishga kelish bank klient3]]+Таблица32[[#This Row],[Gruppa bank klient 2]]</f>
        <v>0</v>
      </c>
    </row>
    <row r="250" spans="1:34" ht="18.75" x14ac:dyDescent="0.3">
      <c r="A250" s="130">
        <v>248</v>
      </c>
      <c r="B250" s="236" t="s">
        <v>545</v>
      </c>
      <c r="C250" s="236" t="s">
        <v>550</v>
      </c>
      <c r="D250" s="236"/>
      <c r="E250" s="253">
        <v>500000</v>
      </c>
      <c r="F250" s="104" t="s">
        <v>238</v>
      </c>
      <c r="G250" s="206">
        <v>-1.05</v>
      </c>
      <c r="H250" s="212"/>
      <c r="I250" s="216"/>
      <c r="J250" s="206">
        <v>1</v>
      </c>
      <c r="K250" s="206"/>
      <c r="L250" s="183">
        <v>0.25</v>
      </c>
      <c r="M250" s="183">
        <v>0.25</v>
      </c>
      <c r="N250" s="183"/>
      <c r="O250" s="183">
        <v>-1</v>
      </c>
      <c r="P250" s="183">
        <v>0.25</v>
      </c>
      <c r="Q250" s="183">
        <v>0</v>
      </c>
      <c r="R250" s="183">
        <v>-0.2</v>
      </c>
      <c r="S250" s="183">
        <v>-0.2</v>
      </c>
      <c r="T250" s="183">
        <v>0</v>
      </c>
      <c r="U250" s="183">
        <v>0</v>
      </c>
      <c r="V250" s="105">
        <v>0.5</v>
      </c>
      <c r="W250" s="163">
        <f>Таблица32[[#This Row],[Столбец7]]*Таблица32[[#This Row],[Ishga kelish nazoratchi2]]%</f>
        <v>0</v>
      </c>
      <c r="X250" s="168">
        <f>Таблица32[[#This Row],[Столбец7]]*Таблица32[[#This Row],[Ishga vaqtida kelish ketish]]%</f>
        <v>-5250</v>
      </c>
      <c r="Y250" s="134">
        <f>Таблица32[[#This Row],[Столбец7]]*Таблица32[[#This Row],[Ishga kelish bank klient]]%</f>
        <v>0</v>
      </c>
      <c r="Z250" s="168">
        <f>Таблица32[[#This Row],[Столбец7]]*Таблица32[[#This Row],[Gruppa buxgalter]]%</f>
        <v>5000</v>
      </c>
      <c r="AA250" s="168">
        <f>Таблица32[[#This Row],[Столбец7]]*Таблица32[[#This Row],[Gruppa bank klient ]]%</f>
        <v>0</v>
      </c>
      <c r="AB250" s="168">
        <f>Таблица32[[#This Row],[1c]]*Таблица32[[#This Row],[Столбец7]]/100</f>
        <v>-5000</v>
      </c>
      <c r="AC250" s="181">
        <f>SUM(Таблица32[[#This Row],[Didox]:[ мехнат]],Таблица32[[#This Row],[Avtokameral]])*Таблица32[[#This Row],[Столбец7]]/100</f>
        <v>3750</v>
      </c>
      <c r="AD250" s="196">
        <f>SUM(Таблица32[[#This Row],[Pul oqimlari]:[Foyda va zarar]])*Таблица32[[#This Row],[Столбец7]]/100</f>
        <v>-2000</v>
      </c>
      <c r="AE250" s="197">
        <f>Таблица32[[#This Row],[Столбец7]]*Таблица32[[#This Row],[Nazoratchi]]%</f>
        <v>2500</v>
      </c>
      <c r="AF250" s="168">
        <f>Таблица32[[#This Row],[Ishga vaqtida kelish nazoratchi]]+Таблица32[[#This Row],[Nazoratchi2]]</f>
        <v>2500</v>
      </c>
      <c r="AG25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-3500</v>
      </c>
      <c r="AH250" s="168">
        <f>Таблица32[[#This Row],[Ishga kelish bank klient3]]+Таблица32[[#This Row],[Gruppa bank klient 2]]</f>
        <v>0</v>
      </c>
    </row>
    <row r="251" spans="1:34" ht="18.75" x14ac:dyDescent="0.3">
      <c r="A251" s="130">
        <v>249</v>
      </c>
      <c r="B251" s="236" t="s">
        <v>546</v>
      </c>
      <c r="C251" s="236" t="s">
        <v>550</v>
      </c>
      <c r="D251" s="236"/>
      <c r="E251" s="253">
        <v>500000</v>
      </c>
      <c r="F251" s="104" t="s">
        <v>238</v>
      </c>
      <c r="G251" s="206">
        <v>-1.05</v>
      </c>
      <c r="H251" s="212"/>
      <c r="I251" s="216"/>
      <c r="J251" s="206">
        <v>1</v>
      </c>
      <c r="K251" s="206"/>
      <c r="L251" s="183">
        <v>0</v>
      </c>
      <c r="M251" s="183">
        <v>0</v>
      </c>
      <c r="N251" s="183">
        <v>0</v>
      </c>
      <c r="O251" s="183">
        <v>-1</v>
      </c>
      <c r="P251" s="183">
        <v>0</v>
      </c>
      <c r="Q251" s="183">
        <v>0</v>
      </c>
      <c r="R251" s="183">
        <v>0</v>
      </c>
      <c r="S251" s="183">
        <v>0</v>
      </c>
      <c r="T251" s="183">
        <v>0</v>
      </c>
      <c r="U251" s="183">
        <v>0</v>
      </c>
      <c r="V251" s="105">
        <v>0.5</v>
      </c>
      <c r="W251" s="163">
        <f>Таблица32[[#This Row],[Столбец7]]*Таблица32[[#This Row],[Ishga kelish nazoratchi2]]%</f>
        <v>0</v>
      </c>
      <c r="X251" s="168">
        <f>Таблица32[[#This Row],[Столбец7]]*Таблица32[[#This Row],[Ishga vaqtida kelish ketish]]%</f>
        <v>-5250</v>
      </c>
      <c r="Y251" s="134">
        <f>Таблица32[[#This Row],[Столбец7]]*Таблица32[[#This Row],[Ishga kelish bank klient]]%</f>
        <v>0</v>
      </c>
      <c r="Z251" s="168">
        <f>Таблица32[[#This Row],[Столбец7]]*Таблица32[[#This Row],[Gruppa buxgalter]]%</f>
        <v>5000</v>
      </c>
      <c r="AA251" s="168">
        <f>Таблица32[[#This Row],[Столбец7]]*Таблица32[[#This Row],[Gruppa bank klient ]]%</f>
        <v>0</v>
      </c>
      <c r="AB251" s="168">
        <f>Таблица32[[#This Row],[1c]]*Таблица32[[#This Row],[Столбец7]]/100</f>
        <v>-5000</v>
      </c>
      <c r="AC251" s="181">
        <f>SUM(Таблица32[[#This Row],[Didox]:[ мехнат]],Таблица32[[#This Row],[Avtokameral]])*Таблица32[[#This Row],[Столбец7]]/100</f>
        <v>0</v>
      </c>
      <c r="AD251" s="196">
        <f>SUM(Таблица32[[#This Row],[Pul oqimlari]:[Foyda va zarar]])*Таблица32[[#This Row],[Столбец7]]/100</f>
        <v>0</v>
      </c>
      <c r="AE251" s="197">
        <f>Таблица32[[#This Row],[Столбец7]]*Таблица32[[#This Row],[Nazoratchi]]%</f>
        <v>2500</v>
      </c>
      <c r="AF251" s="168">
        <f>Таблица32[[#This Row],[Ishga vaqtida kelish nazoratchi]]+Таблица32[[#This Row],[Nazoratchi2]]</f>
        <v>2500</v>
      </c>
      <c r="AG25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-5250</v>
      </c>
      <c r="AH251" s="168">
        <f>Таблица32[[#This Row],[Ishga kelish bank klient3]]+Таблица32[[#This Row],[Gruppa bank klient 2]]</f>
        <v>0</v>
      </c>
    </row>
    <row r="252" spans="1:34" ht="18.75" x14ac:dyDescent="0.3">
      <c r="A252" s="130">
        <v>250</v>
      </c>
      <c r="B252" s="236" t="s">
        <v>564</v>
      </c>
      <c r="C252" s="236" t="s">
        <v>560</v>
      </c>
      <c r="D252" s="236" t="s">
        <v>428</v>
      </c>
      <c r="E252" s="253">
        <v>2000000</v>
      </c>
      <c r="F252" s="104" t="s">
        <v>238</v>
      </c>
      <c r="G252" s="206">
        <v>-6</v>
      </c>
      <c r="H252" s="206">
        <v>1</v>
      </c>
      <c r="I252" s="216"/>
      <c r="J252" s="206">
        <v>1</v>
      </c>
      <c r="K252" s="206">
        <v>1</v>
      </c>
      <c r="L252" s="183">
        <v>0.25</v>
      </c>
      <c r="M252" s="183">
        <v>0.25</v>
      </c>
      <c r="N252" s="183"/>
      <c r="O252" s="183"/>
      <c r="P252" s="183">
        <v>0.25</v>
      </c>
      <c r="Q252" s="183">
        <v>-0.2</v>
      </c>
      <c r="R252" s="183">
        <v>0.2</v>
      </c>
      <c r="S252" s="183">
        <v>0.2</v>
      </c>
      <c r="T252" s="183">
        <v>-0.2</v>
      </c>
      <c r="U252" s="183">
        <v>-0.2</v>
      </c>
      <c r="V252" s="105">
        <v>0.5</v>
      </c>
      <c r="W252" s="163">
        <f>Таблица32[[#This Row],[Столбец7]]*Таблица32[[#This Row],[Ishga kelish nazoratchi2]]%</f>
        <v>0</v>
      </c>
      <c r="X252" s="168">
        <f>Таблица32[[#This Row],[Столбец7]]*Таблица32[[#This Row],[Ishga vaqtida kelish ketish]]%</f>
        <v>-120000</v>
      </c>
      <c r="Y252" s="134">
        <f>Таблица32[[#This Row],[Столбец7]]*Таблица32[[#This Row],[Ishga kelish bank klient]]%</f>
        <v>20000</v>
      </c>
      <c r="Z252" s="168">
        <f>Таблица32[[#This Row],[Столбец7]]*Таблица32[[#This Row],[Gruppa buxgalter]]%</f>
        <v>20000</v>
      </c>
      <c r="AA252" s="168">
        <f>Таблица32[[#This Row],[Столбец7]]*Таблица32[[#This Row],[Gruppa bank klient ]]%</f>
        <v>20000</v>
      </c>
      <c r="AB252" s="168">
        <f>Таблица32[[#This Row],[1c]]*Таблица32[[#This Row],[Столбец7]]/100</f>
        <v>0</v>
      </c>
      <c r="AC252" s="181">
        <f>SUM(Таблица32[[#This Row],[Didox]:[ мехнат]],Таблица32[[#This Row],[Avtokameral]])*Таблица32[[#This Row],[Столбец7]]/100</f>
        <v>15000</v>
      </c>
      <c r="AD252" s="196">
        <f>SUM(Таблица32[[#This Row],[Pul oqimlari]:[Foyda va zarar]])*Таблица32[[#This Row],[Столбец7]]/100</f>
        <v>-4000</v>
      </c>
      <c r="AE252" s="197">
        <f>Таблица32[[#This Row],[Столбец7]]*Таблица32[[#This Row],[Nazoratchi]]%</f>
        <v>10000</v>
      </c>
      <c r="AF252" s="168">
        <f>Таблица32[[#This Row],[Ishga vaqtida kelish nazoratchi]]+Таблица32[[#This Row],[Nazoratchi2]]</f>
        <v>10000</v>
      </c>
      <c r="AG25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-89000</v>
      </c>
      <c r="AH252" s="168">
        <f>Таблица32[[#This Row],[Ishga kelish bank klient3]]+Таблица32[[#This Row],[Gruppa bank klient 2]]</f>
        <v>40000</v>
      </c>
    </row>
    <row r="253" spans="1:34" ht="18.75" x14ac:dyDescent="0.3">
      <c r="A253" s="130">
        <v>251</v>
      </c>
      <c r="B253" s="236" t="s">
        <v>547</v>
      </c>
      <c r="C253" s="236" t="s">
        <v>550</v>
      </c>
      <c r="D253" s="236"/>
      <c r="E253" s="253">
        <v>300000</v>
      </c>
      <c r="F253" s="104" t="s">
        <v>238</v>
      </c>
      <c r="G253" s="206">
        <v>-1.05</v>
      </c>
      <c r="H253" s="212"/>
      <c r="I253" s="216"/>
      <c r="J253" s="206">
        <v>1</v>
      </c>
      <c r="K253" s="206"/>
      <c r="L253" s="183">
        <v>0</v>
      </c>
      <c r="M253" s="183">
        <v>0</v>
      </c>
      <c r="N253" s="183">
        <v>0</v>
      </c>
      <c r="O253" s="183">
        <v>-1</v>
      </c>
      <c r="P253" s="183">
        <v>0</v>
      </c>
      <c r="Q253" s="183">
        <v>0</v>
      </c>
      <c r="R253" s="183">
        <v>0</v>
      </c>
      <c r="S253" s="183">
        <v>0</v>
      </c>
      <c r="T253" s="183">
        <v>0</v>
      </c>
      <c r="U253" s="183">
        <v>0</v>
      </c>
      <c r="V253" s="105">
        <v>0.5</v>
      </c>
      <c r="W253" s="163">
        <f>Таблица32[[#This Row],[Столбец7]]*Таблица32[[#This Row],[Ishga kelish nazoratchi2]]%</f>
        <v>0</v>
      </c>
      <c r="X253" s="168">
        <f>Таблица32[[#This Row],[Столбец7]]*Таблица32[[#This Row],[Ishga vaqtida kelish ketish]]%</f>
        <v>-3150</v>
      </c>
      <c r="Y253" s="134">
        <f>Таблица32[[#This Row],[Столбец7]]*Таблица32[[#This Row],[Ishga kelish bank klient]]%</f>
        <v>0</v>
      </c>
      <c r="Z253" s="168">
        <f>Таблица32[[#This Row],[Столбец7]]*Таблица32[[#This Row],[Gruppa buxgalter]]%</f>
        <v>3000</v>
      </c>
      <c r="AA253" s="168">
        <f>Таблица32[[#This Row],[Столбец7]]*Таблица32[[#This Row],[Gruppa bank klient ]]%</f>
        <v>0</v>
      </c>
      <c r="AB253" s="168">
        <f>Таблица32[[#This Row],[1c]]*Таблица32[[#This Row],[Столбец7]]/100</f>
        <v>-3000</v>
      </c>
      <c r="AC253" s="181">
        <f>SUM(Таблица32[[#This Row],[Didox]:[ мехнат]],Таблица32[[#This Row],[Avtokameral]])*Таблица32[[#This Row],[Столбец7]]/100</f>
        <v>0</v>
      </c>
      <c r="AD253" s="196">
        <f>SUM(Таблица32[[#This Row],[Pul oqimlari]:[Foyda va zarar]])*Таблица32[[#This Row],[Столбец7]]/100</f>
        <v>0</v>
      </c>
      <c r="AE253" s="197">
        <f>Таблица32[[#This Row],[Столбец7]]*Таблица32[[#This Row],[Nazoratchi]]%</f>
        <v>1500</v>
      </c>
      <c r="AF253" s="168">
        <f>Таблица32[[#This Row],[Ishga vaqtida kelish nazoratchi]]+Таблица32[[#This Row],[Nazoratchi2]]</f>
        <v>1500</v>
      </c>
      <c r="AG25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-3150</v>
      </c>
      <c r="AH253" s="168">
        <f>Таблица32[[#This Row],[Ishga kelish bank klient3]]+Таблица32[[#This Row],[Gruppa bank klient 2]]</f>
        <v>0</v>
      </c>
    </row>
    <row r="254" spans="1:34" ht="18.75" x14ac:dyDescent="0.3">
      <c r="A254" s="130">
        <v>253</v>
      </c>
      <c r="B254" s="236" t="s">
        <v>548</v>
      </c>
      <c r="C254" s="236" t="s">
        <v>550</v>
      </c>
      <c r="D254" s="236"/>
      <c r="E254" s="253">
        <v>1000000</v>
      </c>
      <c r="F254" s="104" t="s">
        <v>238</v>
      </c>
      <c r="G254" s="206">
        <v>-1.05</v>
      </c>
      <c r="H254" s="212"/>
      <c r="I254" s="216"/>
      <c r="J254" s="206">
        <v>1</v>
      </c>
      <c r="K254" s="206"/>
      <c r="L254" s="183">
        <v>0.25</v>
      </c>
      <c r="M254" s="183">
        <v>0.25</v>
      </c>
      <c r="N254" s="183"/>
      <c r="O254" s="183">
        <v>-1</v>
      </c>
      <c r="P254" s="183">
        <v>0</v>
      </c>
      <c r="Q254" s="183">
        <v>0</v>
      </c>
      <c r="R254" s="183">
        <v>0</v>
      </c>
      <c r="S254" s="183">
        <v>0</v>
      </c>
      <c r="T254" s="183">
        <v>0</v>
      </c>
      <c r="U254" s="183">
        <v>0</v>
      </c>
      <c r="V254" s="105">
        <v>0.5</v>
      </c>
      <c r="W254" s="163">
        <f>Таблица32[[#This Row],[Столбец7]]*Таблица32[[#This Row],[Ishga kelish nazoratchi2]]%</f>
        <v>0</v>
      </c>
      <c r="X254" s="168">
        <f>Таблица32[[#This Row],[Столбец7]]*Таблица32[[#This Row],[Ishga vaqtida kelish ketish]]%</f>
        <v>-10500</v>
      </c>
      <c r="Y254" s="134">
        <f>Таблица32[[#This Row],[Столбец7]]*Таблица32[[#This Row],[Ishga kelish bank klient]]%</f>
        <v>0</v>
      </c>
      <c r="Z254" s="168">
        <f>Таблица32[[#This Row],[Столбец7]]*Таблица32[[#This Row],[Gruppa buxgalter]]%</f>
        <v>10000</v>
      </c>
      <c r="AA254" s="168">
        <f>Таблица32[[#This Row],[Столбец7]]*Таблица32[[#This Row],[Gruppa bank klient ]]%</f>
        <v>0</v>
      </c>
      <c r="AB254" s="168">
        <f>Таблица32[[#This Row],[1c]]*Таблица32[[#This Row],[Столбец7]]/100</f>
        <v>-10000</v>
      </c>
      <c r="AC254" s="181">
        <f>SUM(Таблица32[[#This Row],[Didox]:[ мехнат]],Таблица32[[#This Row],[Avtokameral]])*Таблица32[[#This Row],[Столбец7]]/100</f>
        <v>5000</v>
      </c>
      <c r="AD254" s="196">
        <f>SUM(Таблица32[[#This Row],[Pul oqimlari]:[Foyda va zarar]])*Таблица32[[#This Row],[Столбец7]]/100</f>
        <v>0</v>
      </c>
      <c r="AE254" s="197">
        <f>Таблица32[[#This Row],[Столбец7]]*Таблица32[[#This Row],[Nazoratchi]]%</f>
        <v>5000</v>
      </c>
      <c r="AF254" s="168">
        <f>Таблица32[[#This Row],[Ishga vaqtida kelish nazoratchi]]+Таблица32[[#This Row],[Nazoratchi2]]</f>
        <v>5000</v>
      </c>
      <c r="AG25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-5500</v>
      </c>
      <c r="AH254" s="168">
        <f>Таблица32[[#This Row],[Ishga kelish bank klient3]]+Таблица32[[#This Row],[Gruppa bank klient 2]]</f>
        <v>0</v>
      </c>
    </row>
    <row r="255" spans="1:34" ht="18.75" x14ac:dyDescent="0.3">
      <c r="A255" s="130">
        <v>254</v>
      </c>
      <c r="B255" s="133" t="s">
        <v>552</v>
      </c>
      <c r="C255" s="236" t="s">
        <v>550</v>
      </c>
      <c r="D255" s="236"/>
      <c r="E255" s="127">
        <v>500000</v>
      </c>
      <c r="F255" s="104" t="s">
        <v>238</v>
      </c>
      <c r="G255" s="206">
        <v>-1.05</v>
      </c>
      <c r="H255" s="212"/>
      <c r="I255" s="216"/>
      <c r="J255" s="206">
        <v>1</v>
      </c>
      <c r="K255" s="206"/>
      <c r="L255" s="183">
        <v>0.25</v>
      </c>
      <c r="M255" s="183">
        <v>0.25</v>
      </c>
      <c r="N255" s="183"/>
      <c r="O255" s="183">
        <v>-1</v>
      </c>
      <c r="P255" s="183">
        <v>0.25</v>
      </c>
      <c r="Q255" s="183">
        <v>0</v>
      </c>
      <c r="R255" s="183">
        <v>0</v>
      </c>
      <c r="S255" s="183">
        <v>0</v>
      </c>
      <c r="T255" s="183">
        <v>0</v>
      </c>
      <c r="U255" s="183">
        <v>0</v>
      </c>
      <c r="V255" s="105">
        <v>0.5</v>
      </c>
      <c r="W255" s="163">
        <f>Таблица32[[#This Row],[Столбец7]]*Таблица32[[#This Row],[Ishga kelish nazoratchi2]]%</f>
        <v>0</v>
      </c>
      <c r="X255" s="168">
        <f>Таблица32[[#This Row],[Столбец7]]*Таблица32[[#This Row],[Ishga vaqtida kelish ketish]]%</f>
        <v>-5250</v>
      </c>
      <c r="Y255" s="134">
        <f>Таблица32[[#This Row],[Столбец7]]*Таблица32[[#This Row],[Ishga kelish bank klient]]%</f>
        <v>0</v>
      </c>
      <c r="Z255" s="168">
        <f>Таблица32[[#This Row],[Столбец7]]*Таблица32[[#This Row],[Gruppa buxgalter]]%</f>
        <v>5000</v>
      </c>
      <c r="AA255" s="168">
        <f>Таблица32[[#This Row],[Столбец7]]*Таблица32[[#This Row],[Gruppa bank klient ]]%</f>
        <v>0</v>
      </c>
      <c r="AB255" s="168">
        <f>Таблица32[[#This Row],[1c]]*Таблица32[[#This Row],[Столбец7]]/100</f>
        <v>-5000</v>
      </c>
      <c r="AC255" s="181">
        <f>SUM(Таблица32[[#This Row],[Didox]:[ мехнат]],Таблица32[[#This Row],[Avtokameral]])*Таблица32[[#This Row],[Столбец7]]/100</f>
        <v>3750</v>
      </c>
      <c r="AD255" s="196">
        <f>SUM(Таблица32[[#This Row],[Pul oqimlari]:[Foyda va zarar]])*Таблица32[[#This Row],[Столбец7]]/100</f>
        <v>0</v>
      </c>
      <c r="AE255" s="197">
        <f>Таблица32[[#This Row],[Столбец7]]*Таблица32[[#This Row],[Nazoratchi]]%</f>
        <v>2500</v>
      </c>
      <c r="AF255" s="168">
        <f>Таблица32[[#This Row],[Ishga vaqtida kelish nazoratchi]]+Таблица32[[#This Row],[Nazoratchi2]]</f>
        <v>2500</v>
      </c>
      <c r="AG25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-1500</v>
      </c>
      <c r="AH255" s="168">
        <f>Таблица32[[#This Row],[Ishga kelish bank klient3]]+Таблица32[[#This Row],[Gruppa bank klient 2]]</f>
        <v>0</v>
      </c>
    </row>
    <row r="256" spans="1:34" ht="18.75" x14ac:dyDescent="0.3">
      <c r="A256" s="130">
        <v>255</v>
      </c>
      <c r="B256" s="133" t="s">
        <v>553</v>
      </c>
      <c r="C256" s="236" t="s">
        <v>550</v>
      </c>
      <c r="D256" s="236"/>
      <c r="E256" s="127">
        <v>500000</v>
      </c>
      <c r="F256" s="104" t="s">
        <v>238</v>
      </c>
      <c r="G256" s="206">
        <v>-1.05</v>
      </c>
      <c r="H256" s="212"/>
      <c r="I256" s="216"/>
      <c r="J256" s="206">
        <v>1</v>
      </c>
      <c r="K256" s="206"/>
      <c r="L256" s="183">
        <v>0.25</v>
      </c>
      <c r="M256" s="183">
        <v>-0.25</v>
      </c>
      <c r="N256" s="183"/>
      <c r="O256" s="183">
        <v>-1</v>
      </c>
      <c r="P256" s="183">
        <v>0.25</v>
      </c>
      <c r="Q256" s="183">
        <v>0</v>
      </c>
      <c r="R256" s="183">
        <v>0</v>
      </c>
      <c r="S256" s="183">
        <v>0</v>
      </c>
      <c r="T256" s="183">
        <v>0</v>
      </c>
      <c r="U256" s="183">
        <v>0</v>
      </c>
      <c r="V256" s="105">
        <v>0.5</v>
      </c>
      <c r="W256" s="163">
        <f>Таблица32[[#This Row],[Столбец7]]*Таблица32[[#This Row],[Ishga kelish nazoratchi2]]%</f>
        <v>0</v>
      </c>
      <c r="X256" s="168">
        <f>Таблица32[[#This Row],[Столбец7]]*Таблица32[[#This Row],[Ishga vaqtida kelish ketish]]%</f>
        <v>-5250</v>
      </c>
      <c r="Y256" s="134">
        <f>Таблица32[[#This Row],[Столбец7]]*Таблица32[[#This Row],[Ishga kelish bank klient]]%</f>
        <v>0</v>
      </c>
      <c r="Z256" s="168">
        <f>Таблица32[[#This Row],[Столбец7]]*Таблица32[[#This Row],[Gruppa buxgalter]]%</f>
        <v>5000</v>
      </c>
      <c r="AA256" s="168">
        <f>Таблица32[[#This Row],[Столбец7]]*Таблица32[[#This Row],[Gruppa bank klient ]]%</f>
        <v>0</v>
      </c>
      <c r="AB256" s="168">
        <f>Таблица32[[#This Row],[1c]]*Таблица32[[#This Row],[Столбец7]]/100</f>
        <v>-5000</v>
      </c>
      <c r="AC256" s="181">
        <f>SUM(Таблица32[[#This Row],[Didox]:[ мехнат]],Таблица32[[#This Row],[Avtokameral]])*Таблица32[[#This Row],[Столбец7]]/100</f>
        <v>1250</v>
      </c>
      <c r="AD256" s="196">
        <f>SUM(Таблица32[[#This Row],[Pul oqimlari]:[Foyda va zarar]])*Таблица32[[#This Row],[Столбец7]]/100</f>
        <v>0</v>
      </c>
      <c r="AE256" s="197">
        <f>Таблица32[[#This Row],[Столбец7]]*Таблица32[[#This Row],[Nazoratchi]]%</f>
        <v>2500</v>
      </c>
      <c r="AF256" s="168">
        <f>Таблица32[[#This Row],[Ishga vaqtida kelish nazoratchi]]+Таблица32[[#This Row],[Nazoratchi2]]</f>
        <v>2500</v>
      </c>
      <c r="AG256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-4000</v>
      </c>
      <c r="AH256" s="168">
        <f>Таблица32[[#This Row],[Ishga kelish bank klient3]]+Таблица32[[#This Row],[Gruppa bank klient 2]]</f>
        <v>0</v>
      </c>
    </row>
    <row r="257" spans="1:35" ht="18.75" x14ac:dyDescent="0.3">
      <c r="A257" s="130">
        <v>256</v>
      </c>
      <c r="B257" s="133" t="s">
        <v>555</v>
      </c>
      <c r="C257" s="236" t="s">
        <v>238</v>
      </c>
      <c r="D257" s="236" t="s">
        <v>240</v>
      </c>
      <c r="E257" s="127">
        <v>1000000</v>
      </c>
      <c r="F257" s="104" t="s">
        <v>218</v>
      </c>
      <c r="G257" s="206">
        <v>-0.8</v>
      </c>
      <c r="H257" s="206">
        <v>1</v>
      </c>
      <c r="I257" s="216"/>
      <c r="J257" s="206">
        <v>1</v>
      </c>
      <c r="K257" s="206">
        <v>1</v>
      </c>
      <c r="L257" s="183">
        <v>0.25</v>
      </c>
      <c r="M257" s="183">
        <v>0.25</v>
      </c>
      <c r="N257" s="183">
        <v>0.25</v>
      </c>
      <c r="O257" s="183"/>
      <c r="P257" s="183">
        <v>-0.25</v>
      </c>
      <c r="Q257" s="183">
        <v>0</v>
      </c>
      <c r="R257" s="183">
        <v>0</v>
      </c>
      <c r="S257" s="183">
        <v>0</v>
      </c>
      <c r="T257" s="183">
        <v>0</v>
      </c>
      <c r="U257" s="183">
        <v>0</v>
      </c>
      <c r="V257" s="105">
        <v>0.5</v>
      </c>
      <c r="W257" s="163">
        <f>Таблица32[[#This Row],[Столбец7]]*Таблица32[[#This Row],[Ishga kelish nazoratchi2]]%</f>
        <v>0</v>
      </c>
      <c r="X257" s="168">
        <f>Таблица32[[#This Row],[Столбец7]]*Таблица32[[#This Row],[Ishga vaqtida kelish ketish]]%</f>
        <v>-8000</v>
      </c>
      <c r="Y257" s="134">
        <f>Таблица32[[#This Row],[Столбец7]]*Таблица32[[#This Row],[Ishga kelish bank klient]]%</f>
        <v>10000</v>
      </c>
      <c r="Z257" s="168">
        <f>Таблица32[[#This Row],[Столбец7]]*Таблица32[[#This Row],[Gruppa buxgalter]]%</f>
        <v>10000</v>
      </c>
      <c r="AA257" s="168">
        <f>Таблица32[[#This Row],[Столбец7]]*Таблица32[[#This Row],[Gruppa bank klient ]]%</f>
        <v>10000</v>
      </c>
      <c r="AB257" s="168">
        <f>Таблица32[[#This Row],[1c]]*Таблица32[[#This Row],[Столбец7]]/100</f>
        <v>0</v>
      </c>
      <c r="AC257" s="181">
        <f>SUM(Таблица32[[#This Row],[Didox]:[ мехнат]],Таблица32[[#This Row],[Avtokameral]])*Таблица32[[#This Row],[Столбец7]]/100</f>
        <v>5000</v>
      </c>
      <c r="AD257" s="196">
        <f>SUM(Таблица32[[#This Row],[Pul oqimlari]:[Foyda va zarar]])*Таблица32[[#This Row],[Столбец7]]/100</f>
        <v>0</v>
      </c>
      <c r="AE257" s="197">
        <f>Таблица32[[#This Row],[Столбец7]]*Таблица32[[#This Row],[Nazoratchi]]%</f>
        <v>5000</v>
      </c>
      <c r="AF257" s="168">
        <f>Таблица32[[#This Row],[Ishga vaqtida kelish nazoratchi]]+Таблица32[[#This Row],[Nazoratchi2]]</f>
        <v>5000</v>
      </c>
      <c r="AG257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257" s="168">
        <f>Таблица32[[#This Row],[Ishga kelish bank klient3]]+Таблица32[[#This Row],[Gruppa bank klient 2]]</f>
        <v>20000</v>
      </c>
    </row>
    <row r="258" spans="1:35" ht="18.75" x14ac:dyDescent="0.3">
      <c r="A258" s="130">
        <v>257</v>
      </c>
      <c r="B258" s="133" t="s">
        <v>554</v>
      </c>
      <c r="C258" s="104" t="s">
        <v>471</v>
      </c>
      <c r="D258" s="106" t="s">
        <v>240</v>
      </c>
      <c r="E258" s="127">
        <v>3500000</v>
      </c>
      <c r="F258" s="104" t="s">
        <v>238</v>
      </c>
      <c r="G258" s="206">
        <v>0.55000000000000004</v>
      </c>
      <c r="H258" s="206">
        <v>1</v>
      </c>
      <c r="I258" s="216"/>
      <c r="J258" s="206">
        <v>1</v>
      </c>
      <c r="K258" s="206">
        <v>1</v>
      </c>
      <c r="L258" s="183">
        <v>0.25</v>
      </c>
      <c r="M258" s="183">
        <v>0.25</v>
      </c>
      <c r="N258" s="183"/>
      <c r="O258" s="183"/>
      <c r="P258" s="183">
        <v>0.25</v>
      </c>
      <c r="Q258" s="183">
        <v>0</v>
      </c>
      <c r="R258" s="183">
        <v>0</v>
      </c>
      <c r="S258" s="183">
        <v>0</v>
      </c>
      <c r="T258" s="183">
        <v>0</v>
      </c>
      <c r="U258" s="183">
        <v>0</v>
      </c>
      <c r="V258" s="105">
        <v>0.5</v>
      </c>
      <c r="W258" s="163">
        <f>Таблица32[[#This Row],[Столбец7]]*Таблица32[[#This Row],[Ishga kelish nazoratchi2]]%</f>
        <v>0</v>
      </c>
      <c r="X258" s="168">
        <f>Таблица32[[#This Row],[Столбец7]]*Таблица32[[#This Row],[Ishga vaqtida kelish ketish]]%</f>
        <v>19250.000000000004</v>
      </c>
      <c r="Y258" s="134">
        <f>Таблица32[[#This Row],[Столбец7]]*Таблица32[[#This Row],[Ishga kelish bank klient]]%</f>
        <v>35000</v>
      </c>
      <c r="Z258" s="168">
        <f>Таблица32[[#This Row],[Столбец7]]*Таблица32[[#This Row],[Gruppa buxgalter]]%</f>
        <v>35000</v>
      </c>
      <c r="AA258" s="168">
        <f>Таблица32[[#This Row],[Столбец7]]*Таблица32[[#This Row],[Gruppa bank klient ]]%</f>
        <v>35000</v>
      </c>
      <c r="AB258" s="168">
        <f>Таблица32[[#This Row],[1c]]*Таблица32[[#This Row],[Столбец7]]/100</f>
        <v>0</v>
      </c>
      <c r="AC258" s="181">
        <f>SUM(Таблица32[[#This Row],[Didox]:[ мехнат]],Таблица32[[#This Row],[Avtokameral]])*Таблица32[[#This Row],[Столбец7]]/100</f>
        <v>26250</v>
      </c>
      <c r="AD258" s="196">
        <f>SUM(Таблица32[[#This Row],[Pul oqimlari]:[Foyda va zarar]])*Таблица32[[#This Row],[Столбец7]]/100</f>
        <v>0</v>
      </c>
      <c r="AE258" s="197">
        <f>Таблица32[[#This Row],[Столбец7]]*Таблица32[[#This Row],[Nazoratchi]]%</f>
        <v>17500</v>
      </c>
      <c r="AF258" s="168">
        <f>Таблица32[[#This Row],[Ishga vaqtida kelish nazoratchi]]+Таблица32[[#This Row],[Nazoratchi2]]</f>
        <v>17500</v>
      </c>
      <c r="AG25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80500</v>
      </c>
      <c r="AH258" s="168">
        <f>Таблица32[[#This Row],[Ishga kelish bank klient3]]+Таблица32[[#This Row],[Gruppa bank klient 2]]</f>
        <v>70000</v>
      </c>
    </row>
    <row r="259" spans="1:35" ht="18.75" x14ac:dyDescent="0.3">
      <c r="A259" s="130">
        <v>258</v>
      </c>
      <c r="B259" s="133" t="s">
        <v>556</v>
      </c>
      <c r="C259" s="104" t="s">
        <v>238</v>
      </c>
      <c r="D259" s="106"/>
      <c r="E259" s="127">
        <v>5000000</v>
      </c>
      <c r="F259" s="104" t="s">
        <v>218</v>
      </c>
      <c r="G259" s="206">
        <v>-0.8</v>
      </c>
      <c r="H259" s="212"/>
      <c r="I259" s="216"/>
      <c r="J259" s="206">
        <v>1</v>
      </c>
      <c r="K259" s="206"/>
      <c r="L259" s="183">
        <v>0</v>
      </c>
      <c r="M259" s="183">
        <v>0.25</v>
      </c>
      <c r="N259" s="183"/>
      <c r="O259" s="183"/>
      <c r="P259" s="183">
        <v>0</v>
      </c>
      <c r="Q259" s="183">
        <v>0</v>
      </c>
      <c r="R259" s="183">
        <v>0</v>
      </c>
      <c r="S259" s="183">
        <v>0</v>
      </c>
      <c r="T259" s="183">
        <v>0</v>
      </c>
      <c r="U259" s="183">
        <v>0</v>
      </c>
      <c r="V259" s="105">
        <v>0.5</v>
      </c>
      <c r="W259" s="163">
        <f>Таблица32[[#This Row],[Столбец7]]*Таблица32[[#This Row],[Ishga kelish nazoratchi2]]%</f>
        <v>0</v>
      </c>
      <c r="X259" s="168">
        <f>Таблица32[[#This Row],[Столбец7]]*Таблица32[[#This Row],[Ishga vaqtida kelish ketish]]%</f>
        <v>-40000</v>
      </c>
      <c r="Y259" s="134">
        <f>Таблица32[[#This Row],[Столбец7]]*Таблица32[[#This Row],[Ishga kelish bank klient]]%</f>
        <v>0</v>
      </c>
      <c r="Z259" s="168">
        <f>Таблица32[[#This Row],[Столбец7]]*Таблица32[[#This Row],[Gruppa buxgalter]]%</f>
        <v>50000</v>
      </c>
      <c r="AA259" s="168">
        <f>Таблица32[[#This Row],[Столбец7]]*Таблица32[[#This Row],[Gruppa bank klient ]]%</f>
        <v>0</v>
      </c>
      <c r="AB259" s="168">
        <f>Таблица32[[#This Row],[1c]]*Таблица32[[#This Row],[Столбец7]]/100</f>
        <v>0</v>
      </c>
      <c r="AC259" s="181">
        <f>SUM(Таблица32[[#This Row],[Didox]:[ мехнат]],Таблица32[[#This Row],[Avtokameral]])*Таблица32[[#This Row],[Столбец7]]/100</f>
        <v>12500</v>
      </c>
      <c r="AD259" s="196">
        <f>SUM(Таблица32[[#This Row],[Pul oqimlari]:[Foyda va zarar]])*Таблица32[[#This Row],[Столбец7]]/100</f>
        <v>0</v>
      </c>
      <c r="AE259" s="197">
        <f>Таблица32[[#This Row],[Столбец7]]*Таблица32[[#This Row],[Nazoratchi]]%</f>
        <v>25000</v>
      </c>
      <c r="AF259" s="168">
        <f>Таблица32[[#This Row],[Ishga vaqtida kelish nazoratchi]]+Таблица32[[#This Row],[Nazoratchi2]]</f>
        <v>25000</v>
      </c>
      <c r="AG25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22500</v>
      </c>
      <c r="AH259" s="168">
        <f>Таблица32[[#This Row],[Ishga kelish bank klient3]]+Таблица32[[#This Row],[Gruppa bank klient 2]]</f>
        <v>0</v>
      </c>
    </row>
    <row r="260" spans="1:35" ht="18.75" x14ac:dyDescent="0.3">
      <c r="A260" s="130">
        <v>259</v>
      </c>
      <c r="B260" s="133" t="s">
        <v>557</v>
      </c>
      <c r="C260" s="104" t="s">
        <v>303</v>
      </c>
      <c r="D260" s="106"/>
      <c r="E260" s="127">
        <v>700000</v>
      </c>
      <c r="F260" s="104" t="s">
        <v>218</v>
      </c>
      <c r="G260" s="206">
        <v>-0.25</v>
      </c>
      <c r="H260" s="212"/>
      <c r="I260" s="216"/>
      <c r="J260" s="206">
        <v>1</v>
      </c>
      <c r="K260" s="206"/>
      <c r="L260" s="183">
        <v>0.25</v>
      </c>
      <c r="M260" s="183">
        <v>-0.25</v>
      </c>
      <c r="N260" s="183"/>
      <c r="O260" s="183"/>
      <c r="P260" s="183">
        <v>-0.25</v>
      </c>
      <c r="Q260" s="183"/>
      <c r="R260" s="183"/>
      <c r="S260" s="183"/>
      <c r="T260" s="183"/>
      <c r="U260" s="183"/>
      <c r="V260" s="105">
        <v>0.5</v>
      </c>
      <c r="W260" s="163">
        <f>Таблица32[[#This Row],[Столбец7]]*Таблица32[[#This Row],[Ishga kelish nazoratchi2]]%</f>
        <v>0</v>
      </c>
      <c r="X260" s="168">
        <f>Таблица32[[#This Row],[Столбец7]]*Таблица32[[#This Row],[Ishga vaqtida kelish ketish]]%</f>
        <v>-1750</v>
      </c>
      <c r="Y260" s="134">
        <f>Таблица32[[#This Row],[Столбец7]]*Таблица32[[#This Row],[Ishga kelish bank klient]]%</f>
        <v>0</v>
      </c>
      <c r="Z260" s="168">
        <f>Таблица32[[#This Row],[Столбец7]]*Таблица32[[#This Row],[Gruppa buxgalter]]%</f>
        <v>7000</v>
      </c>
      <c r="AA260" s="168">
        <f>Таблица32[[#This Row],[Столбец7]]*Таблица32[[#This Row],[Gruppa bank klient ]]%</f>
        <v>0</v>
      </c>
      <c r="AB260" s="168">
        <f>Таблица32[[#This Row],[1c]]*Таблица32[[#This Row],[Столбец7]]/100</f>
        <v>0</v>
      </c>
      <c r="AC260" s="181">
        <f>SUM(Таблица32[[#This Row],[Didox]:[ мехнат]],Таблица32[[#This Row],[Avtokameral]])*Таблица32[[#This Row],[Столбец7]]/100</f>
        <v>-1750</v>
      </c>
      <c r="AD260" s="196">
        <f>SUM(Таблица32[[#This Row],[Pul oqimlari]:[Foyda va zarar]])*Таблица32[[#This Row],[Столбец7]]/100</f>
        <v>0</v>
      </c>
      <c r="AE260" s="197">
        <f>Таблица32[[#This Row],[Столбец7]]*Таблица32[[#This Row],[Nazoratchi]]%</f>
        <v>3500</v>
      </c>
      <c r="AF260" s="168">
        <f>Таблица32[[#This Row],[Ishga vaqtida kelish nazoratchi]]+Таблица32[[#This Row],[Nazoratchi2]]</f>
        <v>3500</v>
      </c>
      <c r="AG260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3500</v>
      </c>
      <c r="AH260" s="168">
        <f>Таблица32[[#This Row],[Ishga kelish bank klient3]]+Таблица32[[#This Row],[Gruppa bank klient 2]]</f>
        <v>0</v>
      </c>
    </row>
    <row r="261" spans="1:35" ht="18.75" x14ac:dyDescent="0.3">
      <c r="A261" s="130">
        <v>260</v>
      </c>
      <c r="B261" s="133" t="s">
        <v>558</v>
      </c>
      <c r="C261" s="104" t="s">
        <v>303</v>
      </c>
      <c r="D261" s="106"/>
      <c r="E261" s="127">
        <v>700000</v>
      </c>
      <c r="F261" s="104" t="s">
        <v>218</v>
      </c>
      <c r="G261" s="206">
        <v>-0.25</v>
      </c>
      <c r="H261" s="212"/>
      <c r="I261" s="216"/>
      <c r="J261" s="206">
        <v>1</v>
      </c>
      <c r="K261" s="206"/>
      <c r="L261" s="183">
        <v>0.25</v>
      </c>
      <c r="M261" s="183">
        <v>-0.25</v>
      </c>
      <c r="N261" s="183"/>
      <c r="O261" s="183"/>
      <c r="P261" s="183">
        <v>0.25</v>
      </c>
      <c r="Q261" s="183"/>
      <c r="R261" s="183"/>
      <c r="S261" s="183"/>
      <c r="T261" s="183"/>
      <c r="U261" s="183"/>
      <c r="V261" s="105">
        <v>0.5</v>
      </c>
      <c r="W261" s="163">
        <f>Таблица32[[#This Row],[Столбец7]]*Таблица32[[#This Row],[Ishga kelish nazoratchi2]]%</f>
        <v>0</v>
      </c>
      <c r="X261" s="168">
        <f>Таблица32[[#This Row],[Столбец7]]*Таблица32[[#This Row],[Ishga vaqtida kelish ketish]]%</f>
        <v>-1750</v>
      </c>
      <c r="Y261" s="134">
        <f>Таблица32[[#This Row],[Столбец7]]*Таблица32[[#This Row],[Ishga kelish bank klient]]%</f>
        <v>0</v>
      </c>
      <c r="Z261" s="168">
        <f>Таблица32[[#This Row],[Столбец7]]*Таблица32[[#This Row],[Gruppa buxgalter]]%</f>
        <v>7000</v>
      </c>
      <c r="AA261" s="168">
        <f>Таблица32[[#This Row],[Столбец7]]*Таблица32[[#This Row],[Gruppa bank klient ]]%</f>
        <v>0</v>
      </c>
      <c r="AB261" s="168">
        <f>Таблица32[[#This Row],[1c]]*Таблица32[[#This Row],[Столбец7]]/100</f>
        <v>0</v>
      </c>
      <c r="AC261" s="181">
        <f>SUM(Таблица32[[#This Row],[Didox]:[ мехнат]],Таблица32[[#This Row],[Avtokameral]])*Таблица32[[#This Row],[Столбец7]]/100</f>
        <v>1750</v>
      </c>
      <c r="AD261" s="196">
        <f>SUM(Таблица32[[#This Row],[Pul oqimlari]:[Foyda va zarar]])*Таблица32[[#This Row],[Столбец7]]/100</f>
        <v>0</v>
      </c>
      <c r="AE261" s="197">
        <f>Таблица32[[#This Row],[Столбец7]]*Таблица32[[#This Row],[Nazoratchi]]%</f>
        <v>3500</v>
      </c>
      <c r="AF261" s="168">
        <f>Таблица32[[#This Row],[Ishga vaqtida kelish nazoratchi]]+Таблица32[[#This Row],[Nazoratchi2]]</f>
        <v>3500</v>
      </c>
      <c r="AG261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261" s="168">
        <f>Таблица32[[#This Row],[Ishga kelish bank klient3]]+Таблица32[[#This Row],[Gruppa bank klient 2]]</f>
        <v>0</v>
      </c>
    </row>
    <row r="262" spans="1:35" ht="18.75" x14ac:dyDescent="0.3">
      <c r="A262" s="130">
        <v>261</v>
      </c>
      <c r="B262" s="133" t="s">
        <v>559</v>
      </c>
      <c r="C262" s="104" t="s">
        <v>303</v>
      </c>
      <c r="D262" s="106"/>
      <c r="E262" s="127">
        <v>1000000</v>
      </c>
      <c r="F262" s="104" t="s">
        <v>218</v>
      </c>
      <c r="G262" s="206">
        <v>-0.25</v>
      </c>
      <c r="H262" s="212"/>
      <c r="I262" s="216"/>
      <c r="J262" s="206">
        <v>1</v>
      </c>
      <c r="K262" s="206"/>
      <c r="L262" s="183">
        <v>0.25</v>
      </c>
      <c r="M262" s="183">
        <v>-0.25</v>
      </c>
      <c r="N262" s="183"/>
      <c r="O262" s="183"/>
      <c r="P262" s="183">
        <v>0.25</v>
      </c>
      <c r="Q262" s="183"/>
      <c r="R262" s="183"/>
      <c r="S262" s="183"/>
      <c r="T262" s="183"/>
      <c r="U262" s="183"/>
      <c r="V262" s="105">
        <v>0.5</v>
      </c>
      <c r="W262" s="163">
        <f>Таблица32[[#This Row],[Столбец7]]*Таблица32[[#This Row],[Ishga kelish nazoratchi2]]%</f>
        <v>0</v>
      </c>
      <c r="X262" s="168">
        <f>Таблица32[[#This Row],[Столбец7]]*Таблица32[[#This Row],[Ishga vaqtida kelish ketish]]%</f>
        <v>-2500</v>
      </c>
      <c r="Y262" s="134">
        <f>Таблица32[[#This Row],[Столбец7]]*Таблица32[[#This Row],[Ishga kelish bank klient]]%</f>
        <v>0</v>
      </c>
      <c r="Z262" s="168">
        <f>Таблица32[[#This Row],[Столбец7]]*Таблица32[[#This Row],[Gruppa buxgalter]]%</f>
        <v>10000</v>
      </c>
      <c r="AA262" s="168">
        <f>Таблица32[[#This Row],[Столбец7]]*Таблица32[[#This Row],[Gruppa bank klient ]]%</f>
        <v>0</v>
      </c>
      <c r="AB262" s="168">
        <f>Таблица32[[#This Row],[1c]]*Таблица32[[#This Row],[Столбец7]]/100</f>
        <v>0</v>
      </c>
      <c r="AC262" s="181">
        <f>SUM(Таблица32[[#This Row],[Didox]:[ мехнат]],Таблица32[[#This Row],[Avtokameral]])*Таблица32[[#This Row],[Столбец7]]/100</f>
        <v>2500</v>
      </c>
      <c r="AD262" s="196">
        <f>SUM(Таблица32[[#This Row],[Pul oqimlari]:[Foyda va zarar]])*Таблица32[[#This Row],[Столбец7]]/100</f>
        <v>0</v>
      </c>
      <c r="AE262" s="197">
        <f>Таблица32[[#This Row],[Столбец7]]*Таблица32[[#This Row],[Nazoratchi]]%</f>
        <v>5000</v>
      </c>
      <c r="AF262" s="168">
        <f>Таблица32[[#This Row],[Ishga vaqtida kelish nazoratchi]]+Таблица32[[#This Row],[Nazoratchi2]]</f>
        <v>5000</v>
      </c>
      <c r="AG262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10000</v>
      </c>
      <c r="AH262" s="168">
        <f>Таблица32[[#This Row],[Ishga kelish bank klient3]]+Таблица32[[#This Row],[Gruppa bank klient 2]]</f>
        <v>0</v>
      </c>
    </row>
    <row r="263" spans="1:35" ht="18.75" x14ac:dyDescent="0.3">
      <c r="A263" s="130">
        <v>262</v>
      </c>
      <c r="B263" s="133" t="s">
        <v>561</v>
      </c>
      <c r="C263" s="104" t="s">
        <v>224</v>
      </c>
      <c r="D263" s="106"/>
      <c r="E263" s="127">
        <v>500000</v>
      </c>
      <c r="F263" s="104" t="s">
        <v>218</v>
      </c>
      <c r="G263" s="206"/>
      <c r="H263" s="212"/>
      <c r="I263" s="216"/>
      <c r="J263" s="206">
        <v>1</v>
      </c>
      <c r="K263" s="206"/>
      <c r="L263" s="183">
        <v>0</v>
      </c>
      <c r="M263" s="183">
        <v>0</v>
      </c>
      <c r="N263" s="183">
        <v>0</v>
      </c>
      <c r="O263" s="183"/>
      <c r="P263" s="183">
        <v>0</v>
      </c>
      <c r="Q263" s="183">
        <v>0</v>
      </c>
      <c r="R263" s="183">
        <v>0</v>
      </c>
      <c r="S263" s="183">
        <v>0</v>
      </c>
      <c r="T263" s="183">
        <v>0</v>
      </c>
      <c r="U263" s="183">
        <v>0</v>
      </c>
      <c r="V263" s="105">
        <v>0.5</v>
      </c>
      <c r="W263" s="163">
        <f>Таблица32[[#This Row],[Столбец7]]*Таблица32[[#This Row],[Ishga kelish nazoratchi2]]%</f>
        <v>0</v>
      </c>
      <c r="X263" s="168">
        <f>Таблица32[[#This Row],[Столбец7]]*Таблица32[[#This Row],[Ishga vaqtida kelish ketish]]%</f>
        <v>0</v>
      </c>
      <c r="Y263" s="134">
        <f>Таблица32[[#This Row],[Столбец7]]*Таблица32[[#This Row],[Ishga kelish bank klient]]%</f>
        <v>0</v>
      </c>
      <c r="Z263" s="168">
        <f>Таблица32[[#This Row],[Столбец7]]*Таблица32[[#This Row],[Gruppa buxgalter]]%</f>
        <v>5000</v>
      </c>
      <c r="AA263" s="168">
        <f>Таблица32[[#This Row],[Столбец7]]*Таблица32[[#This Row],[Gruppa bank klient ]]%</f>
        <v>0</v>
      </c>
      <c r="AB263" s="168">
        <f>Таблица32[[#This Row],[1c]]*Таблица32[[#This Row],[Столбец7]]/100</f>
        <v>0</v>
      </c>
      <c r="AC263" s="181">
        <f>SUM(Таблица32[[#This Row],[Didox]:[ мехнат]],Таблица32[[#This Row],[Avtokameral]])*Таблица32[[#This Row],[Столбец7]]/100</f>
        <v>0</v>
      </c>
      <c r="AD263" s="196">
        <f>SUM(Таблица32[[#This Row],[Pul oqimlari]:[Foyda va zarar]])*Таблица32[[#This Row],[Столбец7]]/100</f>
        <v>0</v>
      </c>
      <c r="AE263" s="197">
        <f>Таблица32[[#This Row],[Столбец7]]*Таблица32[[#This Row],[Nazoratchi]]%</f>
        <v>2500</v>
      </c>
      <c r="AF263" s="168">
        <f>Таблица32[[#This Row],[Ishga vaqtida kelish nazoratchi]]+Таблица32[[#This Row],[Nazoratchi2]]</f>
        <v>2500</v>
      </c>
      <c r="AG263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5000</v>
      </c>
      <c r="AH263" s="168">
        <f>Таблица32[[#This Row],[Ishga kelish bank klient3]]+Таблица32[[#This Row],[Gruppa bank klient 2]]</f>
        <v>0</v>
      </c>
    </row>
    <row r="264" spans="1:35" ht="18.75" x14ac:dyDescent="0.3">
      <c r="A264" s="130">
        <v>263</v>
      </c>
      <c r="B264" s="133" t="s">
        <v>562</v>
      </c>
      <c r="C264" s="104" t="s">
        <v>218</v>
      </c>
      <c r="D264" s="106"/>
      <c r="E264" s="127">
        <v>700000</v>
      </c>
      <c r="F264" s="104" t="s">
        <v>238</v>
      </c>
      <c r="G264" s="206">
        <v>0.05</v>
      </c>
      <c r="H264" s="212"/>
      <c r="I264" s="216"/>
      <c r="J264" s="206">
        <v>1</v>
      </c>
      <c r="K264" s="206"/>
      <c r="L264" s="183">
        <v>0</v>
      </c>
      <c r="M264" s="183">
        <v>0</v>
      </c>
      <c r="N264" s="183">
        <v>0</v>
      </c>
      <c r="O264" s="183"/>
      <c r="P264" s="183">
        <v>0</v>
      </c>
      <c r="Q264" s="183">
        <v>0</v>
      </c>
      <c r="R264" s="183">
        <v>0</v>
      </c>
      <c r="S264" s="183">
        <v>0</v>
      </c>
      <c r="T264" s="183">
        <v>0</v>
      </c>
      <c r="U264" s="183">
        <v>0</v>
      </c>
      <c r="V264" s="206">
        <v>0.5</v>
      </c>
      <c r="W264" s="163">
        <f>Таблица32[[#This Row],[Столбец7]]*Таблица32[[#This Row],[Ishga kelish nazoratchi2]]%</f>
        <v>0</v>
      </c>
      <c r="X264" s="168">
        <f>Таблица32[[#This Row],[Столбец7]]*Таблица32[[#This Row],[Ishga vaqtida kelish ketish]]%</f>
        <v>350</v>
      </c>
      <c r="Y264" s="134">
        <f>Таблица32[[#This Row],[Столбец7]]*Таблица32[[#This Row],[Ishga kelish bank klient]]%</f>
        <v>0</v>
      </c>
      <c r="Z264" s="168">
        <f>Таблица32[[#This Row],[Столбец7]]*Таблица32[[#This Row],[Gruppa buxgalter]]%</f>
        <v>7000</v>
      </c>
      <c r="AA264" s="168">
        <f>Таблица32[[#This Row],[Столбец7]]*Таблица32[[#This Row],[Gruppa bank klient ]]%</f>
        <v>0</v>
      </c>
      <c r="AB264" s="168">
        <f>Таблица32[[#This Row],[1c]]*Таблица32[[#This Row],[Столбец7]]/100</f>
        <v>0</v>
      </c>
      <c r="AC264" s="181">
        <f>SUM(Таблица32[[#This Row],[Didox]:[ мехнат]],Таблица32[[#This Row],[Avtokameral]])*Таблица32[[#This Row],[Столбец7]]/100</f>
        <v>0</v>
      </c>
      <c r="AD264" s="196">
        <f>SUM(Таблица32[[#This Row],[Pul oqimlari]:[Foyda va zarar]])*Таблица32[[#This Row],[Столбец7]]/100</f>
        <v>0</v>
      </c>
      <c r="AE264" s="197">
        <f>Таблица32[[#This Row],[Столбец7]]*Таблица32[[#This Row],[Nazoratchi]]%</f>
        <v>3500</v>
      </c>
      <c r="AF264" s="168">
        <f>Таблица32[[#This Row],[Ishga vaqtida kelish nazoratchi]]+Таблица32[[#This Row],[Nazoratchi2]]</f>
        <v>3500</v>
      </c>
      <c r="AG264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7350</v>
      </c>
      <c r="AH264" s="168">
        <f>Таблица32[[#This Row],[Ishga kelish bank klient3]]+Таблица32[[#This Row],[Gruppa bank klient 2]]</f>
        <v>0</v>
      </c>
    </row>
    <row r="265" spans="1:35" ht="18.75" x14ac:dyDescent="0.3">
      <c r="A265" s="130">
        <v>264</v>
      </c>
      <c r="B265" s="133" t="s">
        <v>563</v>
      </c>
      <c r="C265" s="104" t="s">
        <v>218</v>
      </c>
      <c r="D265" s="106"/>
      <c r="E265" s="127">
        <v>1000000</v>
      </c>
      <c r="F265" s="104" t="s">
        <v>238</v>
      </c>
      <c r="G265" s="206">
        <v>0.05</v>
      </c>
      <c r="H265" s="212"/>
      <c r="I265" s="216"/>
      <c r="J265" s="206">
        <v>1</v>
      </c>
      <c r="K265" s="206"/>
      <c r="L265" s="183">
        <v>0</v>
      </c>
      <c r="M265" s="183">
        <v>0</v>
      </c>
      <c r="N265" s="183">
        <v>0</v>
      </c>
      <c r="O265" s="183"/>
      <c r="P265" s="183">
        <v>0</v>
      </c>
      <c r="Q265" s="183">
        <v>0</v>
      </c>
      <c r="R265" s="183">
        <v>0</v>
      </c>
      <c r="S265" s="183">
        <v>0</v>
      </c>
      <c r="T265" s="183">
        <v>0</v>
      </c>
      <c r="U265" s="183">
        <v>0</v>
      </c>
      <c r="V265" s="206">
        <v>0.5</v>
      </c>
      <c r="W265" s="163">
        <f>Таблица32[[#This Row],[Столбец7]]*Таблица32[[#This Row],[Ishga kelish nazoratchi2]]%</f>
        <v>0</v>
      </c>
      <c r="X265" s="168">
        <f>Таблица32[[#This Row],[Столбец7]]*Таблица32[[#This Row],[Ishga vaqtida kelish ketish]]%</f>
        <v>500</v>
      </c>
      <c r="Y265" s="134">
        <f>Таблица32[[#This Row],[Столбец7]]*Таблица32[[#This Row],[Ishga kelish bank klient]]%</f>
        <v>0</v>
      </c>
      <c r="Z265" s="168">
        <f>Таблица32[[#This Row],[Столбец7]]*Таблица32[[#This Row],[Gruppa buxgalter]]%</f>
        <v>10000</v>
      </c>
      <c r="AA265" s="168">
        <f>Таблица32[[#This Row],[Столбец7]]*Таблица32[[#This Row],[Gruppa bank klient ]]%</f>
        <v>0</v>
      </c>
      <c r="AB265" s="168">
        <f>Таблица32[[#This Row],[1c]]*Таблица32[[#This Row],[Столбец7]]/100</f>
        <v>0</v>
      </c>
      <c r="AC265" s="181">
        <f>SUM(Таблица32[[#This Row],[Didox]:[ мехнат]],Таблица32[[#This Row],[Avtokameral]])*Таблица32[[#This Row],[Столбец7]]/100</f>
        <v>0</v>
      </c>
      <c r="AD265" s="196">
        <f>SUM(Таблица32[[#This Row],[Pul oqimlari]:[Foyda va zarar]])*Таблица32[[#This Row],[Столбец7]]/100</f>
        <v>0</v>
      </c>
      <c r="AE265" s="197">
        <f>Таблица32[[#This Row],[Столбец7]]*Таблица32[[#This Row],[Nazoratchi]]%</f>
        <v>5000</v>
      </c>
      <c r="AF265" s="168">
        <f>Таблица32[[#This Row],[Ishga vaqtida kelish nazoratchi]]+Таблица32[[#This Row],[Nazoratchi2]]</f>
        <v>5000</v>
      </c>
      <c r="AG265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10500</v>
      </c>
      <c r="AH265" s="168">
        <f>Таблица32[[#This Row],[Ishga kelish bank klient3]]+Таблица32[[#This Row],[Gruppa bank klient 2]]</f>
        <v>0</v>
      </c>
    </row>
    <row r="266" spans="1:35" ht="18.75" x14ac:dyDescent="0.3">
      <c r="A266" s="130"/>
      <c r="B266" s="214"/>
      <c r="C266" s="215"/>
      <c r="D266" s="210"/>
      <c r="E266" s="219"/>
      <c r="F266" s="217"/>
      <c r="G266" s="206"/>
      <c r="H266" s="216"/>
      <c r="I266" s="216"/>
      <c r="J266" s="206"/>
      <c r="K266" s="206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74"/>
      <c r="W266" s="175">
        <f>Таблица32[[#This Row],[Столбец7]]*Таблица32[[#This Row],[Ishga kelish nazoratchi2]]%</f>
        <v>0</v>
      </c>
      <c r="X266" s="176">
        <f>Таблица32[[#This Row],[Столбец7]]*Таблица32[[#This Row],[Ishga vaqtida kelish ketish]]%</f>
        <v>0</v>
      </c>
      <c r="Y266" s="176">
        <f>Таблица32[[#This Row],[Столбец7]]*Таблица32[[#This Row],[Ishga kelish bank klient]]%</f>
        <v>0</v>
      </c>
      <c r="Z266" s="176">
        <f>Таблица32[[#This Row],[Столбец7]]*Таблица32[[#This Row],[Gruppa buxgalter]]%</f>
        <v>0</v>
      </c>
      <c r="AA266" s="176">
        <f>Таблица32[[#This Row],[Столбец7]]*Таблица32[[#This Row],[Gruppa bank klient ]]%</f>
        <v>0</v>
      </c>
      <c r="AB266" s="186">
        <f>Таблица32[[#This Row],[1c]]*Таблица32[[#This Row],[Столбец7]]/100</f>
        <v>0</v>
      </c>
      <c r="AC266" s="187">
        <f>SUM(Таблица32[[#This Row],[Didox]:[ мехнат]],Таблица32[[#This Row],[Avtokameral]])*Таблица32[[#This Row],[Столбец7]]/100</f>
        <v>0</v>
      </c>
      <c r="AD266" s="188">
        <f>SUM(Таблица32[[#This Row],[Pul oqimlari]:[Foyda va zarar]])*Таблица32[[#This Row],[Столбец7]]/100</f>
        <v>0</v>
      </c>
      <c r="AE266" s="189">
        <f>Таблица32[[#This Row],[Столбец7]]*Таблица32[[#This Row],[Nazoratchi]]%</f>
        <v>0</v>
      </c>
      <c r="AF266" s="176">
        <f>Таблица32[[#This Row],[Ishga vaqtida kelish nazoratchi]]+Таблица32[[#This Row],[Nazoratchi2]]</f>
        <v>0</v>
      </c>
      <c r="AG266" s="182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66" s="176">
        <f>Таблица32[[#This Row],[Ishga kelish bank klient3]]+Таблица32[[#This Row],[Gruppa bank klient 2]]</f>
        <v>0</v>
      </c>
      <c r="AI266" s="115"/>
    </row>
    <row r="267" spans="1:35" ht="18.75" x14ac:dyDescent="0.3">
      <c r="A267" s="130"/>
      <c r="B267" s="210"/>
      <c r="C267" s="213" t="s">
        <v>224</v>
      </c>
      <c r="D267" s="214"/>
      <c r="E267" s="219">
        <v>30000000</v>
      </c>
      <c r="F267" s="217"/>
      <c r="G267" s="206"/>
      <c r="H267" s="212"/>
      <c r="I267" s="216"/>
      <c r="J267" s="212"/>
      <c r="K267" s="206"/>
      <c r="L267" s="183"/>
      <c r="M267" s="183"/>
      <c r="N267" s="183"/>
      <c r="O267" s="177"/>
      <c r="P267" s="219"/>
      <c r="Q267" s="178"/>
      <c r="R267" s="178"/>
      <c r="S267" s="178"/>
      <c r="T267" s="178"/>
      <c r="U267" s="185"/>
      <c r="V267" s="105"/>
      <c r="W267" s="175">
        <f>Таблица32[[#This Row],[Столбец7]]*Таблица32[[#This Row],[Ishga kelish nazoratchi2]]%</f>
        <v>0</v>
      </c>
      <c r="X267" s="176">
        <f>Таблица32[[#This Row],[Столбец7]]*Таблица32[[#This Row],[Ishga vaqtida kelish ketish]]%</f>
        <v>0</v>
      </c>
      <c r="Y267" s="176">
        <f>Таблица32[[#This Row],[Столбец7]]*Таблица32[[#This Row],[Ishga kelish bank klient]]%</f>
        <v>0</v>
      </c>
      <c r="Z267" s="176">
        <f>Таблица32[[#This Row],[Столбец7]]*Таблица32[[#This Row],[Gruppa buxgalter]]%</f>
        <v>0</v>
      </c>
      <c r="AA267" s="176">
        <f>Таблица32[[#This Row],[Столбец7]]*Таблица32[[#This Row],[Gruppa bank klient ]]%</f>
        <v>0</v>
      </c>
      <c r="AB267" s="186">
        <f>Таблица32[[#This Row],[1c]]*Таблица32[[#This Row],[Столбец7]]/100</f>
        <v>0</v>
      </c>
      <c r="AC267" s="187">
        <f>SUM(Таблица32[[#This Row],[Didox]:[ мехнат]],Таблица32[[#This Row],[Avtokameral]])*Таблица32[[#This Row],[Столбец7]]/100</f>
        <v>0</v>
      </c>
      <c r="AD267" s="188">
        <f>SUM(Таблица32[[#This Row],[Pul oqimlari]:[Foyda va zarar]])*Таблица32[[#This Row],[Столбец7]]/100</f>
        <v>0</v>
      </c>
      <c r="AE267" s="189">
        <f>Таблица32[[#This Row],[Столбец7]]*Таблица32[[#This Row],[Nazoratchi]]%</f>
        <v>0</v>
      </c>
      <c r="AF267" s="176">
        <f>Таблица32[[#This Row],[Ishga vaqtida kelish nazoratchi]]+Таблица32[[#This Row],[Nazoratchi2]]</f>
        <v>0</v>
      </c>
      <c r="AG267" s="176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67" s="176">
        <f>Таблица32[[#This Row],[Ishga kelish bank klient3]]+Таблица32[[#This Row],[Gruppa bank klient 2]]</f>
        <v>0</v>
      </c>
      <c r="AI267" s="106"/>
    </row>
    <row r="268" spans="1:35" ht="18.75" x14ac:dyDescent="0.3">
      <c r="A268" s="130"/>
      <c r="B268" s="210"/>
      <c r="C268" s="213" t="s">
        <v>310</v>
      </c>
      <c r="D268" s="214"/>
      <c r="E268" s="219">
        <v>32500000</v>
      </c>
      <c r="F268" s="217"/>
      <c r="G268" s="206">
        <v>0.65</v>
      </c>
      <c r="H268" s="216"/>
      <c r="I268" s="216"/>
      <c r="J268" s="216"/>
      <c r="K268" s="206"/>
      <c r="L268" s="220"/>
      <c r="M268" s="177"/>
      <c r="N268" s="177"/>
      <c r="O268" s="177"/>
      <c r="P268" s="219"/>
      <c r="Q268" s="178"/>
      <c r="R268" s="178"/>
      <c r="S268" s="178"/>
      <c r="T268" s="178"/>
      <c r="U268" s="185"/>
      <c r="V268" s="105"/>
      <c r="W268" s="163">
        <f>Таблица32[[#This Row],[Столбец7]]*Таблица32[[#This Row],[Ishga kelish nazoratchi2]]%</f>
        <v>0</v>
      </c>
      <c r="X268" s="168">
        <f>Таблица32[[#This Row],[Столбец7]]*Таблица32[[#This Row],[Ishga vaqtida kelish ketish]]%</f>
        <v>211250.00000000003</v>
      </c>
      <c r="Y268" s="168">
        <f>Таблица32[[#This Row],[Столбец7]]*Таблица32[[#This Row],[Ishga kelish bank klient]]%</f>
        <v>0</v>
      </c>
      <c r="Z268" s="168">
        <f>Таблица32[[#This Row],[Столбец7]]*Таблица32[[#This Row],[Gruppa buxgalter]]%</f>
        <v>0</v>
      </c>
      <c r="AA268" s="168">
        <f>Таблица32[[#This Row],[Столбец7]]*Таблица32[[#This Row],[Gruppa bank klient ]]%</f>
        <v>0</v>
      </c>
      <c r="AB268" s="195">
        <f>Таблица32[[#This Row],[1c]]*Таблица32[[#This Row],[Столбец7]]/100</f>
        <v>0</v>
      </c>
      <c r="AC268" s="159">
        <f>SUM(Таблица32[[#This Row],[Didox]:[ мехнат]],Таблица32[[#This Row],[Avtokameral]])*Таблица32[[#This Row],[Столбец7]]/100</f>
        <v>0</v>
      </c>
      <c r="AD268" s="196">
        <f>SUM(Таблица32[[#This Row],[Pul oqimlari]:[Foyda va zarar]])*Таблица32[[#This Row],[Столбец7]]/100</f>
        <v>0</v>
      </c>
      <c r="AE268" s="197">
        <f>Таблица32[[#This Row],[Столбец7]]*Таблица32[[#This Row],[Nazoratchi]]%</f>
        <v>0</v>
      </c>
      <c r="AF268" s="168">
        <f>Таблица32[[#This Row],[Ishga vaqtida kelish nazoratchi]]+Таблица32[[#This Row],[Nazoratchi2]]</f>
        <v>0</v>
      </c>
      <c r="AG268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211250.00000000003</v>
      </c>
      <c r="AH268" s="176">
        <f>Таблица32[[#This Row],[Ishga kelish bank klient3]]+Таблица32[[#This Row],[Gruppa bank klient 2]]</f>
        <v>0</v>
      </c>
      <c r="AI268" s="106"/>
    </row>
    <row r="269" spans="1:35" ht="18.75" x14ac:dyDescent="0.3">
      <c r="A269" s="208"/>
      <c r="B269" s="214"/>
      <c r="C269" s="194"/>
      <c r="D269" s="194" t="s">
        <v>326</v>
      </c>
      <c r="E269" s="187">
        <v>20000000</v>
      </c>
      <c r="F269" s="174"/>
      <c r="G269" s="174"/>
      <c r="H269" s="206">
        <v>1</v>
      </c>
      <c r="I269" s="174"/>
      <c r="J269" s="174"/>
      <c r="K269" s="206"/>
      <c r="L269" s="221"/>
      <c r="M269" s="177"/>
      <c r="N269" s="177"/>
      <c r="O269" s="177"/>
      <c r="P269" s="218"/>
      <c r="Q269" s="178"/>
      <c r="R269" s="178"/>
      <c r="S269" s="178"/>
      <c r="T269" s="178"/>
      <c r="U269" s="222"/>
      <c r="V269" s="156"/>
      <c r="W269" s="163">
        <f>Таблица32[[#This Row],[Столбец7]]*Таблица32[[#This Row],[Ishga kelish nazoratchi2]]%</f>
        <v>0</v>
      </c>
      <c r="X269" s="168">
        <f>Таблица32[[#This Row],[Столбец7]]*Таблица32[[#This Row],[Ishga vaqtida kelish ketish]]%</f>
        <v>0</v>
      </c>
      <c r="Y269" s="168">
        <f>Таблица32[[#This Row],[Столбец7]]*Таблица32[[#This Row],[Ishga kelish bank klient]]%</f>
        <v>200000</v>
      </c>
      <c r="Z269" s="168">
        <f>Таблица32[[#This Row],[Столбец7]]*Таблица32[[#This Row],[Gruppa buxgalter]]%</f>
        <v>0</v>
      </c>
      <c r="AA269" s="168">
        <f>Таблица32[[#This Row],[Столбец7]]*Таблица32[[#This Row],[Gruppa bank klient ]]%</f>
        <v>0</v>
      </c>
      <c r="AB269" s="195">
        <f>Таблица32[[#This Row],[1c]]*Таблица32[[#This Row],[Столбец7]]/100</f>
        <v>0</v>
      </c>
      <c r="AC269" s="159">
        <f>SUM(Таблица32[[#This Row],[Didox]:[ мехнат]],Таблица32[[#This Row],[Avtokameral]])*Таблица32[[#This Row],[Столбец7]]/100</f>
        <v>0</v>
      </c>
      <c r="AD269" s="196">
        <f>SUM(Таблица32[[#This Row],[Pul oqimlari]:[Foyda va zarar]])*Таблица32[[#This Row],[Столбец7]]/100</f>
        <v>0</v>
      </c>
      <c r="AE269" s="197">
        <f>Таблица32[[#This Row],[Столбец7]]*Таблица32[[#This Row],[Nazoratchi]]%</f>
        <v>0</v>
      </c>
      <c r="AF269" s="168">
        <f>Таблица32[[#This Row],[Ishga vaqtida kelish nazoratchi]]+Таблица32[[#This Row],[Nazoratchi2]]</f>
        <v>0</v>
      </c>
      <c r="AG269" s="168">
        <f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69" s="223">
        <f>Таблица32[[#This Row],[Ishga kelish bank klient3]]+Таблица32[[#This Row],[Gruppa bank klient 2]]</f>
        <v>200000</v>
      </c>
      <c r="AI269" s="106"/>
    </row>
    <row r="270" spans="1:35" ht="18.75" x14ac:dyDescent="0.3">
      <c r="A270" s="106"/>
      <c r="B270" s="106"/>
      <c r="C270" s="116"/>
      <c r="D270" s="128"/>
      <c r="E270" s="116"/>
      <c r="F270" s="128"/>
      <c r="G270" s="128"/>
      <c r="H270" s="128"/>
      <c r="I270" s="128"/>
      <c r="J270" s="128"/>
      <c r="K270" s="113"/>
      <c r="L270" s="127"/>
      <c r="M270" s="127"/>
      <c r="N270" s="127"/>
      <c r="O270" s="127"/>
      <c r="P270" s="113"/>
      <c r="Q270" s="113"/>
      <c r="R270" s="113"/>
      <c r="S270" s="113"/>
      <c r="T270" s="113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</row>
    <row r="271" spans="1:35" ht="18.75" x14ac:dyDescent="0.3">
      <c r="A271" s="106"/>
      <c r="B271" s="106"/>
      <c r="C271" s="116"/>
      <c r="D271" s="128"/>
      <c r="E271" s="116"/>
      <c r="F271" s="128"/>
      <c r="G271" s="128"/>
      <c r="H271" s="128"/>
      <c r="I271" s="128"/>
      <c r="J271" s="128"/>
      <c r="K271" s="113"/>
      <c r="L271" s="148"/>
      <c r="M271" s="148"/>
      <c r="N271" s="148"/>
      <c r="O271" s="148"/>
      <c r="P271" s="113"/>
      <c r="Q271" s="113"/>
      <c r="R271" s="113"/>
      <c r="S271" s="113"/>
      <c r="T271" s="113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</row>
    <row r="272" spans="1:35" ht="18.75" x14ac:dyDescent="0.3">
      <c r="A272" s="106"/>
      <c r="B272" s="106"/>
      <c r="C272" s="116"/>
      <c r="D272" s="116"/>
      <c r="E272" s="116"/>
      <c r="F272" s="116"/>
      <c r="G272" s="116"/>
      <c r="H272" s="116"/>
      <c r="I272" s="116"/>
      <c r="J272" s="116"/>
      <c r="K272" s="127"/>
      <c r="L272" s="127"/>
      <c r="M272" s="127"/>
      <c r="N272" s="127"/>
      <c r="O272" s="127"/>
      <c r="P272" s="113"/>
      <c r="Q272" s="113"/>
      <c r="R272" s="113"/>
      <c r="S272" s="113"/>
      <c r="T272" s="113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</row>
    <row r="273" spans="1:35" ht="18.75" x14ac:dyDescent="0.3">
      <c r="A273" s="106"/>
      <c r="B273" s="106"/>
      <c r="C273" s="116"/>
      <c r="D273" s="116"/>
      <c r="E273" s="116"/>
      <c r="F273" s="116"/>
      <c r="G273" s="116"/>
      <c r="H273" s="116"/>
      <c r="I273" s="116"/>
      <c r="J273" s="116"/>
      <c r="K273" s="127"/>
      <c r="L273" s="127"/>
      <c r="M273" s="127"/>
      <c r="N273" s="127"/>
      <c r="O273" s="127"/>
      <c r="P273" s="113"/>
      <c r="Q273" s="113"/>
      <c r="R273" s="113"/>
      <c r="S273" s="113"/>
      <c r="T273" s="113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</row>
    <row r="274" spans="1:35" ht="18.75" x14ac:dyDescent="0.3">
      <c r="A274" s="106"/>
      <c r="B274" s="106" t="s">
        <v>262</v>
      </c>
      <c r="C274" s="117">
        <f>SUM(C268:C273)</f>
        <v>0</v>
      </c>
      <c r="D274" s="125">
        <f>SUM(D268:D273)</f>
        <v>0</v>
      </c>
      <c r="E274" s="117">
        <f>SUM(E268:E273)</f>
        <v>52500000</v>
      </c>
      <c r="F274" s="125">
        <f>SUM(F268:F273)</f>
        <v>0</v>
      </c>
      <c r="G274" s="125">
        <f>SUM(G268:G273)</f>
        <v>0.65</v>
      </c>
      <c r="H274" s="125"/>
      <c r="I274" s="125"/>
      <c r="J274" s="125"/>
      <c r="K274" s="125">
        <f>SUM(K268:K273)</f>
        <v>0</v>
      </c>
      <c r="L274" s="127"/>
      <c r="M274" s="127"/>
      <c r="N274" s="127"/>
      <c r="O274" s="127"/>
      <c r="P274" s="113"/>
      <c r="Q274" s="113"/>
      <c r="R274" s="113"/>
      <c r="S274" s="113"/>
      <c r="T274" s="113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</row>
    <row r="275" spans="1:35" ht="18.75" x14ac:dyDescent="0.3">
      <c r="A275" s="106"/>
      <c r="B275" s="106"/>
      <c r="C275" s="106"/>
      <c r="D275" s="106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</row>
    <row r="276" spans="1:35" ht="18.75" x14ac:dyDescent="0.3">
      <c r="A276" s="106"/>
      <c r="B276" s="117"/>
      <c r="C276" s="104"/>
      <c r="D276" s="106"/>
      <c r="E276" s="113"/>
      <c r="F276" s="105"/>
      <c r="G276" s="113"/>
      <c r="H276" s="113"/>
      <c r="I276" s="113"/>
      <c r="J276" s="113"/>
      <c r="K276" s="113"/>
      <c r="L276" s="113"/>
      <c r="M276" s="113"/>
      <c r="N276" s="113"/>
      <c r="O276" s="113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</row>
    <row r="277" spans="1:35" ht="18.75" x14ac:dyDescent="0.3">
      <c r="A277" s="106"/>
      <c r="B277" s="113"/>
      <c r="C277" s="106"/>
      <c r="D277" s="106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</row>
    <row r="278" spans="1:35" ht="18.75" x14ac:dyDescent="0.3">
      <c r="A278" s="106"/>
      <c r="B278" s="113"/>
      <c r="C278" s="106"/>
      <c r="D278" s="106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</row>
    <row r="279" spans="1:35" ht="18.75" x14ac:dyDescent="0.3">
      <c r="A279" s="106"/>
      <c r="B279" s="113"/>
      <c r="C279" s="106"/>
      <c r="D279" s="106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</row>
    <row r="280" spans="1:35" ht="18.75" x14ac:dyDescent="0.3">
      <c r="A280" s="106"/>
      <c r="B280" s="113"/>
      <c r="C280" s="104"/>
      <c r="D280" s="106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</row>
    <row r="281" spans="1:35" ht="18.75" x14ac:dyDescent="0.3">
      <c r="A281" s="106"/>
      <c r="B281" s="113"/>
      <c r="C281" s="106"/>
      <c r="D281" s="106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</row>
    <row r="282" spans="1:35" ht="18.75" x14ac:dyDescent="0.3">
      <c r="A282" s="106"/>
      <c r="B282" s="113"/>
      <c r="C282" s="106"/>
      <c r="D282" s="106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</row>
    <row r="283" spans="1:35" ht="18.75" x14ac:dyDescent="0.3">
      <c r="A283" s="106"/>
      <c r="B283" s="113"/>
      <c r="C283" s="106"/>
      <c r="D283" s="106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</row>
    <row r="284" spans="1:35" ht="18.75" x14ac:dyDescent="0.3">
      <c r="A284" s="106"/>
      <c r="B284" s="113"/>
      <c r="C284" s="106"/>
      <c r="D284" s="106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</row>
    <row r="285" spans="1:35" ht="18.75" x14ac:dyDescent="0.3">
      <c r="A285" s="106"/>
      <c r="B285" s="117"/>
      <c r="C285" s="106"/>
      <c r="D285" s="106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</row>
    <row r="286" spans="1:35" ht="18.75" x14ac:dyDescent="0.3">
      <c r="A286" s="106"/>
      <c r="B286" s="106"/>
      <c r="C286" s="106"/>
      <c r="D286" s="106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</row>
    <row r="287" spans="1:35" ht="18.75" x14ac:dyDescent="0.3">
      <c r="A287" s="106"/>
      <c r="B287" s="106"/>
      <c r="C287" s="106"/>
      <c r="D287" s="106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</row>
    <row r="288" spans="1:35" ht="18.75" x14ac:dyDescent="0.3">
      <c r="A288" s="106"/>
      <c r="B288" s="106"/>
      <c r="C288" s="106"/>
      <c r="D288" s="106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</row>
    <row r="289" spans="1:35" ht="18.75" x14ac:dyDescent="0.3">
      <c r="A289" s="106"/>
      <c r="B289" s="106"/>
      <c r="C289" s="106"/>
      <c r="D289" s="106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</row>
    <row r="290" spans="1:35" ht="18.75" x14ac:dyDescent="0.3">
      <c r="A290" s="106"/>
      <c r="B290" s="106"/>
      <c r="C290" s="106"/>
      <c r="D290" s="106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</row>
    <row r="291" spans="1:35" ht="18.75" x14ac:dyDescent="0.3">
      <c r="A291" s="106"/>
      <c r="B291" s="106"/>
      <c r="C291" s="106"/>
      <c r="D291" s="106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</row>
    <row r="292" spans="1:35" ht="18.75" x14ac:dyDescent="0.3">
      <c r="A292" s="106"/>
      <c r="B292" s="106"/>
      <c r="C292" s="106"/>
      <c r="D292" s="106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</row>
    <row r="293" spans="1:35" ht="18.75" x14ac:dyDescent="0.3">
      <c r="A293" s="106"/>
      <c r="B293" s="106"/>
      <c r="C293" s="106"/>
      <c r="D293" s="106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</row>
    <row r="294" spans="1:35" ht="18.75" x14ac:dyDescent="0.3">
      <c r="A294" s="106"/>
      <c r="B294" s="106"/>
      <c r="C294" s="106"/>
      <c r="D294" s="106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</row>
    <row r="295" spans="1:35" ht="18.75" x14ac:dyDescent="0.3">
      <c r="A295" s="106"/>
      <c r="B295" s="106"/>
      <c r="C295" s="106"/>
      <c r="D295" s="106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</row>
    <row r="296" spans="1:35" ht="18.75" x14ac:dyDescent="0.3">
      <c r="A296" s="106"/>
      <c r="B296" s="106"/>
      <c r="C296" s="106"/>
      <c r="D296" s="106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</row>
    <row r="297" spans="1:35" ht="18.75" x14ac:dyDescent="0.3">
      <c r="A297" s="106"/>
      <c r="B297" s="106"/>
      <c r="C297" s="106"/>
      <c r="D297" s="106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</row>
    <row r="298" spans="1:35" ht="18.75" x14ac:dyDescent="0.3">
      <c r="A298" s="106"/>
      <c r="B298" s="106"/>
      <c r="C298" s="106"/>
      <c r="D298" s="106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</row>
    <row r="299" spans="1:35" ht="18.75" x14ac:dyDescent="0.3">
      <c r="A299" s="106"/>
      <c r="B299" s="106"/>
      <c r="C299" s="106"/>
      <c r="D299" s="106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</row>
    <row r="300" spans="1:35" ht="18.75" x14ac:dyDescent="0.3">
      <c r="A300" s="106"/>
      <c r="B300" s="106"/>
      <c r="C300" s="106"/>
      <c r="D300" s="106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</row>
    <row r="301" spans="1:35" ht="18.75" x14ac:dyDescent="0.3">
      <c r="A301" s="106"/>
      <c r="B301" s="106"/>
      <c r="C301" s="106"/>
      <c r="D301" s="106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</row>
    <row r="302" spans="1:35" ht="18.75" x14ac:dyDescent="0.3">
      <c r="A302" s="106"/>
      <c r="B302" s="106"/>
      <c r="C302" s="106"/>
      <c r="D302" s="106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</row>
    <row r="303" spans="1:35" ht="18.75" x14ac:dyDescent="0.3">
      <c r="A303" s="106"/>
      <c r="B303" s="106"/>
      <c r="C303" s="106"/>
      <c r="D303" s="106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</row>
    <row r="304" spans="1:35" ht="18.75" x14ac:dyDescent="0.3">
      <c r="A304" s="106"/>
      <c r="B304" s="106"/>
      <c r="C304" s="106"/>
      <c r="D304" s="106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</row>
    <row r="305" spans="1:35" ht="18.75" x14ac:dyDescent="0.3">
      <c r="A305" s="106"/>
      <c r="B305" s="106"/>
      <c r="C305" s="106"/>
      <c r="D305" s="106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</row>
    <row r="306" spans="1:35" ht="18.75" x14ac:dyDescent="0.3">
      <c r="A306" s="106"/>
      <c r="B306" s="106"/>
      <c r="C306" s="106"/>
      <c r="D306" s="106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</row>
    <row r="307" spans="1:35" ht="18.75" x14ac:dyDescent="0.3">
      <c r="A307" s="106"/>
      <c r="B307" s="106"/>
      <c r="C307" s="106"/>
      <c r="D307" s="106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</row>
    <row r="308" spans="1:35" ht="18.75" x14ac:dyDescent="0.3">
      <c r="A308" s="106"/>
      <c r="B308" s="106"/>
      <c r="C308" s="106"/>
      <c r="D308" s="106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</row>
    <row r="309" spans="1:35" ht="18.75" x14ac:dyDescent="0.3">
      <c r="A309" s="106"/>
      <c r="B309" s="106"/>
      <c r="C309" s="106"/>
      <c r="D309" s="106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</row>
    <row r="310" spans="1:35" ht="18.75" x14ac:dyDescent="0.3">
      <c r="A310" s="106"/>
      <c r="B310" s="106"/>
      <c r="C310" s="106"/>
      <c r="D310" s="106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</row>
    <row r="311" spans="1:35" ht="18.75" x14ac:dyDescent="0.3">
      <c r="A311" s="106"/>
      <c r="B311" s="106"/>
      <c r="C311" s="106"/>
      <c r="D311" s="106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</row>
    <row r="312" spans="1:35" ht="18.75" x14ac:dyDescent="0.3">
      <c r="A312" s="106"/>
      <c r="B312" s="106"/>
      <c r="C312" s="106"/>
      <c r="D312" s="106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</row>
    <row r="313" spans="1:35" ht="18.75" x14ac:dyDescent="0.3">
      <c r="A313" s="106"/>
      <c r="B313" s="106"/>
      <c r="C313" s="106"/>
      <c r="D313" s="106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</row>
    <row r="314" spans="1:35" ht="18.75" x14ac:dyDescent="0.3">
      <c r="A314" s="106"/>
      <c r="B314" s="106"/>
      <c r="C314" s="106"/>
      <c r="D314" s="106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</row>
    <row r="315" spans="1:35" ht="18.75" x14ac:dyDescent="0.3">
      <c r="A315" s="106"/>
      <c r="B315" s="106"/>
      <c r="C315" s="106"/>
      <c r="D315" s="106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</row>
    <row r="316" spans="1:35" ht="18.75" x14ac:dyDescent="0.3">
      <c r="A316" s="106"/>
      <c r="B316" s="106"/>
      <c r="C316" s="106"/>
      <c r="D316" s="106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</row>
    <row r="317" spans="1:35" ht="18.75" x14ac:dyDescent="0.3">
      <c r="A317" s="106"/>
      <c r="B317" s="106"/>
      <c r="C317" s="106"/>
      <c r="D317" s="106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</row>
    <row r="318" spans="1:35" ht="18.75" x14ac:dyDescent="0.3">
      <c r="A318" s="106"/>
      <c r="B318" s="106"/>
      <c r="C318" s="106"/>
      <c r="D318" s="106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</row>
    <row r="319" spans="1:35" ht="18.75" x14ac:dyDescent="0.3">
      <c r="A319" s="106"/>
      <c r="B319" s="106"/>
      <c r="C319" s="106"/>
      <c r="D319" s="106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</row>
    <row r="320" spans="1:35" ht="18.75" x14ac:dyDescent="0.3">
      <c r="A320" s="106"/>
      <c r="B320" s="106"/>
      <c r="C320" s="106"/>
      <c r="D320" s="106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</row>
    <row r="321" spans="1:35" ht="18.75" x14ac:dyDescent="0.3">
      <c r="A321" s="106"/>
      <c r="B321" s="106"/>
      <c r="C321" s="106"/>
      <c r="D321" s="106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</row>
    <row r="322" spans="1:35" ht="18.75" x14ac:dyDescent="0.3">
      <c r="A322" s="106"/>
      <c r="B322" s="106"/>
      <c r="C322" s="106"/>
      <c r="D322" s="106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</row>
    <row r="323" spans="1:35" ht="18.75" x14ac:dyDescent="0.3">
      <c r="A323" s="106"/>
      <c r="B323" s="106"/>
      <c r="C323" s="106"/>
      <c r="D323" s="106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</row>
    <row r="324" spans="1:35" ht="18.75" x14ac:dyDescent="0.3">
      <c r="A324" s="106"/>
      <c r="B324" s="106"/>
      <c r="C324" s="106"/>
      <c r="D324" s="106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</row>
    <row r="325" spans="1:35" ht="18.75" x14ac:dyDescent="0.3">
      <c r="A325" s="106"/>
      <c r="B325" s="106"/>
      <c r="C325" s="106"/>
      <c r="D325" s="106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</row>
    <row r="326" spans="1:35" ht="18.75" x14ac:dyDescent="0.3">
      <c r="A326" s="106"/>
      <c r="B326" s="106"/>
      <c r="C326" s="106"/>
      <c r="D326" s="106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</row>
    <row r="327" spans="1:35" ht="18.75" x14ac:dyDescent="0.3">
      <c r="A327" s="106"/>
      <c r="B327" s="106"/>
      <c r="C327" s="106"/>
      <c r="D327" s="106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</row>
    <row r="328" spans="1:35" ht="18.75" x14ac:dyDescent="0.3">
      <c r="A328" s="106"/>
      <c r="B328" s="106"/>
      <c r="C328" s="106"/>
      <c r="D328" s="106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</row>
    <row r="329" spans="1:35" ht="18.75" x14ac:dyDescent="0.3">
      <c r="A329" s="106"/>
      <c r="B329" s="106"/>
      <c r="C329" s="106"/>
      <c r="D329" s="106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</row>
    <row r="330" spans="1:35" ht="18.75" x14ac:dyDescent="0.3">
      <c r="A330" s="106"/>
      <c r="B330" s="106"/>
      <c r="C330" s="106"/>
      <c r="D330" s="106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</row>
    <row r="331" spans="1:35" ht="18.75" x14ac:dyDescent="0.3">
      <c r="A331" s="106"/>
      <c r="B331" s="106"/>
      <c r="C331" s="106"/>
      <c r="D331" s="106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</row>
    <row r="332" spans="1:35" ht="18.75" x14ac:dyDescent="0.3">
      <c r="A332" s="106"/>
      <c r="B332" s="106"/>
      <c r="C332" s="106"/>
      <c r="D332" s="106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</row>
    <row r="333" spans="1:35" ht="18.75" x14ac:dyDescent="0.3">
      <c r="A333" s="106"/>
      <c r="B333" s="106"/>
      <c r="C333" s="106"/>
      <c r="D333" s="106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</row>
    <row r="334" spans="1:35" ht="18.75" x14ac:dyDescent="0.3">
      <c r="A334" s="106"/>
      <c r="B334" s="106"/>
      <c r="C334" s="106"/>
      <c r="D334" s="106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</row>
    <row r="335" spans="1:35" ht="18.75" x14ac:dyDescent="0.3">
      <c r="A335" s="106"/>
      <c r="B335" s="106"/>
      <c r="C335" s="106"/>
      <c r="D335" s="106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</row>
    <row r="336" spans="1:35" ht="18.75" x14ac:dyDescent="0.3">
      <c r="A336" s="106"/>
      <c r="B336" s="106"/>
      <c r="C336" s="106"/>
      <c r="D336" s="106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</row>
    <row r="337" spans="1:35" ht="18.75" x14ac:dyDescent="0.3">
      <c r="A337" s="106"/>
      <c r="B337" s="106"/>
      <c r="C337" s="106"/>
      <c r="D337" s="106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</row>
    <row r="338" spans="1:35" ht="18.75" x14ac:dyDescent="0.3">
      <c r="A338" s="106"/>
      <c r="B338" s="106"/>
      <c r="C338" s="106"/>
      <c r="D338" s="106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</row>
    <row r="339" spans="1:35" ht="18.75" x14ac:dyDescent="0.3">
      <c r="A339" s="106"/>
      <c r="B339" s="106"/>
      <c r="C339" s="106"/>
      <c r="D339" s="106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</row>
    <row r="340" spans="1:35" ht="18.75" x14ac:dyDescent="0.3">
      <c r="A340" s="106"/>
      <c r="B340" s="106"/>
      <c r="C340" s="106"/>
      <c r="D340" s="106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</row>
    <row r="341" spans="1:35" ht="18.75" x14ac:dyDescent="0.3">
      <c r="A341" s="106"/>
      <c r="B341" s="106"/>
      <c r="C341" s="106"/>
      <c r="D341" s="106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</row>
    <row r="342" spans="1:35" ht="18.75" x14ac:dyDescent="0.3">
      <c r="A342" s="106"/>
      <c r="B342" s="106"/>
      <c r="C342" s="106"/>
      <c r="D342" s="106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</row>
    <row r="343" spans="1:35" ht="18.75" x14ac:dyDescent="0.3">
      <c r="A343" s="106"/>
      <c r="B343" s="106"/>
      <c r="C343" s="106"/>
      <c r="D343" s="106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</row>
    <row r="344" spans="1:35" ht="18.75" x14ac:dyDescent="0.3">
      <c r="A344" s="106"/>
      <c r="B344" s="106"/>
      <c r="C344" s="106"/>
      <c r="D344" s="106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</row>
    <row r="345" spans="1:35" ht="18.75" x14ac:dyDescent="0.3">
      <c r="A345" s="106"/>
      <c r="B345" s="106"/>
      <c r="C345" s="106"/>
      <c r="D345" s="106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</row>
    <row r="346" spans="1:35" ht="18.75" x14ac:dyDescent="0.3">
      <c r="A346" s="106"/>
      <c r="B346" s="106"/>
      <c r="C346" s="106"/>
      <c r="D346" s="106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</row>
    <row r="347" spans="1:35" ht="18.75" x14ac:dyDescent="0.3">
      <c r="A347" s="106"/>
      <c r="B347" s="106"/>
      <c r="C347" s="106"/>
      <c r="D347" s="106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</row>
    <row r="348" spans="1:35" ht="18.75" x14ac:dyDescent="0.3">
      <c r="A348" s="106"/>
      <c r="B348" s="106"/>
      <c r="C348" s="106"/>
      <c r="D348" s="106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</row>
    <row r="349" spans="1:35" ht="18.75" x14ac:dyDescent="0.3">
      <c r="A349" s="106"/>
      <c r="B349" s="106"/>
      <c r="C349" s="106"/>
      <c r="D349" s="106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</row>
    <row r="350" spans="1:35" ht="18.75" x14ac:dyDescent="0.3">
      <c r="A350" s="106"/>
      <c r="B350" s="106"/>
      <c r="C350" s="106"/>
      <c r="D350" s="106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</row>
    <row r="351" spans="1:35" ht="18.75" x14ac:dyDescent="0.3">
      <c r="A351" s="106"/>
      <c r="B351" s="106"/>
      <c r="C351" s="106"/>
      <c r="D351" s="106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</row>
    <row r="352" spans="1:35" ht="18.75" x14ac:dyDescent="0.3">
      <c r="A352" s="106"/>
      <c r="B352" s="106"/>
      <c r="C352" s="106"/>
      <c r="D352" s="106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</row>
    <row r="353" spans="1:35" ht="18.75" x14ac:dyDescent="0.3">
      <c r="A353" s="106"/>
      <c r="B353" s="106"/>
      <c r="C353" s="106"/>
      <c r="D353" s="106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</row>
    <row r="354" spans="1:35" ht="18.75" x14ac:dyDescent="0.3">
      <c r="A354" s="106"/>
      <c r="B354" s="106"/>
      <c r="C354" s="106"/>
      <c r="D354" s="106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</row>
    <row r="355" spans="1:35" ht="18.75" x14ac:dyDescent="0.3">
      <c r="A355" s="106"/>
      <c r="B355" s="106"/>
      <c r="C355" s="106"/>
      <c r="D355" s="106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</row>
    <row r="356" spans="1:35" ht="18.75" x14ac:dyDescent="0.3">
      <c r="A356" s="106"/>
      <c r="B356" s="106"/>
      <c r="C356" s="106"/>
      <c r="D356" s="106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</row>
    <row r="357" spans="1:35" ht="18.75" x14ac:dyDescent="0.3">
      <c r="A357" s="106"/>
      <c r="B357" s="106"/>
      <c r="C357" s="106"/>
      <c r="D357" s="106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</row>
    <row r="358" spans="1:35" ht="18.75" x14ac:dyDescent="0.3">
      <c r="A358" s="106"/>
      <c r="B358" s="106"/>
      <c r="C358" s="106"/>
      <c r="D358" s="106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</row>
    <row r="359" spans="1:35" ht="18.75" x14ac:dyDescent="0.3">
      <c r="A359" s="106"/>
      <c r="B359" s="106"/>
      <c r="C359" s="106"/>
      <c r="D359" s="106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</row>
    <row r="360" spans="1:35" ht="18.75" x14ac:dyDescent="0.3">
      <c r="A360" s="106"/>
      <c r="B360" s="106"/>
      <c r="C360" s="106"/>
      <c r="D360" s="106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</row>
    <row r="361" spans="1:35" ht="18.75" x14ac:dyDescent="0.3">
      <c r="A361" s="106"/>
      <c r="B361" s="106"/>
      <c r="C361" s="106"/>
      <c r="D361" s="106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</row>
    <row r="362" spans="1:35" ht="18.75" x14ac:dyDescent="0.3">
      <c r="A362" s="106"/>
      <c r="B362" s="106"/>
      <c r="C362" s="106"/>
      <c r="D362" s="106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</row>
    <row r="363" spans="1:35" ht="18.75" x14ac:dyDescent="0.3">
      <c r="A363" s="106"/>
      <c r="B363" s="106"/>
      <c r="C363" s="106"/>
      <c r="D363" s="106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</row>
    <row r="364" spans="1:35" ht="18.75" x14ac:dyDescent="0.3">
      <c r="A364" s="106"/>
      <c r="B364" s="106"/>
      <c r="C364" s="106"/>
      <c r="D364" s="106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</row>
    <row r="365" spans="1:35" ht="18.75" x14ac:dyDescent="0.3">
      <c r="A365" s="106"/>
      <c r="B365" s="106"/>
      <c r="C365" s="106"/>
      <c r="D365" s="106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</row>
    <row r="366" spans="1:35" ht="18.75" x14ac:dyDescent="0.3">
      <c r="A366" s="106"/>
      <c r="B366" s="106"/>
      <c r="C366" s="106"/>
      <c r="D366" s="106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</row>
    <row r="367" spans="1:35" ht="18.75" x14ac:dyDescent="0.3">
      <c r="A367" s="106"/>
      <c r="B367" s="106"/>
      <c r="C367" s="106"/>
      <c r="D367" s="106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</row>
    <row r="368" spans="1:35" ht="18.75" x14ac:dyDescent="0.3">
      <c r="A368" s="106"/>
      <c r="B368" s="106"/>
      <c r="C368" s="106"/>
      <c r="D368" s="106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</row>
    <row r="369" spans="1:35" ht="18.75" x14ac:dyDescent="0.3">
      <c r="A369" s="106"/>
      <c r="B369" s="106"/>
      <c r="C369" s="106"/>
      <c r="D369" s="106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</row>
    <row r="370" spans="1:35" ht="18.75" x14ac:dyDescent="0.3">
      <c r="A370" s="106"/>
      <c r="B370" s="106"/>
      <c r="C370" s="106"/>
      <c r="D370" s="106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</row>
    <row r="371" spans="1:35" ht="18.75" x14ac:dyDescent="0.3">
      <c r="A371" s="106"/>
      <c r="B371" s="106"/>
      <c r="C371" s="106"/>
      <c r="D371" s="106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</row>
    <row r="372" spans="1:35" ht="18.75" x14ac:dyDescent="0.3">
      <c r="A372" s="106"/>
      <c r="B372" s="106"/>
      <c r="C372" s="106"/>
      <c r="D372" s="106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</row>
    <row r="373" spans="1:35" ht="18.75" x14ac:dyDescent="0.3">
      <c r="A373" s="106"/>
      <c r="B373" s="106"/>
      <c r="C373" s="106"/>
      <c r="D373" s="106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</row>
    <row r="374" spans="1:35" ht="18.75" x14ac:dyDescent="0.3">
      <c r="A374" s="106"/>
      <c r="B374" s="106"/>
      <c r="C374" s="106"/>
      <c r="D374" s="106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</row>
    <row r="375" spans="1:35" ht="18.75" x14ac:dyDescent="0.3">
      <c r="A375" s="106"/>
      <c r="B375" s="106"/>
      <c r="C375" s="106"/>
      <c r="D375" s="106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</row>
    <row r="376" spans="1:35" ht="18.75" x14ac:dyDescent="0.3">
      <c r="A376" s="106"/>
      <c r="B376" s="106"/>
      <c r="C376" s="106"/>
      <c r="D376" s="106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</row>
    <row r="377" spans="1:35" ht="18.75" x14ac:dyDescent="0.3">
      <c r="A377" s="106"/>
      <c r="B377" s="106"/>
      <c r="C377" s="106"/>
      <c r="D377" s="106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</row>
    <row r="378" spans="1:35" ht="18.75" x14ac:dyDescent="0.3">
      <c r="A378" s="106"/>
      <c r="B378" s="106"/>
      <c r="C378" s="106"/>
      <c r="D378" s="106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</row>
    <row r="379" spans="1:35" ht="18.75" x14ac:dyDescent="0.3">
      <c r="A379" s="106"/>
      <c r="B379" s="106"/>
      <c r="C379" s="106"/>
      <c r="D379" s="106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</row>
    <row r="380" spans="1:35" ht="18.75" x14ac:dyDescent="0.3">
      <c r="A380" s="106"/>
      <c r="B380" s="106"/>
      <c r="C380" s="106"/>
      <c r="D380" s="106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</row>
    <row r="381" spans="1:35" ht="18.75" x14ac:dyDescent="0.3">
      <c r="A381" s="106"/>
      <c r="B381" s="106"/>
      <c r="C381" s="106"/>
      <c r="D381" s="106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</row>
    <row r="382" spans="1:35" ht="18.75" x14ac:dyDescent="0.3">
      <c r="A382" s="106"/>
      <c r="B382" s="106"/>
      <c r="C382" s="106"/>
      <c r="D382" s="106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</row>
    <row r="383" spans="1:35" ht="18.75" x14ac:dyDescent="0.3">
      <c r="A383" s="106"/>
      <c r="B383" s="106"/>
      <c r="C383" s="106"/>
      <c r="D383" s="106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</row>
    <row r="384" spans="1:35" ht="18.75" x14ac:dyDescent="0.3">
      <c r="A384" s="106"/>
      <c r="B384" s="106"/>
      <c r="C384" s="106"/>
      <c r="D384" s="106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</row>
    <row r="385" spans="1:35" ht="18.75" x14ac:dyDescent="0.3">
      <c r="A385" s="106"/>
      <c r="B385" s="106"/>
      <c r="C385" s="106"/>
      <c r="D385" s="106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</row>
    <row r="386" spans="1:35" ht="18.75" x14ac:dyDescent="0.3">
      <c r="A386" s="106"/>
      <c r="B386" s="106"/>
      <c r="C386" s="106"/>
      <c r="D386" s="106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</row>
    <row r="387" spans="1:35" ht="18.75" x14ac:dyDescent="0.3">
      <c r="A387" s="106"/>
      <c r="B387" s="106"/>
      <c r="C387" s="106"/>
      <c r="D387" s="106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</row>
    <row r="388" spans="1:35" ht="18.75" x14ac:dyDescent="0.3">
      <c r="A388" s="106"/>
      <c r="B388" s="106"/>
      <c r="C388" s="106"/>
      <c r="D388" s="106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</row>
    <row r="389" spans="1:35" ht="18.75" x14ac:dyDescent="0.3">
      <c r="A389" s="106"/>
      <c r="B389" s="106"/>
      <c r="C389" s="106"/>
      <c r="D389" s="106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</row>
    <row r="390" spans="1:35" ht="18.75" x14ac:dyDescent="0.3">
      <c r="A390" s="106"/>
      <c r="B390" s="106"/>
      <c r="C390" s="106"/>
      <c r="D390" s="106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</row>
    <row r="391" spans="1:35" ht="18.75" x14ac:dyDescent="0.3">
      <c r="A391" s="106"/>
      <c r="B391" s="106"/>
      <c r="C391" s="106"/>
      <c r="D391" s="106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</row>
    <row r="392" spans="1:35" ht="18.75" x14ac:dyDescent="0.3">
      <c r="A392" s="106"/>
      <c r="B392" s="106"/>
      <c r="C392" s="106"/>
      <c r="D392" s="106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</row>
    <row r="393" spans="1:35" ht="18.75" x14ac:dyDescent="0.3">
      <c r="A393" s="106"/>
      <c r="B393" s="106"/>
      <c r="C393" s="106"/>
      <c r="D393" s="106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</row>
    <row r="394" spans="1:35" ht="18.75" x14ac:dyDescent="0.3">
      <c r="A394" s="106"/>
      <c r="B394" s="106"/>
      <c r="C394" s="106"/>
      <c r="D394" s="106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</row>
    <row r="395" spans="1:35" ht="18.75" x14ac:dyDescent="0.3">
      <c r="A395" s="106"/>
      <c r="B395" s="106"/>
      <c r="C395" s="106"/>
      <c r="D395" s="106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</row>
    <row r="396" spans="1:35" ht="18.75" x14ac:dyDescent="0.3">
      <c r="A396" s="106"/>
      <c r="B396" s="106"/>
      <c r="C396" s="106"/>
      <c r="D396" s="106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</row>
    <row r="397" spans="1:35" ht="18.75" x14ac:dyDescent="0.3">
      <c r="A397" s="106"/>
      <c r="B397" s="106"/>
      <c r="C397" s="106"/>
      <c r="D397" s="106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</row>
    <row r="398" spans="1:35" ht="18.75" x14ac:dyDescent="0.3">
      <c r="A398" s="106"/>
      <c r="B398" s="106"/>
      <c r="C398" s="106"/>
      <c r="D398" s="106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</row>
    <row r="399" spans="1:35" ht="18.75" x14ac:dyDescent="0.3">
      <c r="A399" s="106"/>
      <c r="B399" s="106"/>
      <c r="C399" s="106"/>
      <c r="D399" s="106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</row>
    <row r="400" spans="1:35" ht="18.75" x14ac:dyDescent="0.3">
      <c r="A400" s="106"/>
      <c r="B400" s="106"/>
      <c r="C400" s="106"/>
      <c r="D400" s="106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</row>
    <row r="401" spans="1:35" ht="18.75" x14ac:dyDescent="0.3">
      <c r="A401" s="106"/>
      <c r="B401" s="106"/>
      <c r="C401" s="106"/>
      <c r="D401" s="106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</row>
    <row r="402" spans="1:35" ht="18.75" x14ac:dyDescent="0.3">
      <c r="A402" s="106"/>
      <c r="B402" s="106"/>
      <c r="C402" s="106"/>
      <c r="D402" s="106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</row>
    <row r="403" spans="1:35" ht="18.75" x14ac:dyDescent="0.3">
      <c r="A403" s="106"/>
      <c r="B403" s="106"/>
      <c r="C403" s="106"/>
      <c r="D403" s="106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</row>
    <row r="404" spans="1:35" ht="18.75" x14ac:dyDescent="0.3">
      <c r="A404" s="106"/>
      <c r="B404" s="106"/>
      <c r="C404" s="106"/>
      <c r="D404" s="106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</row>
    <row r="405" spans="1:35" ht="18.75" x14ac:dyDescent="0.3">
      <c r="A405" s="106"/>
      <c r="B405" s="106"/>
      <c r="C405" s="106"/>
      <c r="D405" s="106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</row>
    <row r="406" spans="1:35" ht="18.75" x14ac:dyDescent="0.3">
      <c r="A406" s="106"/>
      <c r="B406" s="106"/>
      <c r="C406" s="106"/>
      <c r="D406" s="106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</row>
    <row r="407" spans="1:35" ht="18.75" x14ac:dyDescent="0.3">
      <c r="A407" s="106"/>
      <c r="B407" s="106"/>
      <c r="C407" s="106"/>
      <c r="D407" s="106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</row>
    <row r="408" spans="1:35" ht="18.75" x14ac:dyDescent="0.3">
      <c r="A408" s="106"/>
      <c r="B408" s="106"/>
      <c r="C408" s="106"/>
      <c r="D408" s="106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</row>
    <row r="409" spans="1:35" ht="18.75" x14ac:dyDescent="0.3">
      <c r="A409" s="106"/>
      <c r="B409" s="106"/>
      <c r="C409" s="106"/>
      <c r="D409" s="106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</row>
    <row r="410" spans="1:35" ht="18.75" x14ac:dyDescent="0.3">
      <c r="A410" s="106"/>
      <c r="B410" s="106"/>
      <c r="C410" s="106"/>
      <c r="D410" s="106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</row>
    <row r="411" spans="1:35" ht="18.75" x14ac:dyDescent="0.3">
      <c r="A411" s="106"/>
      <c r="B411" s="106"/>
      <c r="C411" s="106"/>
      <c r="D411" s="106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</row>
    <row r="412" spans="1:35" ht="18.75" x14ac:dyDescent="0.3">
      <c r="A412" s="106"/>
      <c r="B412" s="106"/>
      <c r="C412" s="106"/>
      <c r="D412" s="106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</row>
    <row r="413" spans="1:35" ht="18.75" x14ac:dyDescent="0.3">
      <c r="A413" s="106"/>
      <c r="B413" s="106"/>
      <c r="C413" s="106"/>
      <c r="D413" s="106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</row>
    <row r="414" spans="1:35" ht="18.75" x14ac:dyDescent="0.3">
      <c r="A414" s="106"/>
      <c r="B414" s="106"/>
      <c r="C414" s="106"/>
      <c r="D414" s="106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</row>
    <row r="415" spans="1:35" ht="18.75" x14ac:dyDescent="0.3">
      <c r="A415" s="106"/>
      <c r="B415" s="106"/>
      <c r="C415" s="106"/>
      <c r="D415" s="106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</row>
    <row r="416" spans="1:35" ht="18.75" x14ac:dyDescent="0.3">
      <c r="A416" s="106"/>
      <c r="B416" s="106"/>
      <c r="C416" s="106"/>
      <c r="D416" s="106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</row>
    <row r="417" spans="1:35" ht="18.75" x14ac:dyDescent="0.3">
      <c r="A417" s="106"/>
      <c r="B417" s="106"/>
      <c r="C417" s="106"/>
      <c r="D417" s="106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</row>
    <row r="418" spans="1:35" ht="18.75" x14ac:dyDescent="0.3">
      <c r="A418" s="106"/>
      <c r="B418" s="106"/>
      <c r="C418" s="106"/>
      <c r="D418" s="106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</row>
    <row r="419" spans="1:35" ht="18.75" x14ac:dyDescent="0.3">
      <c r="A419" s="106"/>
      <c r="B419" s="106"/>
      <c r="C419" s="106"/>
      <c r="D419" s="106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</row>
    <row r="420" spans="1:35" ht="18.75" x14ac:dyDescent="0.3">
      <c r="A420" s="106"/>
      <c r="B420" s="106"/>
      <c r="C420" s="106"/>
      <c r="D420" s="106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</row>
    <row r="421" spans="1:35" ht="18.75" x14ac:dyDescent="0.3">
      <c r="A421" s="106"/>
      <c r="B421" s="106"/>
      <c r="C421" s="106"/>
      <c r="D421" s="106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</row>
    <row r="422" spans="1:35" ht="18.75" x14ac:dyDescent="0.3">
      <c r="A422" s="106"/>
      <c r="B422" s="106"/>
      <c r="C422" s="106"/>
      <c r="D422" s="106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</row>
    <row r="423" spans="1:35" ht="18.75" x14ac:dyDescent="0.3">
      <c r="A423" s="106"/>
      <c r="B423" s="106"/>
      <c r="C423" s="106"/>
      <c r="D423" s="106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</row>
    <row r="424" spans="1:35" ht="18.75" x14ac:dyDescent="0.3">
      <c r="A424" s="106"/>
      <c r="B424" s="106"/>
      <c r="C424" s="106"/>
      <c r="D424" s="106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</row>
    <row r="425" spans="1:35" ht="18.75" x14ac:dyDescent="0.3">
      <c r="A425" s="106"/>
      <c r="B425" s="106"/>
      <c r="C425" s="106"/>
      <c r="D425" s="106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</row>
    <row r="426" spans="1:35" ht="18.75" x14ac:dyDescent="0.3">
      <c r="A426" s="106"/>
      <c r="B426" s="106"/>
      <c r="C426" s="106"/>
      <c r="D426" s="106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</row>
    <row r="427" spans="1:35" ht="18.75" x14ac:dyDescent="0.3">
      <c r="A427" s="106"/>
      <c r="B427" s="106"/>
      <c r="C427" s="106"/>
      <c r="D427" s="106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</row>
    <row r="428" spans="1:35" ht="18.75" x14ac:dyDescent="0.3">
      <c r="A428" s="106"/>
      <c r="B428" s="106"/>
      <c r="C428" s="106"/>
      <c r="D428" s="106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</row>
    <row r="429" spans="1:35" ht="18.75" x14ac:dyDescent="0.3">
      <c r="A429" s="106"/>
      <c r="B429" s="106"/>
      <c r="C429" s="106"/>
      <c r="D429" s="106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</row>
    <row r="430" spans="1:35" ht="18.75" x14ac:dyDescent="0.3">
      <c r="A430" s="106"/>
      <c r="B430" s="106"/>
      <c r="C430" s="106"/>
      <c r="D430" s="106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</row>
    <row r="431" spans="1:35" ht="18.75" x14ac:dyDescent="0.3">
      <c r="A431" s="106"/>
      <c r="B431" s="106"/>
      <c r="C431" s="106"/>
      <c r="D431" s="106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</row>
    <row r="432" spans="1:35" ht="18.75" x14ac:dyDescent="0.3">
      <c r="A432" s="106"/>
      <c r="B432" s="106"/>
      <c r="C432" s="106"/>
      <c r="D432" s="106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</row>
    <row r="433" spans="1:35" ht="18.75" x14ac:dyDescent="0.3">
      <c r="A433" s="106"/>
      <c r="B433" s="106"/>
      <c r="C433" s="106"/>
      <c r="D433" s="106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</row>
    <row r="434" spans="1:35" ht="18.75" x14ac:dyDescent="0.3">
      <c r="A434" s="106"/>
      <c r="B434" s="106"/>
      <c r="C434" s="106"/>
      <c r="D434" s="106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</row>
    <row r="435" spans="1:35" ht="18.75" x14ac:dyDescent="0.3">
      <c r="A435" s="106"/>
      <c r="B435" s="106"/>
      <c r="C435" s="106"/>
      <c r="D435" s="106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</row>
    <row r="436" spans="1:35" ht="18.75" x14ac:dyDescent="0.3">
      <c r="A436" s="106"/>
      <c r="B436" s="106"/>
      <c r="C436" s="106"/>
      <c r="D436" s="106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</row>
    <row r="437" spans="1:35" ht="18.75" x14ac:dyDescent="0.3">
      <c r="A437" s="106"/>
      <c r="B437" s="106"/>
      <c r="C437" s="106"/>
      <c r="D437" s="106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</row>
    <row r="438" spans="1:35" ht="18.75" x14ac:dyDescent="0.3">
      <c r="A438" s="106"/>
      <c r="B438" s="106"/>
      <c r="C438" s="106"/>
      <c r="D438" s="106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</row>
    <row r="439" spans="1:35" ht="18.75" x14ac:dyDescent="0.3">
      <c r="A439" s="106"/>
      <c r="B439" s="106"/>
      <c r="C439" s="106"/>
      <c r="D439" s="106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</row>
    <row r="440" spans="1:35" ht="18.75" x14ac:dyDescent="0.3">
      <c r="A440" s="106"/>
      <c r="B440" s="106"/>
      <c r="C440" s="106"/>
      <c r="D440" s="106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</row>
    <row r="441" spans="1:35" ht="18.75" x14ac:dyDescent="0.3">
      <c r="A441" s="106"/>
      <c r="B441" s="106"/>
      <c r="C441" s="106"/>
      <c r="D441" s="106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</row>
    <row r="442" spans="1:35" ht="18.75" x14ac:dyDescent="0.3">
      <c r="A442" s="106"/>
      <c r="B442" s="106"/>
      <c r="C442" s="106"/>
      <c r="D442" s="106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</row>
    <row r="443" spans="1:35" ht="18.75" x14ac:dyDescent="0.3">
      <c r="A443" s="106"/>
      <c r="B443" s="106"/>
      <c r="C443" s="106"/>
      <c r="D443" s="106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</row>
    <row r="444" spans="1:35" ht="18.75" x14ac:dyDescent="0.3">
      <c r="A444" s="106"/>
      <c r="B444" s="106"/>
      <c r="C444" s="106"/>
      <c r="D444" s="106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</row>
    <row r="445" spans="1:35" ht="18.75" x14ac:dyDescent="0.3">
      <c r="A445" s="106"/>
      <c r="B445" s="106"/>
      <c r="C445" s="106"/>
      <c r="D445" s="106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</row>
    <row r="446" spans="1:35" ht="18.75" x14ac:dyDescent="0.3">
      <c r="A446" s="106"/>
      <c r="B446" s="106"/>
      <c r="C446" s="106"/>
      <c r="D446" s="106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</row>
    <row r="447" spans="1:35" ht="18.75" x14ac:dyDescent="0.3">
      <c r="A447" s="106"/>
      <c r="B447" s="106"/>
      <c r="C447" s="106"/>
      <c r="D447" s="106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</row>
    <row r="448" spans="1:35" ht="18.75" x14ac:dyDescent="0.3">
      <c r="A448" s="106"/>
      <c r="B448" s="106"/>
      <c r="C448" s="106"/>
      <c r="D448" s="106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</row>
    <row r="449" spans="1:35" ht="18.75" x14ac:dyDescent="0.3">
      <c r="A449" s="106"/>
      <c r="B449" s="106"/>
      <c r="C449" s="106"/>
      <c r="D449" s="106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</row>
    <row r="450" spans="1:35" ht="18.75" x14ac:dyDescent="0.3">
      <c r="A450" s="106"/>
      <c r="B450" s="106"/>
      <c r="C450" s="106"/>
      <c r="D450" s="106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</row>
    <row r="451" spans="1:35" ht="18.75" x14ac:dyDescent="0.3">
      <c r="A451" s="106"/>
      <c r="B451" s="106"/>
      <c r="C451" s="106"/>
      <c r="D451" s="106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</row>
    <row r="452" spans="1:35" ht="18.75" x14ac:dyDescent="0.3">
      <c r="A452" s="106"/>
      <c r="B452" s="106"/>
      <c r="C452" s="106"/>
      <c r="D452" s="106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</row>
    <row r="453" spans="1:35" ht="18.75" x14ac:dyDescent="0.3">
      <c r="A453" s="106"/>
      <c r="B453" s="106"/>
      <c r="C453" s="106"/>
      <c r="D453" s="106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</row>
    <row r="454" spans="1:35" ht="18.75" x14ac:dyDescent="0.3">
      <c r="A454" s="106"/>
      <c r="B454" s="106"/>
      <c r="C454" s="106"/>
      <c r="D454" s="106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</row>
    <row r="455" spans="1:35" ht="18.75" x14ac:dyDescent="0.3">
      <c r="A455" s="106"/>
      <c r="B455" s="106"/>
      <c r="C455" s="106"/>
      <c r="D455" s="106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</row>
    <row r="456" spans="1:35" ht="18.75" x14ac:dyDescent="0.3">
      <c r="A456" s="106"/>
      <c r="B456" s="106"/>
      <c r="C456" s="106"/>
      <c r="D456" s="106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</row>
    <row r="457" spans="1:35" ht="18.75" x14ac:dyDescent="0.3">
      <c r="A457" s="106"/>
      <c r="B457" s="106"/>
      <c r="C457" s="106"/>
      <c r="D457" s="106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</row>
    <row r="458" spans="1:35" ht="18.75" x14ac:dyDescent="0.3">
      <c r="A458" s="106"/>
      <c r="B458" s="106"/>
      <c r="C458" s="106"/>
      <c r="D458" s="106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</row>
    <row r="459" spans="1:35" ht="18.75" x14ac:dyDescent="0.3">
      <c r="A459" s="106"/>
      <c r="B459" s="106"/>
      <c r="C459" s="106"/>
      <c r="D459" s="106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</row>
    <row r="460" spans="1:35" ht="18.75" x14ac:dyDescent="0.3">
      <c r="A460" s="106"/>
      <c r="B460" s="106"/>
      <c r="C460" s="106"/>
      <c r="D460" s="106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</row>
    <row r="461" spans="1:35" ht="18.75" x14ac:dyDescent="0.3">
      <c r="A461" s="106"/>
      <c r="B461" s="106"/>
      <c r="C461" s="106"/>
      <c r="D461" s="106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</row>
    <row r="462" spans="1:35" ht="18.75" x14ac:dyDescent="0.3">
      <c r="A462" s="106"/>
      <c r="B462" s="106"/>
      <c r="C462" s="106"/>
      <c r="D462" s="106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</row>
    <row r="463" spans="1:35" ht="18.75" x14ac:dyDescent="0.3">
      <c r="A463" s="106"/>
      <c r="B463" s="106"/>
      <c r="C463" s="106"/>
      <c r="D463" s="106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</row>
    <row r="464" spans="1:35" ht="18.75" x14ac:dyDescent="0.3">
      <c r="A464" s="106"/>
      <c r="B464" s="106"/>
      <c r="C464" s="106"/>
      <c r="D464" s="106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</row>
    <row r="465" spans="1:35" ht="18.75" x14ac:dyDescent="0.3">
      <c r="A465" s="106"/>
      <c r="B465" s="106"/>
      <c r="C465" s="106"/>
      <c r="D465" s="106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</row>
    <row r="466" spans="1:35" ht="18.75" x14ac:dyDescent="0.3">
      <c r="A466" s="106"/>
      <c r="B466" s="106"/>
      <c r="C466" s="106"/>
      <c r="D466" s="106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</row>
    <row r="467" spans="1:35" ht="18.75" x14ac:dyDescent="0.3">
      <c r="A467" s="106"/>
      <c r="B467" s="106"/>
      <c r="C467" s="106"/>
      <c r="D467" s="106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</row>
    <row r="468" spans="1:35" ht="18.75" x14ac:dyDescent="0.3">
      <c r="A468" s="106"/>
      <c r="B468" s="106"/>
      <c r="C468" s="106"/>
      <c r="D468" s="106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</row>
    <row r="469" spans="1:35" ht="18.75" x14ac:dyDescent="0.3">
      <c r="A469" s="106"/>
      <c r="B469" s="106"/>
      <c r="C469" s="106"/>
      <c r="D469" s="106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</row>
    <row r="470" spans="1:35" ht="18.75" x14ac:dyDescent="0.3">
      <c r="A470" s="106"/>
      <c r="B470" s="106"/>
      <c r="C470" s="106"/>
      <c r="D470" s="106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</row>
    <row r="471" spans="1:35" ht="18.75" x14ac:dyDescent="0.3">
      <c r="A471" s="106"/>
      <c r="B471" s="106"/>
      <c r="C471" s="106"/>
      <c r="D471" s="106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</row>
    <row r="472" spans="1:35" ht="18.75" x14ac:dyDescent="0.3">
      <c r="A472" s="106"/>
      <c r="B472" s="106"/>
      <c r="C472" s="106"/>
      <c r="D472" s="106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</row>
    <row r="473" spans="1:35" ht="18.75" x14ac:dyDescent="0.3">
      <c r="A473" s="106"/>
      <c r="B473" s="106"/>
      <c r="C473" s="106"/>
      <c r="D473" s="106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</row>
    <row r="474" spans="1:35" ht="18.75" x14ac:dyDescent="0.3">
      <c r="A474" s="106"/>
      <c r="B474" s="106"/>
      <c r="C474" s="106"/>
      <c r="D474" s="106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</row>
    <row r="475" spans="1:35" ht="18.75" x14ac:dyDescent="0.3">
      <c r="A475" s="106"/>
      <c r="B475" s="106"/>
      <c r="C475" s="106"/>
      <c r="D475" s="106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</row>
    <row r="476" spans="1:35" ht="18.75" x14ac:dyDescent="0.3">
      <c r="A476" s="106"/>
      <c r="B476" s="106"/>
      <c r="C476" s="106"/>
      <c r="D476" s="106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</row>
    <row r="477" spans="1:35" ht="18.75" x14ac:dyDescent="0.3">
      <c r="A477" s="106"/>
      <c r="B477" s="106"/>
      <c r="C477" s="106"/>
      <c r="D477" s="106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</row>
    <row r="478" spans="1:35" ht="18.75" x14ac:dyDescent="0.3">
      <c r="A478" s="106"/>
      <c r="C478" s="106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</row>
  </sheetData>
  <pageMargins left="0.7" right="0.7" top="0.75" bottom="0.75" header="0.3" footer="0.3"/>
  <pageSetup paperSize="9" orientation="portrait" horizontalDpi="300" verticalDpi="203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topLeftCell="A94" workbookViewId="0">
      <selection activeCell="A168" sqref="A168:D168"/>
    </sheetView>
  </sheetViews>
  <sheetFormatPr defaultRowHeight="15" x14ac:dyDescent="0.25"/>
  <cols>
    <col min="1" max="1" width="37" customWidth="1"/>
    <col min="2" max="2" width="17.28515625" customWidth="1"/>
    <col min="3" max="3" width="16.5703125" bestFit="1" customWidth="1"/>
    <col min="4" max="4" width="17" customWidth="1"/>
    <col min="5" max="5" width="18.140625" bestFit="1" customWidth="1"/>
    <col min="6" max="7" width="16.28515625" bestFit="1" customWidth="1"/>
  </cols>
  <sheetData>
    <row r="1" spans="1:4" ht="30" x14ac:dyDescent="0.25">
      <c r="A1" s="190"/>
      <c r="B1" s="146" t="s">
        <v>399</v>
      </c>
      <c r="C1" s="191" t="s">
        <v>400</v>
      </c>
      <c r="D1" s="191" t="s">
        <v>401</v>
      </c>
    </row>
    <row r="2" spans="1:4" x14ac:dyDescent="0.25">
      <c r="A2" s="284" t="s">
        <v>331</v>
      </c>
      <c r="B2" s="285"/>
      <c r="C2" s="285"/>
      <c r="D2" s="286"/>
    </row>
    <row r="3" spans="1:4" x14ac:dyDescent="0.25">
      <c r="A3" s="190" t="s">
        <v>256</v>
      </c>
      <c r="B3" s="190">
        <v>4000000</v>
      </c>
      <c r="C3" s="190">
        <v>4000000</v>
      </c>
      <c r="D3" s="190">
        <f>B3-C3</f>
        <v>0</v>
      </c>
    </row>
    <row r="4" spans="1:4" x14ac:dyDescent="0.25">
      <c r="A4" s="190" t="s">
        <v>311</v>
      </c>
      <c r="B4" s="190">
        <v>3000000</v>
      </c>
      <c r="C4" s="190">
        <v>3000000</v>
      </c>
      <c r="D4" s="190">
        <f t="shared" ref="D4:D7" si="0">B4-C4</f>
        <v>0</v>
      </c>
    </row>
    <row r="5" spans="1:4" x14ac:dyDescent="0.25">
      <c r="A5" s="190" t="s">
        <v>308</v>
      </c>
      <c r="B5" s="190">
        <v>4500000</v>
      </c>
      <c r="C5" s="190">
        <v>4500000</v>
      </c>
      <c r="D5" s="190">
        <f t="shared" si="0"/>
        <v>0</v>
      </c>
    </row>
    <row r="6" spans="1:4" x14ac:dyDescent="0.25">
      <c r="A6" s="190" t="s">
        <v>330</v>
      </c>
      <c r="B6" s="190">
        <v>1000000</v>
      </c>
      <c r="C6" s="190">
        <v>1000000</v>
      </c>
      <c r="D6" s="190">
        <f t="shared" si="0"/>
        <v>0</v>
      </c>
    </row>
    <row r="7" spans="1:4" x14ac:dyDescent="0.25">
      <c r="A7" s="190" t="s">
        <v>395</v>
      </c>
      <c r="B7" s="190">
        <v>11500000</v>
      </c>
      <c r="C7" s="190">
        <v>11500000</v>
      </c>
      <c r="D7" s="190">
        <f t="shared" si="0"/>
        <v>0</v>
      </c>
    </row>
    <row r="8" spans="1:4" x14ac:dyDescent="0.25">
      <c r="A8" s="192" t="s">
        <v>398</v>
      </c>
      <c r="B8" s="192">
        <v>24000000</v>
      </c>
      <c r="C8" s="192">
        <v>24000000</v>
      </c>
      <c r="D8" s="192">
        <f>B8-C8</f>
        <v>0</v>
      </c>
    </row>
    <row r="9" spans="1:4" x14ac:dyDescent="0.25">
      <c r="A9" s="284" t="s">
        <v>397</v>
      </c>
      <c r="B9" s="285"/>
      <c r="C9" s="285"/>
      <c r="D9" s="286"/>
    </row>
    <row r="10" spans="1:4" x14ac:dyDescent="0.25">
      <c r="A10" s="190" t="s">
        <v>224</v>
      </c>
      <c r="B10" s="190">
        <v>3000000</v>
      </c>
      <c r="C10" s="190">
        <v>3000000</v>
      </c>
      <c r="D10" s="190">
        <v>0</v>
      </c>
    </row>
    <row r="11" spans="1:4" x14ac:dyDescent="0.25">
      <c r="A11" s="190" t="s">
        <v>395</v>
      </c>
      <c r="B11" s="190">
        <v>6000000</v>
      </c>
      <c r="C11" s="190">
        <f>B11</f>
        <v>6000000</v>
      </c>
      <c r="D11" s="190">
        <v>0</v>
      </c>
    </row>
    <row r="12" spans="1:4" x14ac:dyDescent="0.25">
      <c r="A12" s="192" t="s">
        <v>398</v>
      </c>
      <c r="B12" s="192">
        <v>9000000</v>
      </c>
      <c r="C12" s="192">
        <v>9000000</v>
      </c>
      <c r="D12" s="192">
        <f>B12-C12</f>
        <v>0</v>
      </c>
    </row>
    <row r="13" spans="1:4" x14ac:dyDescent="0.25">
      <c r="A13" s="284" t="s">
        <v>402</v>
      </c>
      <c r="B13" s="285"/>
      <c r="C13" s="285"/>
      <c r="D13" s="286"/>
    </row>
    <row r="14" spans="1:4" x14ac:dyDescent="0.25">
      <c r="A14" s="190" t="s">
        <v>403</v>
      </c>
      <c r="B14" s="190">
        <v>2500000</v>
      </c>
      <c r="C14" s="190">
        <v>2500000</v>
      </c>
      <c r="D14" s="190">
        <f>B14-C14</f>
        <v>0</v>
      </c>
    </row>
    <row r="15" spans="1:4" x14ac:dyDescent="0.25">
      <c r="A15" s="190" t="s">
        <v>395</v>
      </c>
      <c r="B15" s="190">
        <v>2500000</v>
      </c>
      <c r="C15" s="190">
        <v>2500000</v>
      </c>
      <c r="D15" s="190">
        <f t="shared" ref="D15:D16" si="1">B15-C15</f>
        <v>0</v>
      </c>
    </row>
    <row r="16" spans="1:4" x14ac:dyDescent="0.25">
      <c r="A16" s="192" t="s">
        <v>398</v>
      </c>
      <c r="B16" s="192">
        <f>B14+B15</f>
        <v>5000000</v>
      </c>
      <c r="C16" s="192">
        <f>C14+C15</f>
        <v>5000000</v>
      </c>
      <c r="D16" s="192">
        <f t="shared" si="1"/>
        <v>0</v>
      </c>
    </row>
    <row r="17" spans="1:4" x14ac:dyDescent="0.25">
      <c r="A17" s="284" t="s">
        <v>404</v>
      </c>
      <c r="B17" s="285"/>
      <c r="C17" s="285"/>
      <c r="D17" s="286"/>
    </row>
    <row r="18" spans="1:4" x14ac:dyDescent="0.25">
      <c r="A18" s="190" t="s">
        <v>405</v>
      </c>
      <c r="B18" s="190">
        <v>2500000</v>
      </c>
      <c r="C18" s="190">
        <v>2500000</v>
      </c>
      <c r="D18" s="190">
        <f>B18-C18</f>
        <v>0</v>
      </c>
    </row>
    <row r="19" spans="1:4" x14ac:dyDescent="0.25">
      <c r="A19" s="190" t="s">
        <v>395</v>
      </c>
      <c r="B19" s="190">
        <v>2500000</v>
      </c>
      <c r="C19" s="190">
        <v>2500000</v>
      </c>
      <c r="D19" s="190">
        <f>B19-C19</f>
        <v>0</v>
      </c>
    </row>
    <row r="20" spans="1:4" x14ac:dyDescent="0.25">
      <c r="A20" s="192" t="s">
        <v>398</v>
      </c>
      <c r="B20" s="192">
        <v>5000000</v>
      </c>
      <c r="C20" s="190"/>
      <c r="D20" s="192">
        <f>D18+D19</f>
        <v>0</v>
      </c>
    </row>
    <row r="21" spans="1:4" x14ac:dyDescent="0.25">
      <c r="A21" s="284" t="s">
        <v>406</v>
      </c>
      <c r="B21" s="285"/>
      <c r="C21" s="285"/>
      <c r="D21" s="286"/>
    </row>
    <row r="22" spans="1:4" x14ac:dyDescent="0.25">
      <c r="A22" s="190" t="s">
        <v>224</v>
      </c>
      <c r="B22" s="190">
        <v>7000000</v>
      </c>
      <c r="C22" s="190">
        <v>7000000</v>
      </c>
      <c r="D22" s="190">
        <f>B22-C22</f>
        <v>0</v>
      </c>
    </row>
    <row r="23" spans="1:4" x14ac:dyDescent="0.25">
      <c r="A23" s="190" t="s">
        <v>407</v>
      </c>
      <c r="B23" s="190">
        <v>3000000</v>
      </c>
      <c r="C23" s="190">
        <v>3000000</v>
      </c>
      <c r="D23" s="190">
        <f t="shared" ref="D23:D24" si="2">B23-C23</f>
        <v>0</v>
      </c>
    </row>
    <row r="24" spans="1:4" x14ac:dyDescent="0.25">
      <c r="A24" s="190" t="s">
        <v>395</v>
      </c>
      <c r="B24" s="190">
        <v>10000000</v>
      </c>
      <c r="C24" s="190">
        <v>10000000</v>
      </c>
      <c r="D24" s="190">
        <f t="shared" si="2"/>
        <v>0</v>
      </c>
    </row>
    <row r="25" spans="1:4" x14ac:dyDescent="0.25">
      <c r="A25" s="192" t="s">
        <v>398</v>
      </c>
      <c r="B25" s="192">
        <f>SUM(B22:B24)</f>
        <v>20000000</v>
      </c>
      <c r="C25" s="192">
        <f t="shared" ref="C25:D25" si="3">SUM(C22:C24)</f>
        <v>20000000</v>
      </c>
      <c r="D25" s="192">
        <f t="shared" si="3"/>
        <v>0</v>
      </c>
    </row>
    <row r="26" spans="1:4" x14ac:dyDescent="0.25">
      <c r="A26" s="284" t="s">
        <v>408</v>
      </c>
      <c r="B26" s="285"/>
      <c r="C26" s="285"/>
      <c r="D26" s="286"/>
    </row>
    <row r="27" spans="1:4" x14ac:dyDescent="0.25">
      <c r="A27" s="190" t="s">
        <v>243</v>
      </c>
      <c r="B27" s="190">
        <v>6000000</v>
      </c>
      <c r="C27" s="190">
        <v>6000000</v>
      </c>
      <c r="D27" s="190">
        <f>B27-C27</f>
        <v>0</v>
      </c>
    </row>
    <row r="28" spans="1:4" x14ac:dyDescent="0.25">
      <c r="A28" s="190" t="s">
        <v>407</v>
      </c>
      <c r="B28" s="190">
        <v>8000000</v>
      </c>
      <c r="C28" s="190">
        <f>B28</f>
        <v>8000000</v>
      </c>
      <c r="D28" s="190">
        <f t="shared" ref="D28:D30" si="4">B28-C28</f>
        <v>0</v>
      </c>
    </row>
    <row r="29" spans="1:4" x14ac:dyDescent="0.25">
      <c r="A29" s="190" t="s">
        <v>224</v>
      </c>
      <c r="B29" s="190">
        <v>2000000</v>
      </c>
      <c r="C29" s="190">
        <f>B29</f>
        <v>2000000</v>
      </c>
      <c r="D29" s="190">
        <f t="shared" si="4"/>
        <v>0</v>
      </c>
    </row>
    <row r="30" spans="1:4" x14ac:dyDescent="0.25">
      <c r="A30" s="190" t="s">
        <v>395</v>
      </c>
      <c r="B30" s="190">
        <v>9000000</v>
      </c>
      <c r="C30" s="190">
        <v>9000000</v>
      </c>
      <c r="D30" s="190">
        <f t="shared" si="4"/>
        <v>0</v>
      </c>
    </row>
    <row r="31" spans="1:4" x14ac:dyDescent="0.25">
      <c r="A31" s="192" t="s">
        <v>398</v>
      </c>
      <c r="B31" s="192">
        <f>SUM(B27:B30)</f>
        <v>25000000</v>
      </c>
      <c r="C31" s="192"/>
      <c r="D31" s="192">
        <f>SUM(D27:D30)</f>
        <v>0</v>
      </c>
    </row>
    <row r="32" spans="1:4" x14ac:dyDescent="0.25">
      <c r="A32" s="287" t="s">
        <v>409</v>
      </c>
      <c r="B32" s="288"/>
      <c r="C32" s="288"/>
      <c r="D32" s="289"/>
    </row>
    <row r="33" spans="1:4" x14ac:dyDescent="0.25">
      <c r="A33" s="193" t="s">
        <v>335</v>
      </c>
      <c r="B33" s="193">
        <v>1400000</v>
      </c>
      <c r="C33" s="192">
        <v>1400000</v>
      </c>
      <c r="D33" s="190">
        <f t="shared" ref="D33:D34" si="5">B33-C33</f>
        <v>0</v>
      </c>
    </row>
    <row r="34" spans="1:4" x14ac:dyDescent="0.25">
      <c r="A34" s="193" t="s">
        <v>395</v>
      </c>
      <c r="B34" s="193">
        <v>1400000</v>
      </c>
      <c r="C34" s="193">
        <v>1400000</v>
      </c>
      <c r="D34" s="190">
        <f t="shared" si="5"/>
        <v>0</v>
      </c>
    </row>
    <row r="35" spans="1:4" x14ac:dyDescent="0.25">
      <c r="A35" s="192" t="s">
        <v>398</v>
      </c>
      <c r="B35" s="192">
        <f>SUM(B33:B34)</f>
        <v>2800000</v>
      </c>
      <c r="C35" s="192">
        <f t="shared" ref="C35:D35" si="6">SUM(C33:C34)</f>
        <v>2800000</v>
      </c>
      <c r="D35" s="192">
        <f t="shared" si="6"/>
        <v>0</v>
      </c>
    </row>
    <row r="36" spans="1:4" x14ac:dyDescent="0.25">
      <c r="A36" s="284" t="s">
        <v>410</v>
      </c>
      <c r="B36" s="290"/>
      <c r="C36" s="290"/>
      <c r="D36" s="291"/>
    </row>
    <row r="37" spans="1:4" x14ac:dyDescent="0.25">
      <c r="A37" s="190" t="s">
        <v>308</v>
      </c>
      <c r="B37" s="193">
        <v>2500000</v>
      </c>
      <c r="C37" s="192">
        <v>2500000</v>
      </c>
      <c r="D37" s="190">
        <f t="shared" ref="D37:D38" si="7">B37-C37</f>
        <v>0</v>
      </c>
    </row>
    <row r="38" spans="1:4" x14ac:dyDescent="0.25">
      <c r="A38" s="190" t="s">
        <v>395</v>
      </c>
      <c r="B38" s="193">
        <v>2500000</v>
      </c>
      <c r="C38" s="193">
        <v>2500000</v>
      </c>
      <c r="D38" s="190">
        <f t="shared" si="7"/>
        <v>0</v>
      </c>
    </row>
    <row r="39" spans="1:4" x14ac:dyDescent="0.25">
      <c r="A39" s="192" t="s">
        <v>398</v>
      </c>
      <c r="B39" s="192">
        <f>SUM(B37:B38)</f>
        <v>5000000</v>
      </c>
      <c r="C39" s="192">
        <f t="shared" ref="C39:D39" si="8">SUM(C37:C38)</f>
        <v>5000000</v>
      </c>
      <c r="D39" s="192">
        <f t="shared" si="8"/>
        <v>0</v>
      </c>
    </row>
    <row r="40" spans="1:4" x14ac:dyDescent="0.25">
      <c r="A40" s="284" t="s">
        <v>420</v>
      </c>
      <c r="B40" s="290"/>
      <c r="C40" s="290"/>
      <c r="D40" s="291"/>
    </row>
    <row r="41" spans="1:4" x14ac:dyDescent="0.25">
      <c r="A41" s="190" t="s">
        <v>308</v>
      </c>
      <c r="B41" s="193">
        <v>12000000</v>
      </c>
      <c r="C41" s="192">
        <f>6000000+6000000</f>
        <v>12000000</v>
      </c>
      <c r="D41" s="190">
        <f>B41-C41</f>
        <v>0</v>
      </c>
    </row>
    <row r="42" spans="1:4" x14ac:dyDescent="0.25">
      <c r="A42" s="190" t="s">
        <v>394</v>
      </c>
      <c r="B42" s="193">
        <v>12000000</v>
      </c>
      <c r="C42" s="192">
        <f>2000000+6000000+4000000</f>
        <v>12000000</v>
      </c>
      <c r="D42" s="190">
        <f t="shared" ref="D42:D43" si="9">B42-C42</f>
        <v>0</v>
      </c>
    </row>
    <row r="43" spans="1:4" x14ac:dyDescent="0.25">
      <c r="A43" s="190" t="s">
        <v>395</v>
      </c>
      <c r="B43" s="190">
        <v>24000000</v>
      </c>
      <c r="C43" s="190">
        <v>24000000</v>
      </c>
      <c r="D43" s="190">
        <f t="shared" si="9"/>
        <v>0</v>
      </c>
    </row>
    <row r="44" spans="1:4" x14ac:dyDescent="0.25">
      <c r="A44" s="207" t="s">
        <v>398</v>
      </c>
      <c r="B44" s="192">
        <f>B41+B42+B43</f>
        <v>48000000</v>
      </c>
      <c r="C44" s="192">
        <f t="shared" ref="C44:D44" si="10">C41+C42+C43</f>
        <v>48000000</v>
      </c>
      <c r="D44" s="192">
        <f t="shared" si="10"/>
        <v>0</v>
      </c>
    </row>
    <row r="45" spans="1:4" x14ac:dyDescent="0.25">
      <c r="A45" s="279" t="s">
        <v>421</v>
      </c>
      <c r="B45" s="280"/>
      <c r="C45" s="280"/>
      <c r="D45" s="281"/>
    </row>
    <row r="46" spans="1:4" x14ac:dyDescent="0.25">
      <c r="A46" s="1" t="s">
        <v>395</v>
      </c>
      <c r="B46" s="193">
        <v>7500000</v>
      </c>
      <c r="C46" s="190">
        <v>7500000</v>
      </c>
      <c r="D46" s="190">
        <v>0</v>
      </c>
    </row>
    <row r="47" spans="1:4" x14ac:dyDescent="0.25">
      <c r="A47" s="207" t="s">
        <v>398</v>
      </c>
      <c r="B47" s="193">
        <f>B46</f>
        <v>7500000</v>
      </c>
      <c r="C47" s="193">
        <f>C46</f>
        <v>7500000</v>
      </c>
      <c r="D47" s="190">
        <v>0</v>
      </c>
    </row>
    <row r="48" spans="1:4" x14ac:dyDescent="0.25">
      <c r="A48" s="279" t="s">
        <v>422</v>
      </c>
      <c r="B48" s="280"/>
      <c r="C48" s="280"/>
      <c r="D48" s="281"/>
    </row>
    <row r="49" spans="1:4" x14ac:dyDescent="0.25">
      <c r="A49" s="1" t="s">
        <v>395</v>
      </c>
      <c r="B49" s="193">
        <v>3000000</v>
      </c>
      <c r="C49" s="193">
        <v>3000000</v>
      </c>
      <c r="D49" s="1"/>
    </row>
    <row r="50" spans="1:4" x14ac:dyDescent="0.25">
      <c r="A50" s="1" t="s">
        <v>423</v>
      </c>
      <c r="B50" s="193">
        <v>2000000</v>
      </c>
      <c r="C50" s="193">
        <v>2000000</v>
      </c>
      <c r="D50" s="1"/>
    </row>
    <row r="51" spans="1:4" x14ac:dyDescent="0.25">
      <c r="A51" s="1" t="s">
        <v>398</v>
      </c>
      <c r="B51" s="193">
        <f>B49+B50</f>
        <v>5000000</v>
      </c>
      <c r="C51" s="1"/>
      <c r="D51" s="1"/>
    </row>
    <row r="52" spans="1:4" x14ac:dyDescent="0.25">
      <c r="A52" s="279" t="s">
        <v>424</v>
      </c>
      <c r="B52" s="280"/>
      <c r="C52" s="280"/>
      <c r="D52" s="281"/>
    </row>
    <row r="53" spans="1:4" x14ac:dyDescent="0.25">
      <c r="A53" s="1" t="s">
        <v>395</v>
      </c>
      <c r="B53" s="193">
        <v>6500000</v>
      </c>
      <c r="C53" s="1">
        <v>2000000</v>
      </c>
      <c r="D53" s="230">
        <f>B53-C53</f>
        <v>4500000</v>
      </c>
    </row>
    <row r="54" spans="1:4" x14ac:dyDescent="0.25">
      <c r="A54" s="1" t="s">
        <v>398</v>
      </c>
      <c r="B54" s="193">
        <f>B53</f>
        <v>6500000</v>
      </c>
      <c r="C54" s="1"/>
      <c r="D54" s="230">
        <f>B54-C54</f>
        <v>6500000</v>
      </c>
    </row>
    <row r="55" spans="1:4" x14ac:dyDescent="0.25">
      <c r="A55" s="279" t="s">
        <v>425</v>
      </c>
      <c r="B55" s="280"/>
      <c r="C55" s="280"/>
      <c r="D55" s="281"/>
    </row>
    <row r="56" spans="1:4" x14ac:dyDescent="0.25">
      <c r="A56" s="1" t="s">
        <v>395</v>
      </c>
      <c r="B56" s="193">
        <v>1250000</v>
      </c>
      <c r="C56" s="1">
        <v>1250000</v>
      </c>
      <c r="D56" s="230">
        <f>B56-C56</f>
        <v>0</v>
      </c>
    </row>
    <row r="57" spans="1:4" x14ac:dyDescent="0.25">
      <c r="A57" s="1" t="s">
        <v>398</v>
      </c>
      <c r="B57" s="193">
        <f>B56</f>
        <v>1250000</v>
      </c>
      <c r="C57" s="1">
        <v>1250000</v>
      </c>
      <c r="D57" s="230">
        <f>B57-C57</f>
        <v>0</v>
      </c>
    </row>
    <row r="58" spans="1:4" x14ac:dyDescent="0.25">
      <c r="A58" s="279" t="s">
        <v>426</v>
      </c>
      <c r="B58" s="280"/>
      <c r="C58" s="280"/>
      <c r="D58" s="281"/>
    </row>
    <row r="59" spans="1:4" x14ac:dyDescent="0.25">
      <c r="A59" s="1" t="s">
        <v>395</v>
      </c>
      <c r="B59" s="193">
        <v>2000000</v>
      </c>
      <c r="C59" s="193">
        <v>2000000</v>
      </c>
      <c r="D59" s="1">
        <v>0</v>
      </c>
    </row>
    <row r="60" spans="1:4" x14ac:dyDescent="0.25">
      <c r="A60" s="1" t="s">
        <v>398</v>
      </c>
      <c r="B60" s="193">
        <f>B59</f>
        <v>2000000</v>
      </c>
      <c r="C60" s="193">
        <f>C59</f>
        <v>2000000</v>
      </c>
      <c r="D60" s="1">
        <v>0</v>
      </c>
    </row>
    <row r="61" spans="1:4" x14ac:dyDescent="0.25">
      <c r="A61" s="1"/>
      <c r="B61" s="193"/>
      <c r="C61" s="1"/>
      <c r="D61" s="1"/>
    </row>
    <row r="62" spans="1:4" x14ac:dyDescent="0.25">
      <c r="A62" s="279" t="s">
        <v>427</v>
      </c>
      <c r="B62" s="280"/>
      <c r="C62" s="280"/>
      <c r="D62" s="281"/>
    </row>
    <row r="63" spans="1:4" x14ac:dyDescent="0.25">
      <c r="A63" s="1" t="s">
        <v>395</v>
      </c>
      <c r="B63" s="193">
        <v>2000000</v>
      </c>
      <c r="C63" s="1">
        <v>2000000</v>
      </c>
      <c r="D63" s="230">
        <f>B63-C63</f>
        <v>0</v>
      </c>
    </row>
    <row r="64" spans="1:4" x14ac:dyDescent="0.25">
      <c r="A64" s="1" t="s">
        <v>398</v>
      </c>
      <c r="B64" s="193">
        <f>B63</f>
        <v>2000000</v>
      </c>
      <c r="C64" s="1">
        <v>2000000</v>
      </c>
      <c r="D64" s="230">
        <f>B64-C64</f>
        <v>0</v>
      </c>
    </row>
    <row r="65" spans="1:7" ht="14.45" x14ac:dyDescent="0.3">
      <c r="A65" s="1"/>
      <c r="B65" s="193"/>
      <c r="C65" s="1"/>
      <c r="D65" s="1"/>
    </row>
    <row r="66" spans="1:7" ht="15" customHeight="1" x14ac:dyDescent="0.3">
      <c r="A66" s="279" t="s">
        <v>445</v>
      </c>
      <c r="B66" s="280"/>
      <c r="C66" s="280"/>
      <c r="D66" s="281"/>
      <c r="E66" s="257"/>
    </row>
    <row r="67" spans="1:7" ht="15" customHeight="1" x14ac:dyDescent="0.3">
      <c r="A67" s="1" t="s">
        <v>395</v>
      </c>
      <c r="B67" s="193">
        <v>9000000</v>
      </c>
      <c r="C67" s="193">
        <v>9000000</v>
      </c>
      <c r="D67" s="230">
        <f>B67-C67</f>
        <v>0</v>
      </c>
      <c r="E67" s="257">
        <v>36000000</v>
      </c>
      <c r="F67" s="257">
        <v>18000000</v>
      </c>
      <c r="G67" s="259">
        <f>E67-F67</f>
        <v>18000000</v>
      </c>
    </row>
    <row r="68" spans="1:7" ht="15" customHeight="1" x14ac:dyDescent="0.3">
      <c r="A68" s="1" t="s">
        <v>407</v>
      </c>
      <c r="B68" s="193">
        <v>9000000</v>
      </c>
      <c r="C68" s="193"/>
      <c r="D68" s="230">
        <f t="shared" ref="D68:D69" si="11">B68-C68</f>
        <v>9000000</v>
      </c>
      <c r="E68" s="257"/>
    </row>
    <row r="69" spans="1:7" ht="15" customHeight="1" x14ac:dyDescent="0.25">
      <c r="A69" s="1" t="s">
        <v>398</v>
      </c>
      <c r="B69" s="193">
        <f>B67+B68</f>
        <v>18000000</v>
      </c>
      <c r="C69" s="193">
        <f>C67+C68</f>
        <v>9000000</v>
      </c>
      <c r="D69" s="230">
        <f t="shared" si="11"/>
        <v>9000000</v>
      </c>
      <c r="E69" s="257"/>
    </row>
    <row r="70" spans="1:7" ht="15" customHeight="1" x14ac:dyDescent="0.3">
      <c r="A70" s="279" t="s">
        <v>446</v>
      </c>
      <c r="B70" s="280"/>
      <c r="C70" s="280"/>
      <c r="D70" s="281"/>
      <c r="E70" s="257"/>
    </row>
    <row r="71" spans="1:7" ht="15" customHeight="1" x14ac:dyDescent="0.3">
      <c r="A71" s="1" t="s">
        <v>395</v>
      </c>
      <c r="B71" s="193">
        <v>10000000</v>
      </c>
      <c r="C71" s="193">
        <v>10000000</v>
      </c>
      <c r="D71" s="230">
        <f>B71-C71</f>
        <v>0</v>
      </c>
      <c r="E71" s="257">
        <v>40000000</v>
      </c>
      <c r="F71" s="257">
        <v>20000000</v>
      </c>
      <c r="G71" s="259">
        <f>E71-F71</f>
        <v>20000000</v>
      </c>
    </row>
    <row r="72" spans="1:7" ht="15" customHeight="1" x14ac:dyDescent="0.3">
      <c r="A72" s="1" t="s">
        <v>217</v>
      </c>
      <c r="B72" s="193">
        <v>5000000</v>
      </c>
      <c r="C72" s="193">
        <f>5000000</f>
        <v>5000000</v>
      </c>
      <c r="D72" s="230">
        <f t="shared" ref="D72:D73" si="12">B72-C72</f>
        <v>0</v>
      </c>
      <c r="E72" s="257"/>
    </row>
    <row r="73" spans="1:7" ht="15" customHeight="1" x14ac:dyDescent="0.3">
      <c r="A73" s="1" t="s">
        <v>467</v>
      </c>
      <c r="B73" s="193">
        <v>5000000</v>
      </c>
      <c r="C73" s="193"/>
      <c r="D73" s="230">
        <f t="shared" si="12"/>
        <v>5000000</v>
      </c>
      <c r="E73" s="257"/>
    </row>
    <row r="74" spans="1:7" ht="15" customHeight="1" x14ac:dyDescent="0.3">
      <c r="A74" s="1" t="s">
        <v>398</v>
      </c>
      <c r="B74" s="193">
        <f>B71+B73+B72</f>
        <v>20000000</v>
      </c>
      <c r="C74" s="193">
        <f t="shared" ref="C74:D74" si="13">C71+C73+C72</f>
        <v>15000000</v>
      </c>
      <c r="D74" s="193">
        <f t="shared" si="13"/>
        <v>5000000</v>
      </c>
      <c r="E74" s="257"/>
    </row>
    <row r="75" spans="1:7" ht="15" customHeight="1" x14ac:dyDescent="0.3">
      <c r="A75" s="279" t="s">
        <v>451</v>
      </c>
      <c r="B75" s="280"/>
      <c r="C75" s="280"/>
      <c r="D75" s="281"/>
      <c r="E75" s="257"/>
    </row>
    <row r="76" spans="1:7" ht="15" customHeight="1" x14ac:dyDescent="0.3">
      <c r="A76" s="1" t="s">
        <v>395</v>
      </c>
      <c r="B76" s="193">
        <v>7500000</v>
      </c>
      <c r="C76" s="193">
        <f>B76</f>
        <v>7500000</v>
      </c>
      <c r="D76" s="230">
        <f>B76-C76</f>
        <v>0</v>
      </c>
      <c r="E76" s="257"/>
    </row>
    <row r="77" spans="1:7" ht="15" customHeight="1" x14ac:dyDescent="0.3">
      <c r="A77" s="1" t="s">
        <v>219</v>
      </c>
      <c r="B77" s="193">
        <v>7500000</v>
      </c>
      <c r="C77" s="193">
        <v>7500000</v>
      </c>
      <c r="D77" s="230">
        <f t="shared" ref="D77:D78" si="14">B77-C77</f>
        <v>0</v>
      </c>
      <c r="E77" s="257"/>
    </row>
    <row r="78" spans="1:7" ht="15" customHeight="1" x14ac:dyDescent="0.3">
      <c r="A78" s="1" t="s">
        <v>398</v>
      </c>
      <c r="B78" s="193">
        <f>B76+B77</f>
        <v>15000000</v>
      </c>
      <c r="C78" s="193">
        <f>C76+C77</f>
        <v>15000000</v>
      </c>
      <c r="D78" s="230">
        <f t="shared" si="14"/>
        <v>0</v>
      </c>
      <c r="E78" s="257"/>
    </row>
    <row r="79" spans="1:7" ht="15" customHeight="1" x14ac:dyDescent="0.3">
      <c r="A79" s="279" t="s">
        <v>452</v>
      </c>
      <c r="B79" s="280"/>
      <c r="C79" s="280"/>
      <c r="D79" s="281"/>
      <c r="E79" s="257"/>
    </row>
    <row r="80" spans="1:7" ht="15" customHeight="1" x14ac:dyDescent="0.3">
      <c r="A80" s="1" t="s">
        <v>395</v>
      </c>
      <c r="B80" s="193">
        <v>7500000</v>
      </c>
      <c r="C80" s="193">
        <f>B80</f>
        <v>7500000</v>
      </c>
      <c r="D80" s="230">
        <f>B80-C80</f>
        <v>0</v>
      </c>
      <c r="E80" s="257"/>
    </row>
    <row r="81" spans="1:7" ht="15" customHeight="1" x14ac:dyDescent="0.3">
      <c r="A81" s="1" t="s">
        <v>303</v>
      </c>
      <c r="B81" s="193">
        <v>7500000</v>
      </c>
      <c r="C81" s="193">
        <v>7500000</v>
      </c>
      <c r="D81" s="230">
        <f t="shared" ref="D81:D82" si="15">B81-C81</f>
        <v>0</v>
      </c>
      <c r="E81" s="257"/>
    </row>
    <row r="82" spans="1:7" ht="15" customHeight="1" x14ac:dyDescent="0.3">
      <c r="A82" s="1" t="s">
        <v>398</v>
      </c>
      <c r="B82" s="193">
        <f>B80+B81</f>
        <v>15000000</v>
      </c>
      <c r="C82" s="193">
        <f>C80+C81</f>
        <v>15000000</v>
      </c>
      <c r="D82" s="230">
        <f t="shared" si="15"/>
        <v>0</v>
      </c>
      <c r="E82" s="257"/>
    </row>
    <row r="83" spans="1:7" ht="15" customHeight="1" x14ac:dyDescent="0.3">
      <c r="A83" s="279" t="s">
        <v>453</v>
      </c>
      <c r="B83" s="280"/>
      <c r="C83" s="280"/>
      <c r="D83" s="281"/>
      <c r="E83" s="257"/>
    </row>
    <row r="84" spans="1:7" ht="15" customHeight="1" x14ac:dyDescent="0.3">
      <c r="A84" s="1" t="s">
        <v>395</v>
      </c>
      <c r="B84" s="193">
        <v>10000000</v>
      </c>
      <c r="C84" s="193">
        <v>10000000</v>
      </c>
      <c r="D84" s="230">
        <f>B84-C84</f>
        <v>0</v>
      </c>
      <c r="E84" s="257"/>
    </row>
    <row r="85" spans="1:7" ht="15" customHeight="1" x14ac:dyDescent="0.3">
      <c r="A85" s="1" t="s">
        <v>309</v>
      </c>
      <c r="B85" s="193">
        <v>10000000</v>
      </c>
      <c r="C85" s="193">
        <v>10000000</v>
      </c>
      <c r="D85" s="230">
        <f>B85-C85</f>
        <v>0</v>
      </c>
      <c r="E85" s="257"/>
    </row>
    <row r="86" spans="1:7" ht="15" customHeight="1" x14ac:dyDescent="0.3">
      <c r="A86" s="1" t="s">
        <v>398</v>
      </c>
      <c r="B86" s="193">
        <f>B84+B85</f>
        <v>20000000</v>
      </c>
      <c r="C86" s="193">
        <f>C84+C85</f>
        <v>20000000</v>
      </c>
      <c r="D86" s="230">
        <f>B86-C86</f>
        <v>0</v>
      </c>
      <c r="E86" s="257"/>
    </row>
    <row r="87" spans="1:7" ht="15" customHeight="1" x14ac:dyDescent="0.3">
      <c r="A87" s="279" t="s">
        <v>454</v>
      </c>
      <c r="B87" s="280"/>
      <c r="C87" s="280"/>
      <c r="D87" s="281"/>
      <c r="E87" s="257"/>
    </row>
    <row r="88" spans="1:7" ht="15" customHeight="1" x14ac:dyDescent="0.3">
      <c r="A88" s="1" t="s">
        <v>395</v>
      </c>
      <c r="B88" s="193">
        <v>20000000</v>
      </c>
      <c r="C88" s="193">
        <v>20000000</v>
      </c>
      <c r="D88" s="230">
        <f>B88-C88</f>
        <v>0</v>
      </c>
      <c r="E88" s="257"/>
    </row>
    <row r="89" spans="1:7" ht="15" customHeight="1" x14ac:dyDescent="0.3">
      <c r="A89" s="1" t="s">
        <v>224</v>
      </c>
      <c r="B89" s="193">
        <v>10000000</v>
      </c>
      <c r="C89" s="193">
        <v>10000000</v>
      </c>
      <c r="D89" s="230">
        <f>B89-C89</f>
        <v>0</v>
      </c>
      <c r="E89" s="257"/>
    </row>
    <row r="90" spans="1:7" ht="15" customHeight="1" x14ac:dyDescent="0.3">
      <c r="A90" s="1" t="s">
        <v>434</v>
      </c>
      <c r="B90" s="193">
        <v>10000000</v>
      </c>
      <c r="C90" s="193">
        <v>10000000</v>
      </c>
      <c r="D90" s="230">
        <f>B90-C90</f>
        <v>0</v>
      </c>
      <c r="E90" s="257"/>
    </row>
    <row r="91" spans="1:7" ht="15" customHeight="1" x14ac:dyDescent="0.3">
      <c r="A91" s="1" t="s">
        <v>394</v>
      </c>
      <c r="B91" s="193">
        <v>10000000</v>
      </c>
      <c r="C91" s="193">
        <v>10000000</v>
      </c>
      <c r="D91" s="230">
        <f t="shared" ref="D91:D92" si="16">B91-C91</f>
        <v>0</v>
      </c>
      <c r="E91" s="257"/>
    </row>
    <row r="92" spans="1:7" ht="15" customHeight="1" x14ac:dyDescent="0.3">
      <c r="A92" s="1" t="s">
        <v>398</v>
      </c>
      <c r="B92" s="193">
        <f>B88+B91+B89+B90</f>
        <v>50000000</v>
      </c>
      <c r="C92" s="193">
        <f>C88+C91+C89+C90</f>
        <v>50000000</v>
      </c>
      <c r="D92" s="230">
        <f t="shared" si="16"/>
        <v>0</v>
      </c>
      <c r="E92" s="257"/>
    </row>
    <row r="93" spans="1:7" ht="15" customHeight="1" x14ac:dyDescent="0.3">
      <c r="A93" s="276" t="s">
        <v>415</v>
      </c>
      <c r="B93" s="277"/>
      <c r="C93" s="277"/>
      <c r="D93" s="278"/>
      <c r="E93" s="257"/>
    </row>
    <row r="94" spans="1:7" ht="15" customHeight="1" x14ac:dyDescent="0.3">
      <c r="A94" s="1" t="s">
        <v>395</v>
      </c>
      <c r="B94" s="193">
        <v>22500000</v>
      </c>
      <c r="C94" s="193">
        <v>22500000</v>
      </c>
      <c r="D94" s="230">
        <f>B94-C94</f>
        <v>0</v>
      </c>
      <c r="E94" s="257">
        <v>90000000</v>
      </c>
      <c r="F94" s="265">
        <v>90000000</v>
      </c>
      <c r="G94" s="259">
        <f>E94-F94</f>
        <v>0</v>
      </c>
    </row>
    <row r="95" spans="1:7" ht="15" customHeight="1" x14ac:dyDescent="0.3">
      <c r="A95" s="1" t="s">
        <v>219</v>
      </c>
      <c r="B95" s="193">
        <v>22500000</v>
      </c>
      <c r="C95" s="193">
        <v>22500000</v>
      </c>
      <c r="D95" s="230">
        <f t="shared" ref="D95:D96" si="17">B95-C95</f>
        <v>0</v>
      </c>
      <c r="E95" s="257"/>
    </row>
    <row r="96" spans="1:7" ht="15" customHeight="1" x14ac:dyDescent="0.3">
      <c r="A96" s="1" t="s">
        <v>398</v>
      </c>
      <c r="B96" s="193">
        <f>B94+B95</f>
        <v>45000000</v>
      </c>
      <c r="C96" s="193">
        <f>C94+C95</f>
        <v>45000000</v>
      </c>
      <c r="D96" s="230">
        <f t="shared" si="17"/>
        <v>0</v>
      </c>
      <c r="E96" s="257"/>
    </row>
    <row r="97" spans="1:7" ht="15" customHeight="1" x14ac:dyDescent="0.3">
      <c r="A97" s="276" t="s">
        <v>484</v>
      </c>
      <c r="B97" s="277"/>
      <c r="C97" s="277"/>
      <c r="D97" s="278"/>
      <c r="E97" s="257"/>
    </row>
    <row r="98" spans="1:7" ht="15" customHeight="1" x14ac:dyDescent="0.3">
      <c r="A98" s="1" t="s">
        <v>395</v>
      </c>
      <c r="B98" s="193">
        <v>144000000</v>
      </c>
      <c r="C98" s="263">
        <v>144000000</v>
      </c>
      <c r="D98" s="230">
        <f>B98-C98</f>
        <v>0</v>
      </c>
      <c r="E98" s="257">
        <v>325000000</v>
      </c>
      <c r="F98" s="258">
        <v>325000000</v>
      </c>
      <c r="G98" s="259">
        <f>E98-F98</f>
        <v>0</v>
      </c>
    </row>
    <row r="99" spans="1:7" ht="15" customHeight="1" x14ac:dyDescent="0.3">
      <c r="A99" s="1" t="s">
        <v>398</v>
      </c>
      <c r="B99" s="193">
        <v>144000000</v>
      </c>
      <c r="C99" s="193">
        <f>C98</f>
        <v>144000000</v>
      </c>
      <c r="D99" s="230">
        <f t="shared" ref="D99" si="18">B99-C99</f>
        <v>0</v>
      </c>
      <c r="E99" s="257"/>
    </row>
    <row r="100" spans="1:7" ht="15" customHeight="1" x14ac:dyDescent="0.3">
      <c r="A100" s="279" t="s">
        <v>485</v>
      </c>
      <c r="B100" s="280"/>
      <c r="C100" s="280"/>
      <c r="D100" s="281"/>
      <c r="E100" s="257"/>
    </row>
    <row r="101" spans="1:7" ht="15" customHeight="1" x14ac:dyDescent="0.3">
      <c r="A101" s="1" t="s">
        <v>395</v>
      </c>
      <c r="B101" s="193">
        <v>8750000</v>
      </c>
      <c r="C101" s="193">
        <v>8750000</v>
      </c>
      <c r="D101" s="230">
        <f>B101-C101</f>
        <v>0</v>
      </c>
      <c r="E101" s="257">
        <v>40000000</v>
      </c>
      <c r="F101" s="258">
        <v>40000000</v>
      </c>
      <c r="G101" s="259">
        <f>E101-F101</f>
        <v>0</v>
      </c>
    </row>
    <row r="102" spans="1:7" ht="15" customHeight="1" x14ac:dyDescent="0.3">
      <c r="A102" s="1" t="s">
        <v>486</v>
      </c>
      <c r="B102" s="193">
        <v>8750000</v>
      </c>
      <c r="C102" s="193">
        <v>0</v>
      </c>
      <c r="D102" s="230">
        <f t="shared" ref="D102:D103" si="19">B102-C102</f>
        <v>8750000</v>
      </c>
      <c r="E102" s="257"/>
    </row>
    <row r="103" spans="1:7" ht="15" customHeight="1" x14ac:dyDescent="0.3">
      <c r="A103" s="1" t="s">
        <v>398</v>
      </c>
      <c r="B103" s="193">
        <f>B101+B102</f>
        <v>17500000</v>
      </c>
      <c r="C103" s="193">
        <f>C101+C102</f>
        <v>8750000</v>
      </c>
      <c r="D103" s="230">
        <f t="shared" si="19"/>
        <v>8750000</v>
      </c>
      <c r="E103" s="257"/>
    </row>
    <row r="104" spans="1:7" ht="15" customHeight="1" x14ac:dyDescent="0.3">
      <c r="A104" s="279" t="s">
        <v>487</v>
      </c>
      <c r="B104" s="280"/>
      <c r="C104" s="280"/>
      <c r="D104" s="281"/>
      <c r="E104" s="257"/>
    </row>
    <row r="105" spans="1:7" ht="15" customHeight="1" x14ac:dyDescent="0.3">
      <c r="A105" s="1" t="s">
        <v>395</v>
      </c>
      <c r="B105" s="193">
        <v>8750000</v>
      </c>
      <c r="C105" s="193">
        <v>8750000</v>
      </c>
      <c r="D105" s="230">
        <f>B105-C105</f>
        <v>0</v>
      </c>
      <c r="E105" s="257">
        <v>40000000</v>
      </c>
      <c r="F105" s="258">
        <v>35000000</v>
      </c>
      <c r="G105" s="259">
        <f>E105-F105</f>
        <v>5000000</v>
      </c>
    </row>
    <row r="106" spans="1:7" ht="15" customHeight="1" x14ac:dyDescent="0.3">
      <c r="A106" s="1" t="s">
        <v>486</v>
      </c>
      <c r="B106" s="193">
        <v>8750000</v>
      </c>
      <c r="C106" s="193">
        <v>0</v>
      </c>
      <c r="D106" s="230">
        <f t="shared" ref="D106:D107" si="20">B106-C106</f>
        <v>8750000</v>
      </c>
      <c r="E106" s="257"/>
    </row>
    <row r="107" spans="1:7" ht="15" customHeight="1" x14ac:dyDescent="0.3">
      <c r="A107" s="1" t="s">
        <v>398</v>
      </c>
      <c r="B107" s="193">
        <f>B105+B106</f>
        <v>17500000</v>
      </c>
      <c r="C107" s="193">
        <f>C105+C106</f>
        <v>8750000</v>
      </c>
      <c r="D107" s="230">
        <f t="shared" si="20"/>
        <v>8750000</v>
      </c>
      <c r="E107" s="257"/>
    </row>
    <row r="108" spans="1:7" ht="15" customHeight="1" x14ac:dyDescent="0.3">
      <c r="A108" s="279" t="s">
        <v>488</v>
      </c>
      <c r="B108" s="280"/>
      <c r="C108" s="280"/>
      <c r="D108" s="281"/>
      <c r="E108" s="257"/>
    </row>
    <row r="109" spans="1:7" ht="15" customHeight="1" x14ac:dyDescent="0.3">
      <c r="A109" s="1" t="s">
        <v>395</v>
      </c>
      <c r="B109" s="193">
        <v>7500000</v>
      </c>
      <c r="C109" s="193">
        <v>7500000</v>
      </c>
      <c r="D109" s="230">
        <f>B109-C109</f>
        <v>0</v>
      </c>
      <c r="E109" s="257">
        <v>20000000</v>
      </c>
      <c r="F109" s="258">
        <v>20000000</v>
      </c>
      <c r="G109" s="259">
        <f>E109-F109</f>
        <v>0</v>
      </c>
    </row>
    <row r="110" spans="1:7" ht="15" customHeight="1" x14ac:dyDescent="0.3">
      <c r="A110" s="1" t="s">
        <v>467</v>
      </c>
      <c r="B110" s="193">
        <v>7500000</v>
      </c>
      <c r="C110" s="193">
        <v>7500000</v>
      </c>
      <c r="D110" s="230">
        <f t="shared" ref="D110:D111" si="21">B110-C110</f>
        <v>0</v>
      </c>
      <c r="E110" s="257"/>
    </row>
    <row r="111" spans="1:7" ht="15" customHeight="1" x14ac:dyDescent="0.3">
      <c r="A111" s="1" t="s">
        <v>398</v>
      </c>
      <c r="B111" s="193">
        <f>B109+B110</f>
        <v>15000000</v>
      </c>
      <c r="C111" s="193">
        <f>C109+C110</f>
        <v>15000000</v>
      </c>
      <c r="D111" s="230">
        <f t="shared" si="21"/>
        <v>0</v>
      </c>
      <c r="E111" s="257"/>
    </row>
    <row r="112" spans="1:7" ht="15" customHeight="1" x14ac:dyDescent="0.3">
      <c r="A112" s="276" t="s">
        <v>489</v>
      </c>
      <c r="B112" s="277"/>
      <c r="C112" s="277"/>
      <c r="D112" s="278"/>
      <c r="E112" s="257"/>
    </row>
    <row r="113" spans="1:7" ht="15" customHeight="1" x14ac:dyDescent="0.3">
      <c r="A113" s="1" t="s">
        <v>395</v>
      </c>
      <c r="B113" s="193">
        <v>5000000</v>
      </c>
      <c r="C113" s="193">
        <v>5000000</v>
      </c>
      <c r="D113" s="230">
        <f>B113-C113</f>
        <v>0</v>
      </c>
      <c r="E113" s="257">
        <v>20000000</v>
      </c>
      <c r="F113" s="258">
        <v>20000000</v>
      </c>
      <c r="G113" s="259">
        <f>E113-F113</f>
        <v>0</v>
      </c>
    </row>
    <row r="114" spans="1:7" ht="15" customHeight="1" x14ac:dyDescent="0.3">
      <c r="A114" s="1" t="s">
        <v>490</v>
      </c>
      <c r="B114" s="193">
        <v>5000000</v>
      </c>
      <c r="C114" s="193">
        <v>5000000</v>
      </c>
      <c r="D114" s="230">
        <f t="shared" ref="D114:D115" si="22">B114-C114</f>
        <v>0</v>
      </c>
      <c r="E114" s="257"/>
    </row>
    <row r="115" spans="1:7" ht="15" customHeight="1" x14ac:dyDescent="0.3">
      <c r="A115" s="1" t="s">
        <v>398</v>
      </c>
      <c r="B115" s="193">
        <f>B113+B114</f>
        <v>10000000</v>
      </c>
      <c r="C115" s="193">
        <f>C113+C114</f>
        <v>10000000</v>
      </c>
      <c r="D115" s="230">
        <f t="shared" si="22"/>
        <v>0</v>
      </c>
      <c r="E115" s="257"/>
    </row>
    <row r="116" spans="1:7" ht="15" customHeight="1" x14ac:dyDescent="0.3">
      <c r="A116" s="276" t="s">
        <v>491</v>
      </c>
      <c r="B116" s="277"/>
      <c r="C116" s="277"/>
      <c r="D116" s="278"/>
      <c r="E116" s="257"/>
    </row>
    <row r="117" spans="1:7" ht="15" customHeight="1" x14ac:dyDescent="0.3">
      <c r="A117" s="1" t="s">
        <v>395</v>
      </c>
      <c r="B117" s="193">
        <v>2500000</v>
      </c>
      <c r="C117" s="193">
        <v>2500000</v>
      </c>
      <c r="D117" s="230">
        <f>B117-C117</f>
        <v>0</v>
      </c>
      <c r="E117" s="257">
        <v>10000000</v>
      </c>
      <c r="F117" s="258"/>
      <c r="G117" s="259">
        <f>E117-F117</f>
        <v>10000000</v>
      </c>
    </row>
    <row r="118" spans="1:7" ht="15" customHeight="1" x14ac:dyDescent="0.3">
      <c r="A118" s="1" t="s">
        <v>492</v>
      </c>
      <c r="B118" s="193">
        <v>2500000</v>
      </c>
      <c r="C118" s="193">
        <v>0</v>
      </c>
      <c r="D118" s="230">
        <f t="shared" ref="D118:D119" si="23">B118-C118</f>
        <v>2500000</v>
      </c>
      <c r="E118" s="257"/>
    </row>
    <row r="119" spans="1:7" ht="15" customHeight="1" x14ac:dyDescent="0.3">
      <c r="A119" s="1" t="s">
        <v>398</v>
      </c>
      <c r="B119" s="193">
        <f>B117+B118</f>
        <v>5000000</v>
      </c>
      <c r="C119" s="193">
        <f>C117+C118</f>
        <v>2500000</v>
      </c>
      <c r="D119" s="230">
        <f t="shared" si="23"/>
        <v>2500000</v>
      </c>
      <c r="E119" s="257"/>
    </row>
    <row r="120" spans="1:7" ht="14.45" x14ac:dyDescent="0.3">
      <c r="A120" s="282" t="s">
        <v>565</v>
      </c>
      <c r="B120" s="282"/>
      <c r="C120" s="282"/>
      <c r="D120" s="282"/>
      <c r="E120" s="257"/>
    </row>
    <row r="121" spans="1:7" ht="14.45" x14ac:dyDescent="0.3">
      <c r="A121" s="1" t="s">
        <v>395</v>
      </c>
      <c r="B121" s="193">
        <v>10000000</v>
      </c>
      <c r="C121" s="263">
        <v>10000000</v>
      </c>
      <c r="D121" s="230">
        <f>B121-C121</f>
        <v>0</v>
      </c>
      <c r="E121" s="257">
        <v>40000000</v>
      </c>
      <c r="F121" s="258">
        <v>40000000</v>
      </c>
      <c r="G121" s="259">
        <f>E121-F121</f>
        <v>0</v>
      </c>
    </row>
    <row r="122" spans="1:7" ht="14.45" x14ac:dyDescent="0.3">
      <c r="A122" s="1" t="s">
        <v>566</v>
      </c>
      <c r="B122" s="193">
        <v>10000000</v>
      </c>
      <c r="C122" s="193">
        <v>10000000</v>
      </c>
      <c r="D122" s="230">
        <f t="shared" ref="D122:D123" si="24">B122-C122</f>
        <v>0</v>
      </c>
      <c r="E122" s="257"/>
    </row>
    <row r="123" spans="1:7" ht="14.45" x14ac:dyDescent="0.3">
      <c r="A123" s="1" t="s">
        <v>398</v>
      </c>
      <c r="B123" s="193">
        <f>B121+B122</f>
        <v>20000000</v>
      </c>
      <c r="C123" s="193">
        <f>C121+C122</f>
        <v>20000000</v>
      </c>
      <c r="D123" s="230">
        <f t="shared" si="24"/>
        <v>0</v>
      </c>
      <c r="E123" s="257"/>
    </row>
    <row r="124" spans="1:7" ht="14.45" x14ac:dyDescent="0.3">
      <c r="A124" s="283" t="s">
        <v>567</v>
      </c>
      <c r="B124" s="283"/>
      <c r="C124" s="283"/>
      <c r="D124" s="283"/>
      <c r="E124" s="257"/>
    </row>
    <row r="125" spans="1:7" ht="14.45" x14ac:dyDescent="0.3">
      <c r="A125" s="1" t="s">
        <v>395</v>
      </c>
      <c r="B125" s="193">
        <v>7500000</v>
      </c>
      <c r="C125" s="267">
        <v>7500000</v>
      </c>
      <c r="D125" s="230">
        <f>B125-C125</f>
        <v>0</v>
      </c>
      <c r="E125" s="257">
        <v>30000000</v>
      </c>
      <c r="F125" s="258">
        <v>30000000</v>
      </c>
      <c r="G125" s="259">
        <f>E125-F125</f>
        <v>0</v>
      </c>
    </row>
    <row r="126" spans="1:7" ht="14.45" x14ac:dyDescent="0.3">
      <c r="A126" s="1" t="s">
        <v>303</v>
      </c>
      <c r="B126" s="193">
        <v>7500000</v>
      </c>
      <c r="C126" s="193">
        <v>0</v>
      </c>
      <c r="D126" s="230">
        <f t="shared" ref="D126:D127" si="25">B126-C126</f>
        <v>7500000</v>
      </c>
      <c r="E126" s="257"/>
    </row>
    <row r="127" spans="1:7" ht="14.45" x14ac:dyDescent="0.3">
      <c r="A127" s="1" t="s">
        <v>398</v>
      </c>
      <c r="B127" s="193">
        <f>B125+B126</f>
        <v>15000000</v>
      </c>
      <c r="C127" s="193">
        <f>C125+C126</f>
        <v>7500000</v>
      </c>
      <c r="D127" s="230">
        <f t="shared" si="25"/>
        <v>7500000</v>
      </c>
      <c r="E127" s="257"/>
    </row>
    <row r="128" spans="1:7" ht="14.45" x14ac:dyDescent="0.3">
      <c r="A128" s="283" t="s">
        <v>475</v>
      </c>
      <c r="B128" s="283"/>
      <c r="C128" s="283"/>
      <c r="D128" s="283"/>
      <c r="E128" s="257"/>
    </row>
    <row r="129" spans="1:7" ht="14.45" x14ac:dyDescent="0.3">
      <c r="A129" s="1" t="s">
        <v>395</v>
      </c>
      <c r="B129" s="193">
        <v>11250000</v>
      </c>
      <c r="C129" s="263">
        <v>11250000</v>
      </c>
      <c r="D129" s="230">
        <f>B129-C129</f>
        <v>0</v>
      </c>
      <c r="E129" s="257">
        <v>50000000</v>
      </c>
      <c r="F129" s="257">
        <v>50000000</v>
      </c>
      <c r="G129" s="259">
        <f>E129-F129</f>
        <v>0</v>
      </c>
    </row>
    <row r="130" spans="1:7" ht="14.45" x14ac:dyDescent="0.3">
      <c r="A130" s="1" t="s">
        <v>309</v>
      </c>
      <c r="B130" s="193">
        <v>11250000</v>
      </c>
      <c r="C130" s="193">
        <v>0</v>
      </c>
      <c r="D130" s="230">
        <f t="shared" ref="D130:D131" si="26">B130-C130</f>
        <v>11250000</v>
      </c>
      <c r="E130" s="257"/>
    </row>
    <row r="131" spans="1:7" ht="14.45" x14ac:dyDescent="0.3">
      <c r="A131" s="1" t="s">
        <v>398</v>
      </c>
      <c r="B131" s="193">
        <f>B129+B130</f>
        <v>22500000</v>
      </c>
      <c r="C131" s="193">
        <f>C129+C130</f>
        <v>11250000</v>
      </c>
      <c r="D131" s="230">
        <f t="shared" si="26"/>
        <v>11250000</v>
      </c>
      <c r="E131" s="257"/>
    </row>
    <row r="132" spans="1:7" ht="14.45" x14ac:dyDescent="0.3">
      <c r="A132" s="283" t="s">
        <v>476</v>
      </c>
      <c r="B132" s="283"/>
      <c r="C132" s="283"/>
      <c r="D132" s="283"/>
      <c r="E132" s="257"/>
    </row>
    <row r="133" spans="1:7" ht="14.45" x14ac:dyDescent="0.3">
      <c r="A133" s="1" t="s">
        <v>395</v>
      </c>
      <c r="B133" s="193">
        <v>11250000</v>
      </c>
      <c r="C133" s="263">
        <v>11250000</v>
      </c>
      <c r="D133" s="230">
        <f>B133-C133</f>
        <v>0</v>
      </c>
      <c r="E133" s="257">
        <v>40000000</v>
      </c>
      <c r="F133" s="257">
        <v>40000000</v>
      </c>
      <c r="G133" s="259">
        <f>E133-F133</f>
        <v>0</v>
      </c>
    </row>
    <row r="134" spans="1:7" ht="14.45" x14ac:dyDescent="0.3">
      <c r="A134" s="1" t="s">
        <v>490</v>
      </c>
      <c r="B134" s="193">
        <v>11250000</v>
      </c>
      <c r="C134" s="263">
        <v>11250000</v>
      </c>
      <c r="D134" s="230">
        <f t="shared" ref="D134:D135" si="27">B134-C134</f>
        <v>0</v>
      </c>
      <c r="E134" s="257"/>
    </row>
    <row r="135" spans="1:7" ht="14.45" x14ac:dyDescent="0.3">
      <c r="A135" s="1" t="s">
        <v>398</v>
      </c>
      <c r="B135" s="193">
        <f>B133+B134</f>
        <v>22500000</v>
      </c>
      <c r="C135" s="193">
        <f>C133+C134</f>
        <v>22500000</v>
      </c>
      <c r="D135" s="230">
        <f t="shared" si="27"/>
        <v>0</v>
      </c>
      <c r="E135" s="257"/>
    </row>
    <row r="136" spans="1:7" ht="14.45" x14ac:dyDescent="0.3">
      <c r="A136" s="282" t="s">
        <v>568</v>
      </c>
      <c r="B136" s="282"/>
      <c r="C136" s="282"/>
      <c r="D136" s="282"/>
      <c r="E136" s="257"/>
    </row>
    <row r="137" spans="1:7" ht="14.45" x14ac:dyDescent="0.3">
      <c r="A137" s="1" t="s">
        <v>395</v>
      </c>
      <c r="B137" s="193">
        <v>4250000</v>
      </c>
      <c r="C137" s="263">
        <v>4250000</v>
      </c>
      <c r="D137" s="230">
        <f>B137-C137</f>
        <v>0</v>
      </c>
      <c r="E137" s="257"/>
    </row>
    <row r="138" spans="1:7" ht="14.45" x14ac:dyDescent="0.3">
      <c r="A138" s="1" t="s">
        <v>569</v>
      </c>
      <c r="B138" s="193">
        <v>4250000</v>
      </c>
      <c r="C138" s="193">
        <v>4250000</v>
      </c>
      <c r="D138" s="230">
        <f t="shared" ref="D138:D139" si="28">B138-C138</f>
        <v>0</v>
      </c>
      <c r="E138" s="257"/>
    </row>
    <row r="139" spans="1:7" ht="14.45" x14ac:dyDescent="0.3">
      <c r="A139" s="1" t="s">
        <v>398</v>
      </c>
      <c r="B139" s="193">
        <f>B137+B138</f>
        <v>8500000</v>
      </c>
      <c r="C139" s="193">
        <f>C137+C138</f>
        <v>8500000</v>
      </c>
      <c r="D139" s="230">
        <f t="shared" si="28"/>
        <v>0</v>
      </c>
      <c r="E139" s="257"/>
    </row>
    <row r="140" spans="1:7" x14ac:dyDescent="0.25">
      <c r="A140" s="283" t="s">
        <v>570</v>
      </c>
      <c r="B140" s="283"/>
      <c r="C140" s="283"/>
      <c r="D140" s="283"/>
      <c r="E140" s="257"/>
    </row>
    <row r="141" spans="1:7" x14ac:dyDescent="0.25">
      <c r="A141" s="1" t="s">
        <v>395</v>
      </c>
      <c r="B141" s="193">
        <v>25000000</v>
      </c>
      <c r="C141" s="263">
        <f>9900000+15100000</f>
        <v>25000000</v>
      </c>
      <c r="D141" s="268">
        <f>B141-C141</f>
        <v>0</v>
      </c>
      <c r="E141" s="257">
        <v>100000000</v>
      </c>
      <c r="F141" s="257">
        <v>100000000</v>
      </c>
      <c r="G141" s="259">
        <f>E141-F141</f>
        <v>0</v>
      </c>
    </row>
    <row r="142" spans="1:7" x14ac:dyDescent="0.25">
      <c r="A142" s="1" t="s">
        <v>490</v>
      </c>
      <c r="B142" s="193">
        <v>25000000</v>
      </c>
      <c r="C142" s="267">
        <v>25000000</v>
      </c>
      <c r="D142" s="230">
        <f t="shared" ref="D142:D143" si="29">B142-C142</f>
        <v>0</v>
      </c>
      <c r="E142" s="257"/>
    </row>
    <row r="143" spans="1:7" x14ac:dyDescent="0.25">
      <c r="A143" s="1" t="s">
        <v>398</v>
      </c>
      <c r="B143" s="193">
        <f>B141+B142</f>
        <v>50000000</v>
      </c>
      <c r="C143" s="193">
        <f>C141+C142</f>
        <v>50000000</v>
      </c>
      <c r="D143" s="230">
        <f t="shared" si="29"/>
        <v>0</v>
      </c>
      <c r="E143" s="257"/>
    </row>
    <row r="144" spans="1:7" x14ac:dyDescent="0.25">
      <c r="A144" s="283" t="s">
        <v>571</v>
      </c>
      <c r="B144" s="283"/>
      <c r="C144" s="283"/>
      <c r="D144" s="283"/>
      <c r="E144" s="257"/>
    </row>
    <row r="145" spans="1:7" x14ac:dyDescent="0.25">
      <c r="A145" s="1" t="s">
        <v>395</v>
      </c>
      <c r="B145" s="193">
        <v>1500000</v>
      </c>
      <c r="C145" s="193">
        <v>1500000</v>
      </c>
      <c r="D145" s="230">
        <f>B145-C145</f>
        <v>0</v>
      </c>
      <c r="E145" s="257">
        <v>6000000</v>
      </c>
      <c r="G145" s="259">
        <f>E145-F145</f>
        <v>6000000</v>
      </c>
    </row>
    <row r="146" spans="1:7" x14ac:dyDescent="0.25">
      <c r="A146" s="1" t="s">
        <v>490</v>
      </c>
      <c r="B146" s="193">
        <v>1500000</v>
      </c>
      <c r="C146" s="193">
        <v>0</v>
      </c>
      <c r="D146" s="230">
        <f t="shared" ref="D146:D147" si="30">B146-C146</f>
        <v>1500000</v>
      </c>
      <c r="E146" s="257"/>
    </row>
    <row r="147" spans="1:7" x14ac:dyDescent="0.25">
      <c r="A147" s="1" t="s">
        <v>398</v>
      </c>
      <c r="B147" s="193">
        <f>B145+B146</f>
        <v>3000000</v>
      </c>
      <c r="C147" s="193">
        <f>C145+C146</f>
        <v>1500000</v>
      </c>
      <c r="D147" s="230">
        <f t="shared" si="30"/>
        <v>1500000</v>
      </c>
      <c r="E147" s="257"/>
    </row>
    <row r="148" spans="1:7" x14ac:dyDescent="0.25">
      <c r="A148" s="282" t="s">
        <v>572</v>
      </c>
      <c r="B148" s="282"/>
      <c r="C148" s="282"/>
      <c r="D148" s="282"/>
      <c r="E148" s="257"/>
    </row>
    <row r="149" spans="1:7" x14ac:dyDescent="0.25">
      <c r="A149" s="1" t="s">
        <v>395</v>
      </c>
      <c r="B149" s="193">
        <v>23585000</v>
      </c>
      <c r="C149" s="263">
        <v>23585000</v>
      </c>
      <c r="D149" s="230">
        <f>B149-C149</f>
        <v>0</v>
      </c>
      <c r="E149" s="257"/>
    </row>
    <row r="150" spans="1:7" x14ac:dyDescent="0.25">
      <c r="A150" s="1" t="s">
        <v>490</v>
      </c>
      <c r="B150" s="193">
        <v>22000000</v>
      </c>
      <c r="C150" s="193">
        <v>22000000</v>
      </c>
      <c r="D150" s="230">
        <f t="shared" ref="D150:D151" si="31">B150-C150</f>
        <v>0</v>
      </c>
      <c r="E150" s="257"/>
    </row>
    <row r="151" spans="1:7" x14ac:dyDescent="0.25">
      <c r="A151" s="1" t="s">
        <v>398</v>
      </c>
      <c r="B151" s="193">
        <f>B149+B150</f>
        <v>45585000</v>
      </c>
      <c r="C151" s="193">
        <f>C149+C150</f>
        <v>45585000</v>
      </c>
      <c r="D151" s="230">
        <f t="shared" si="31"/>
        <v>0</v>
      </c>
      <c r="E151" s="257"/>
    </row>
    <row r="152" spans="1:7" x14ac:dyDescent="0.25">
      <c r="A152" s="283" t="s">
        <v>573</v>
      </c>
      <c r="B152" s="283"/>
      <c r="C152" s="283"/>
      <c r="D152" s="283"/>
      <c r="E152" s="257"/>
    </row>
    <row r="153" spans="1:7" x14ac:dyDescent="0.25">
      <c r="A153" s="1" t="s">
        <v>395</v>
      </c>
      <c r="B153" s="193">
        <v>14200000</v>
      </c>
      <c r="C153" s="266">
        <v>14200000</v>
      </c>
      <c r="D153" s="230">
        <f>B153-C153</f>
        <v>0</v>
      </c>
      <c r="E153" s="257">
        <v>28800000</v>
      </c>
      <c r="F153" s="257">
        <v>28800000</v>
      </c>
    </row>
    <row r="154" spans="1:7" x14ac:dyDescent="0.25">
      <c r="A154" s="1" t="s">
        <v>574</v>
      </c>
      <c r="B154" s="193">
        <v>14200000</v>
      </c>
      <c r="C154" s="193"/>
      <c r="D154" s="230">
        <f t="shared" ref="D154:D155" si="32">B154-C154</f>
        <v>14200000</v>
      </c>
      <c r="E154" s="257"/>
    </row>
    <row r="155" spans="1:7" x14ac:dyDescent="0.25">
      <c r="A155" s="1" t="s">
        <v>398</v>
      </c>
      <c r="B155" s="193">
        <f>B153+B154</f>
        <v>28400000</v>
      </c>
      <c r="C155" s="193">
        <f>C153+C154</f>
        <v>14200000</v>
      </c>
      <c r="D155" s="230">
        <f t="shared" si="32"/>
        <v>14200000</v>
      </c>
      <c r="E155" s="257"/>
    </row>
    <row r="156" spans="1:7" x14ac:dyDescent="0.25">
      <c r="A156" s="282" t="s">
        <v>575</v>
      </c>
      <c r="B156" s="282"/>
      <c r="C156" s="282"/>
      <c r="D156" s="282"/>
      <c r="E156" s="257"/>
    </row>
    <row r="157" spans="1:7" x14ac:dyDescent="0.25">
      <c r="A157" s="1" t="s">
        <v>395</v>
      </c>
      <c r="B157" s="193">
        <v>2500000</v>
      </c>
      <c r="C157" s="267">
        <v>2500000</v>
      </c>
      <c r="D157" s="230">
        <f>B157-C157</f>
        <v>0</v>
      </c>
      <c r="E157" s="257">
        <v>10000000</v>
      </c>
      <c r="F157" s="258">
        <v>10000000</v>
      </c>
      <c r="G157" s="259">
        <f>E157-F157</f>
        <v>0</v>
      </c>
    </row>
    <row r="158" spans="1:7" x14ac:dyDescent="0.25">
      <c r="A158" s="1" t="s">
        <v>219</v>
      </c>
      <c r="B158" s="193">
        <v>2500000</v>
      </c>
      <c r="C158" s="267">
        <v>2500000</v>
      </c>
      <c r="D158" s="230">
        <f t="shared" ref="D158:D159" si="33">B158-C158</f>
        <v>0</v>
      </c>
      <c r="E158" s="257"/>
    </row>
    <row r="159" spans="1:7" x14ac:dyDescent="0.25">
      <c r="A159" s="1" t="s">
        <v>398</v>
      </c>
      <c r="B159" s="193">
        <f>B157+B158</f>
        <v>5000000</v>
      </c>
      <c r="C159" s="193">
        <f>C157+C158</f>
        <v>5000000</v>
      </c>
      <c r="D159" s="230">
        <f t="shared" si="33"/>
        <v>0</v>
      </c>
      <c r="E159" s="257"/>
    </row>
    <row r="160" spans="1:7" x14ac:dyDescent="0.25">
      <c r="A160" s="283" t="s">
        <v>576</v>
      </c>
      <c r="B160" s="283"/>
      <c r="C160" s="283"/>
      <c r="D160" s="283"/>
      <c r="E160" s="257"/>
    </row>
    <row r="161" spans="1:7" x14ac:dyDescent="0.25">
      <c r="A161" s="1" t="s">
        <v>395</v>
      </c>
      <c r="B161" s="193">
        <v>7500000</v>
      </c>
      <c r="C161" s="266"/>
      <c r="D161" s="230">
        <f>B161-C161</f>
        <v>7500000</v>
      </c>
      <c r="E161" s="257">
        <v>30000000</v>
      </c>
      <c r="F161" s="257">
        <v>12000000</v>
      </c>
      <c r="G161" s="259">
        <f>E161-F161</f>
        <v>18000000</v>
      </c>
    </row>
    <row r="162" spans="1:7" x14ac:dyDescent="0.25">
      <c r="A162" s="1" t="s">
        <v>566</v>
      </c>
      <c r="B162" s="193">
        <v>7500000</v>
      </c>
      <c r="C162" s="266"/>
      <c r="D162" s="230">
        <f t="shared" ref="D162:D163" si="34">B162-C162</f>
        <v>7500000</v>
      </c>
      <c r="E162" s="257"/>
    </row>
    <row r="163" spans="1:7" x14ac:dyDescent="0.25">
      <c r="A163" s="1" t="s">
        <v>398</v>
      </c>
      <c r="B163" s="193">
        <f>B161+B162</f>
        <v>15000000</v>
      </c>
      <c r="C163" s="193">
        <f>C161+C162</f>
        <v>0</v>
      </c>
      <c r="D163" s="230">
        <f t="shared" si="34"/>
        <v>15000000</v>
      </c>
      <c r="E163" s="257"/>
    </row>
    <row r="164" spans="1:7" x14ac:dyDescent="0.25">
      <c r="A164" s="279" t="s">
        <v>577</v>
      </c>
      <c r="B164" s="280"/>
      <c r="C164" s="280"/>
      <c r="D164" s="281"/>
      <c r="E164" s="257"/>
    </row>
    <row r="165" spans="1:7" x14ac:dyDescent="0.25">
      <c r="A165" s="1" t="s">
        <v>395</v>
      </c>
      <c r="B165" s="193"/>
      <c r="C165" s="193">
        <v>0</v>
      </c>
      <c r="D165" s="230">
        <f>B165-C165</f>
        <v>0</v>
      </c>
      <c r="E165" s="257"/>
    </row>
    <row r="166" spans="1:7" x14ac:dyDescent="0.25">
      <c r="A166" s="1" t="s">
        <v>467</v>
      </c>
      <c r="B166" s="193"/>
      <c r="C166" s="193">
        <v>0</v>
      </c>
      <c r="D166" s="230">
        <f t="shared" ref="D166:D167" si="35">B166-C166</f>
        <v>0</v>
      </c>
      <c r="E166" s="257"/>
    </row>
    <row r="167" spans="1:7" x14ac:dyDescent="0.25">
      <c r="A167" s="1" t="s">
        <v>398</v>
      </c>
      <c r="B167" s="193">
        <f>B165+B166</f>
        <v>0</v>
      </c>
      <c r="C167" s="193">
        <f>C165+C166</f>
        <v>0</v>
      </c>
      <c r="D167" s="230">
        <f t="shared" si="35"/>
        <v>0</v>
      </c>
      <c r="E167" s="257"/>
    </row>
    <row r="168" spans="1:7" x14ac:dyDescent="0.25">
      <c r="A168" s="276" t="s">
        <v>579</v>
      </c>
      <c r="B168" s="277"/>
      <c r="C168" s="277"/>
      <c r="D168" s="278"/>
      <c r="E168" s="257"/>
    </row>
    <row r="169" spans="1:7" x14ac:dyDescent="0.25">
      <c r="A169" s="1" t="s">
        <v>395</v>
      </c>
      <c r="B169" s="193">
        <v>7500000</v>
      </c>
      <c r="C169" s="193">
        <v>7500000</v>
      </c>
      <c r="D169" s="230">
        <f>B169-C169</f>
        <v>0</v>
      </c>
      <c r="E169" s="257">
        <v>25000000</v>
      </c>
      <c r="F169" s="258">
        <v>25000000</v>
      </c>
      <c r="G169" s="259">
        <f>E169-F169</f>
        <v>0</v>
      </c>
    </row>
    <row r="170" spans="1:7" x14ac:dyDescent="0.25">
      <c r="A170" s="1" t="s">
        <v>490</v>
      </c>
      <c r="B170" s="193">
        <v>7500000</v>
      </c>
      <c r="C170" s="193">
        <v>7500000</v>
      </c>
      <c r="D170" s="230">
        <f t="shared" ref="D170:D171" si="36">B170-C170</f>
        <v>0</v>
      </c>
      <c r="E170" s="257"/>
    </row>
    <row r="171" spans="1:7" x14ac:dyDescent="0.25">
      <c r="A171" s="1" t="s">
        <v>398</v>
      </c>
      <c r="B171" s="193">
        <f>B169+B170</f>
        <v>15000000</v>
      </c>
      <c r="C171" s="193">
        <f>C169+C170</f>
        <v>15000000</v>
      </c>
      <c r="D171" s="230">
        <f t="shared" si="36"/>
        <v>0</v>
      </c>
      <c r="E171" s="257"/>
    </row>
    <row r="172" spans="1:7" x14ac:dyDescent="0.25">
      <c r="A172" s="279" t="s">
        <v>580</v>
      </c>
      <c r="B172" s="280"/>
      <c r="C172" s="280"/>
      <c r="D172" s="281"/>
      <c r="E172" s="257"/>
    </row>
    <row r="173" spans="1:7" x14ac:dyDescent="0.25">
      <c r="A173" s="1" t="s">
        <v>395</v>
      </c>
      <c r="B173" s="193">
        <v>6000000</v>
      </c>
      <c r="C173" s="193">
        <v>6000000</v>
      </c>
      <c r="D173" s="230">
        <f>B173-C173</f>
        <v>0</v>
      </c>
      <c r="E173" s="257">
        <v>24000000</v>
      </c>
      <c r="F173" s="258">
        <v>12000000</v>
      </c>
      <c r="G173" s="259">
        <f>E173-F173</f>
        <v>12000000</v>
      </c>
    </row>
    <row r="174" spans="1:7" x14ac:dyDescent="0.25">
      <c r="A174" s="1" t="s">
        <v>490</v>
      </c>
      <c r="B174" s="193">
        <v>6000000</v>
      </c>
      <c r="C174" s="193">
        <v>6000000</v>
      </c>
      <c r="D174" s="230">
        <f t="shared" ref="D174:D175" si="37">B174-C174</f>
        <v>0</v>
      </c>
      <c r="E174" s="257"/>
    </row>
    <row r="175" spans="1:7" x14ac:dyDescent="0.25">
      <c r="A175" s="1" t="s">
        <v>398</v>
      </c>
      <c r="B175" s="193">
        <f>B173+B174</f>
        <v>12000000</v>
      </c>
      <c r="C175" s="193">
        <f>C173+C174</f>
        <v>12000000</v>
      </c>
      <c r="D175" s="230">
        <f t="shared" si="37"/>
        <v>0</v>
      </c>
      <c r="E175" s="257"/>
    </row>
    <row r="176" spans="1:7" x14ac:dyDescent="0.25">
      <c r="A176" s="279" t="s">
        <v>581</v>
      </c>
      <c r="B176" s="280"/>
      <c r="C176" s="280"/>
      <c r="D176" s="281"/>
      <c r="E176" s="257"/>
    </row>
    <row r="177" spans="1:7" x14ac:dyDescent="0.25">
      <c r="A177" s="1" t="s">
        <v>395</v>
      </c>
      <c r="B177" s="193">
        <v>5000000</v>
      </c>
      <c r="C177" s="193">
        <v>5000000</v>
      </c>
      <c r="D177" s="230">
        <f>B177-C177</f>
        <v>0</v>
      </c>
      <c r="E177" s="257">
        <v>20000000</v>
      </c>
      <c r="G177" s="259">
        <f>E177-F177</f>
        <v>20000000</v>
      </c>
    </row>
    <row r="178" spans="1:7" x14ac:dyDescent="0.25">
      <c r="A178" s="1"/>
      <c r="B178" s="193">
        <v>5000000</v>
      </c>
      <c r="C178" s="193">
        <v>0</v>
      </c>
      <c r="D178" s="230">
        <f t="shared" ref="D178:D179" si="38">B178-C178</f>
        <v>5000000</v>
      </c>
      <c r="E178" s="257"/>
    </row>
    <row r="179" spans="1:7" x14ac:dyDescent="0.25">
      <c r="A179" s="1" t="s">
        <v>398</v>
      </c>
      <c r="B179" s="193">
        <f>B177+B178</f>
        <v>10000000</v>
      </c>
      <c r="C179" s="193">
        <f>C177+C178</f>
        <v>5000000</v>
      </c>
      <c r="D179" s="230">
        <f t="shared" si="38"/>
        <v>5000000</v>
      </c>
      <c r="E179" s="257"/>
    </row>
    <row r="180" spans="1:7" x14ac:dyDescent="0.25">
      <c r="A180" s="279" t="s">
        <v>582</v>
      </c>
      <c r="B180" s="280"/>
      <c r="C180" s="280"/>
      <c r="D180" s="281"/>
      <c r="E180" s="257"/>
    </row>
    <row r="181" spans="1:7" x14ac:dyDescent="0.25">
      <c r="A181" s="1" t="s">
        <v>395</v>
      </c>
      <c r="B181" s="193">
        <v>1500000</v>
      </c>
      <c r="C181" s="193">
        <v>1500000</v>
      </c>
      <c r="D181" s="230">
        <f>B181-C181</f>
        <v>0</v>
      </c>
      <c r="E181" s="257">
        <v>6000000</v>
      </c>
      <c r="G181" s="259">
        <f>E181-F181</f>
        <v>6000000</v>
      </c>
    </row>
    <row r="182" spans="1:7" x14ac:dyDescent="0.25">
      <c r="A182" s="1"/>
      <c r="B182" s="193">
        <v>1500000</v>
      </c>
      <c r="C182" s="193">
        <v>0</v>
      </c>
      <c r="D182" s="230">
        <f t="shared" ref="D182:D183" si="39">B182-C182</f>
        <v>1500000</v>
      </c>
      <c r="E182" s="257"/>
    </row>
    <row r="183" spans="1:7" x14ac:dyDescent="0.25">
      <c r="A183" s="1" t="s">
        <v>398</v>
      </c>
      <c r="B183" s="193">
        <f>B181+B182</f>
        <v>3000000</v>
      </c>
      <c r="C183" s="193">
        <f>C181+C182</f>
        <v>1500000</v>
      </c>
      <c r="D183" s="230">
        <f t="shared" si="39"/>
        <v>1500000</v>
      </c>
      <c r="E183" s="257"/>
    </row>
    <row r="184" spans="1:7" x14ac:dyDescent="0.25">
      <c r="A184" s="260"/>
      <c r="B184" s="261"/>
      <c r="C184" s="261"/>
      <c r="D184" s="262"/>
      <c r="E184" s="257"/>
    </row>
    <row r="185" spans="1:7" x14ac:dyDescent="0.25">
      <c r="A185" s="260"/>
      <c r="B185" s="261"/>
      <c r="C185" s="261"/>
      <c r="D185" s="262"/>
      <c r="E185" s="257"/>
    </row>
    <row r="186" spans="1:7" x14ac:dyDescent="0.25">
      <c r="A186" s="260"/>
      <c r="B186" s="261"/>
      <c r="C186" s="261"/>
      <c r="D186" s="262"/>
      <c r="E186" s="257"/>
    </row>
    <row r="187" spans="1:7" x14ac:dyDescent="0.25">
      <c r="C187" s="264">
        <f>C149+C98+C137+C134+C133+C129+C121+2000000+9900000</f>
        <v>227485000</v>
      </c>
      <c r="D187" s="259">
        <f>D135+D131+D127+D123+D119+D115+D111+D107+D103+D96+D74+D69+D139+D143+D147+D151+D155+D159+D163+D167</f>
        <v>83450000</v>
      </c>
      <c r="E187" s="259">
        <f>SUM(E67:E183)</f>
        <v>1030800000</v>
      </c>
      <c r="F187" s="259">
        <f>SUM(F67:F183)</f>
        <v>915800000</v>
      </c>
      <c r="G187" s="259">
        <f>SUM(G67:G183)</f>
        <v>115000000</v>
      </c>
    </row>
    <row r="188" spans="1:7" x14ac:dyDescent="0.25">
      <c r="B188" t="s">
        <v>578</v>
      </c>
      <c r="C188" s="257">
        <f>217485000+10000000</f>
        <v>227485000</v>
      </c>
      <c r="E188" s="257"/>
    </row>
    <row r="189" spans="1:7" x14ac:dyDescent="0.25">
      <c r="C189" s="259">
        <f>C188-C187</f>
        <v>0</v>
      </c>
      <c r="E189" s="257">
        <f>+E187/2</f>
        <v>515400000</v>
      </c>
    </row>
    <row r="191" spans="1:7" x14ac:dyDescent="0.25">
      <c r="C191">
        <f>162215600+8999600+10000000</f>
        <v>181215200</v>
      </c>
    </row>
    <row r="192" spans="1:7" x14ac:dyDescent="0.25">
      <c r="C192" s="259">
        <f>C142+15100000+C157+C158+C111+C107+C103+C67+C71+C145+C171+C175+C177+C181+C155</f>
        <v>145800000</v>
      </c>
    </row>
    <row r="193" spans="3:3" x14ac:dyDescent="0.25">
      <c r="C193" s="259">
        <f>C191-C192</f>
        <v>35415200</v>
      </c>
    </row>
    <row r="194" spans="3:3" x14ac:dyDescent="0.25">
      <c r="C194" s="259">
        <f>C183+C181+C179+C175+C167+C163+C159+C155+C151+C147+C143+C139+C135+C131+C127+C123+C119+C115+C111+C107+C103+C99+C96+C74+C69</f>
        <v>464035000</v>
      </c>
    </row>
    <row r="196" spans="3:3" x14ac:dyDescent="0.25">
      <c r="C196" s="269">
        <f>+E189-C194</f>
        <v>51365000</v>
      </c>
    </row>
    <row r="197" spans="3:3" x14ac:dyDescent="0.25">
      <c r="C197" s="259">
        <f>+C196-C193</f>
        <v>15949800</v>
      </c>
    </row>
  </sheetData>
  <mergeCells count="44">
    <mergeCell ref="A164:D164"/>
    <mergeCell ref="A132:D132"/>
    <mergeCell ref="A136:D136"/>
    <mergeCell ref="A140:D140"/>
    <mergeCell ref="A144:D144"/>
    <mergeCell ref="A148:D148"/>
    <mergeCell ref="A100:D100"/>
    <mergeCell ref="A104:D104"/>
    <mergeCell ref="A152:D152"/>
    <mergeCell ref="A156:D156"/>
    <mergeCell ref="A160:D160"/>
    <mergeCell ref="A2:D2"/>
    <mergeCell ref="A9:D9"/>
    <mergeCell ref="A13:D13"/>
    <mergeCell ref="A17:D17"/>
    <mergeCell ref="A21:D21"/>
    <mergeCell ref="A66:D66"/>
    <mergeCell ref="A70:D70"/>
    <mergeCell ref="A26:D26"/>
    <mergeCell ref="A32:D32"/>
    <mergeCell ref="A36:D36"/>
    <mergeCell ref="A58:D58"/>
    <mergeCell ref="A62:D62"/>
    <mergeCell ref="A40:D40"/>
    <mergeCell ref="A45:D45"/>
    <mergeCell ref="A48:D48"/>
    <mergeCell ref="A52:D52"/>
    <mergeCell ref="A55:D55"/>
    <mergeCell ref="A168:D168"/>
    <mergeCell ref="A172:D172"/>
    <mergeCell ref="A176:D176"/>
    <mergeCell ref="A180:D180"/>
    <mergeCell ref="A75:D75"/>
    <mergeCell ref="A79:D79"/>
    <mergeCell ref="A83:D83"/>
    <mergeCell ref="A87:D87"/>
    <mergeCell ref="A120:D120"/>
    <mergeCell ref="A124:D124"/>
    <mergeCell ref="A128:D128"/>
    <mergeCell ref="A108:D108"/>
    <mergeCell ref="A112:D112"/>
    <mergeCell ref="A116:D116"/>
    <mergeCell ref="A93:D93"/>
    <mergeCell ref="A97:D97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1</vt:i4>
      </vt:variant>
    </vt:vector>
  </HeadingPairs>
  <TitlesOfParts>
    <vt:vector size="15" baseType="lpstr">
      <vt:lpstr>Лист1</vt:lpstr>
      <vt:lpstr>11,2018</vt:lpstr>
      <vt:lpstr>01,2019</vt:lpstr>
      <vt:lpstr>12,2018 </vt:lpstr>
      <vt:lpstr>25-29</vt:lpstr>
      <vt:lpstr>клиенты НДС</vt:lpstr>
      <vt:lpstr>bugalter oylik</vt:lpstr>
      <vt:lpstr>bank klient oylik</vt:lpstr>
      <vt:lpstr>nazoratchi</vt:lpstr>
      <vt:lpstr>Royxat</vt:lpstr>
      <vt:lpstr>09,2018</vt:lpstr>
      <vt:lpstr>10,2018 </vt:lpstr>
      <vt:lpstr>KPI</vt:lpstr>
      <vt:lpstr>vast</vt:lpstr>
      <vt:lpstr>'клиенты НДС'!Область_печати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гости1</cp:lastModifiedBy>
  <cp:lastPrinted>2021-07-16T13:09:29Z</cp:lastPrinted>
  <dcterms:created xsi:type="dcterms:W3CDTF">2017-12-08T13:55:20Z</dcterms:created>
  <dcterms:modified xsi:type="dcterms:W3CDTF">2026-01-24T13:00:10Z</dcterms:modified>
</cp:coreProperties>
</file>