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6" activeTab="9"/>
  </bookViews>
  <sheets>
    <sheet name="Лист1" sheetId="1" state="hidden" r:id="rId3"/>
    <sheet name="11,2018" sheetId="2" state="hidden" r:id="rId4"/>
    <sheet name="01,2019" sheetId="3" state="hidden" r:id="rId5"/>
    <sheet name="12,2018 " sheetId="4" state="hidden" r:id="rId6"/>
    <sheet name="25-29" sheetId="5" state="hidden" r:id="rId7"/>
    <sheet name="клиенты НДС" sheetId="6" state="hidden" r:id="rId8"/>
    <sheet name="bugalter oylik" sheetId="7" state="visible" r:id="rId9"/>
    <sheet name="bank klient oylik" sheetId="8" state="visible" r:id="rId10"/>
    <sheet name="nazoratchi" sheetId="9" state="visible" r:id="rId11"/>
    <sheet name="Royxat" sheetId="10" state="visible" r:id="rId12"/>
    <sheet name="09,2018" sheetId="11" state="hidden" r:id="rId13"/>
    <sheet name="10,2018 " sheetId="12" state="hidden" r:id="rId14"/>
    <sheet name="KPI" sheetId="13" state="visible" r:id="rId15"/>
    <sheet name="vast" sheetId="14" state="visible" r:id="rId16"/>
  </sheets>
  <definedNames>
    <definedName function="false" hidden="false" localSheetId="5" name="_xlnm.Print_Area" vbProcedure="false">'клиенты НДС'!$A$1:$P$97</definedName>
    <definedName function="false" hidden="true" localSheetId="5" name="_xlnm._FilterDatabase" vbProcedure="false">'клиенты НДС'!$A$1:$N$97</definedName>
  </definedNames>
  <calcPr iterateCount="100" refMode="A1" iterate="false" iterateDelta="0.0001"/>
  <pivotCaches>
    <pivotCache cacheId="1" r:id="rId1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<sst xmlns="http://schemas.openxmlformats.org/spreadsheetml/2006/main" count="2821" uniqueCount="601">
  <si>
    <t xml:space="preserve">Олмазор тумани Тиббиёт Бирлашмаси томонидан 2018 йил ноябрь ойи иш хаки суммалари поликлиникалар кесимида </t>
  </si>
  <si>
    <t xml:space="preserve">Ташкилот номи</t>
  </si>
  <si>
    <t xml:space="preserve">Суммаси</t>
  </si>
  <si>
    <t xml:space="preserve">Санаси</t>
  </si>
  <si>
    <t xml:space="preserve">Кабул килди: ФИО</t>
  </si>
  <si>
    <t xml:space="preserve">Имзо</t>
  </si>
  <si>
    <t xml:space="preserve">5-Детская стоматологическая поликлиника</t>
  </si>
  <si>
    <t xml:space="preserve">10 182 556,00</t>
  </si>
  <si>
    <t xml:space="preserve">4- Тери Таносил Касалликлар диспансери</t>
  </si>
  <si>
    <t xml:space="preserve">28 122 959,00</t>
  </si>
  <si>
    <t xml:space="preserve">Противотуберкулезный диспансер №3</t>
  </si>
  <si>
    <t xml:space="preserve">32 529 279,00</t>
  </si>
  <si>
    <t xml:space="preserve">Олмазор туман Марказий куп тармокли поликлиника</t>
  </si>
  <si>
    <t xml:space="preserve">14 Оилавий поликлиника</t>
  </si>
  <si>
    <t xml:space="preserve">30 725 181,00</t>
  </si>
  <si>
    <t xml:space="preserve">15 Семейная поликлиника</t>
  </si>
  <si>
    <t xml:space="preserve">36 774 668,00</t>
  </si>
  <si>
    <t xml:space="preserve">16 Оилавий поликлиника</t>
  </si>
  <si>
    <t xml:space="preserve">17-Оилавий поликлиника</t>
  </si>
  <si>
    <t xml:space="preserve">20 644 086,00</t>
  </si>
  <si>
    <t xml:space="preserve">20-сон оилавий поликлиника</t>
  </si>
  <si>
    <t xml:space="preserve">22 068 389,00</t>
  </si>
  <si>
    <t xml:space="preserve">21 - семейная поликлиника</t>
  </si>
  <si>
    <t xml:space="preserve">28 867 178,00</t>
  </si>
  <si>
    <t xml:space="preserve">Олмазор туман 18 оилавий поликлиника</t>
  </si>
  <si>
    <t xml:space="preserve">26 166 414,00</t>
  </si>
  <si>
    <t xml:space="preserve">Олмазор тумани 19 Оилавий поликлиника</t>
  </si>
  <si>
    <t xml:space="preserve">38 203 767,00</t>
  </si>
  <si>
    <t xml:space="preserve">Талабалар шахарчаси Марказий кўптармоқли поликлиника</t>
  </si>
  <si>
    <t xml:space="preserve">24 516 602,00</t>
  </si>
  <si>
    <t xml:space="preserve">Жами</t>
  </si>
  <si>
    <t xml:space="preserve">Бош Хисобчи</t>
  </si>
  <si>
    <t xml:space="preserve">Рустамова Ш.С</t>
  </si>
  <si>
    <t xml:space="preserve">ТТБ бошлиги</t>
  </si>
  <si>
    <t xml:space="preserve">Миралимов М.М</t>
  </si>
  <si>
    <t xml:space="preserve">№</t>
  </si>
  <si>
    <t xml:space="preserve">НАИМЕНОВАНИЯ</t>
  </si>
  <si>
    <t xml:space="preserve">ИНПС</t>
  </si>
  <si>
    <t xml:space="preserve">ЕСП</t>
  </si>
  <si>
    <t xml:space="preserve">ПОД НАЛ</t>
  </si>
  <si>
    <t xml:space="preserve">ЕНП</t>
  </si>
  <si>
    <t xml:space="preserve">ОПЛАТА</t>
  </si>
  <si>
    <t xml:space="preserve">БАЛАНС</t>
  </si>
  <si>
    <t xml:space="preserve">ФИН РЕЗ</t>
  </si>
  <si>
    <t xml:space="preserve">ПЕНСИЯ</t>
  </si>
  <si>
    <t xml:space="preserve">AVTOMOTOHAVASKOR TALABALAR , ИНН: 304651169</t>
  </si>
  <si>
    <t xml:space="preserve">"ASADTILLO BIZNES"  ИНН : 304453422</t>
  </si>
  <si>
    <t xml:space="preserve">НДС</t>
  </si>
  <si>
    <t xml:space="preserve">"INSHOOT MAXSUSMONTAJ QURILISH" ИНН : 301716199</t>
  </si>
  <si>
    <t xml:space="preserve">картотека</t>
  </si>
  <si>
    <t xml:space="preserve">"ЧП ENGLISH SERVICE" ИНН: 303256439</t>
  </si>
  <si>
    <t xml:space="preserve">"MUZAFFARXO`JA-HILOL" Х.Ф. ИНН: 206450634</t>
  </si>
  <si>
    <t xml:space="preserve"> "STUDY GUIDE" ИНН: 303408381</t>
  </si>
  <si>
    <t xml:space="preserve">"ЧП INTER PROF EDUCATION" ИНН: 304107369</t>
  </si>
  <si>
    <t xml:space="preserve">"AVTOMOTOHAVASKORLAR YANGIOBOD" ИНН: 304632864</t>
  </si>
  <si>
    <t xml:space="preserve"> "DILFUZAXON AVTO" ИНН: 304825630</t>
  </si>
  <si>
    <t xml:space="preserve"> "GLOBALMED" , ИНН: 304979653</t>
  </si>
  <si>
    <t xml:space="preserve">"УП CHORBOG` AVTOUSTOZ" ИНН: 305133922</t>
  </si>
  <si>
    <t xml:space="preserve"> "C A WOLVES" , ИНН: 305713761</t>
  </si>
  <si>
    <t xml:space="preserve">нет ещё</t>
  </si>
  <si>
    <t xml:space="preserve">"MUXLISA NUR FARM"  ИНН: 303004885</t>
  </si>
  <si>
    <t xml:space="preserve"> "AKJ SEBZOR BO`LIMI" , ИНН: 305150198</t>
  </si>
  <si>
    <t xml:space="preserve">ООО "MUBINA RAYONA BUSINESS" ИНН: 305023742</t>
  </si>
  <si>
    <t xml:space="preserve">"RUSLAN GRAND "ИНН: 303451710</t>
  </si>
  <si>
    <t xml:space="preserve">"GULBAHOR BUSINESS" ИНН: 304737756</t>
  </si>
  <si>
    <t xml:space="preserve">ABSOLUTE STRENGTH NTM , ИНН: 303434754</t>
  </si>
  <si>
    <t xml:space="preserve"> "FLY HIGH TICKET" ИНН: 305650493</t>
  </si>
  <si>
    <t xml:space="preserve">"SHINEART MCHJ"
ИНН: 300821821</t>
  </si>
  <si>
    <t xml:space="preserve">ЯТТ   537852647 Акрамов</t>
  </si>
  <si>
    <t xml:space="preserve">керакмас</t>
  </si>
  <si>
    <t xml:space="preserve">"MCHJ "METCOM" VAKOLATXONASI" ИНН: 207285442, 
</t>
  </si>
  <si>
    <t xml:space="preserve">ЕСП и Подоход и ИНПС</t>
  </si>
  <si>
    <t xml:space="preserve">10604-2 вода</t>
  </si>
  <si>
    <t xml:space="preserve">10201-9 прибыль </t>
  </si>
  <si>
    <t xml:space="preserve">10401-6,7 Имущество</t>
  </si>
  <si>
    <t xml:space="preserve">10507-1 Земля</t>
  </si>
  <si>
    <t xml:space="preserve">ЕНП, НДС</t>
  </si>
  <si>
    <t xml:space="preserve">"MEDICOM" ИНН:305925047</t>
  </si>
  <si>
    <t xml:space="preserve">суммали</t>
  </si>
  <si>
    <t xml:space="preserve">"MCHJ "METCOM" VAKOLATXONASI" ИНН: 20728544</t>
  </si>
  <si>
    <t xml:space="preserve">"ТСТ CLUSTER" 305904904</t>
  </si>
  <si>
    <t xml:space="preserve">"WALL STREET ACADEMY" 306116238</t>
  </si>
  <si>
    <t xml:space="preserve">"WALL STREET ACADEMY " 306116238</t>
  </si>
  <si>
    <t xml:space="preserve">ЯНВАР</t>
  </si>
  <si>
    <t xml:space="preserve">ФЕВРАЛ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</si>
  <si>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</si>
  <si>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</si>
  <si>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</si>
  <si>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</si>
  <si>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</si>
  <si>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</si>
  <si>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</si>
  <si>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</si>
  <si>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</si>
  <si>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</si>
  <si>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ПОДОХОД 25</t>
  </si>
  <si>
    <t xml:space="preserve">ПЕНСИЯ  25</t>
  </si>
  <si>
    <t xml:space="preserve">ПОДОХОД  29</t>
  </si>
  <si>
    <t xml:space="preserve">ПЕНСИЯ  29</t>
  </si>
  <si>
    <t xml:space="preserve">ИНН</t>
  </si>
  <si>
    <t xml:space="preserve">эгаси</t>
  </si>
  <si>
    <t xml:space="preserve">сабаб</t>
  </si>
  <si>
    <t xml:space="preserve">ЧП "MATYUSUF SALAEV"</t>
  </si>
  <si>
    <t xml:space="preserve">Розия</t>
  </si>
  <si>
    <t xml:space="preserve">Охирги ўн икки ой ичида солиқ ҳисоботларини ўз вақтида тақдим этмаслик ҳолатлари мавжуд бўлганлиги</t>
  </si>
  <si>
    <t xml:space="preserve">"MUZAFFARXO`JA-HILOL" Х.Ф.</t>
  </si>
  <si>
    <t xml:space="preserve">Ёркиной</t>
  </si>
  <si>
    <t xml:space="preserve">"SHIRIN LYUKS TAOM" 01.09.2021</t>
  </si>
  <si>
    <t xml:space="preserve"> "STUDY GUIDE" </t>
  </si>
  <si>
    <t xml:space="preserve">"ЧП INTER PROF EDUCATION" </t>
  </si>
  <si>
    <t xml:space="preserve">DORKOMPLEKTSNAB PLUS   </t>
  </si>
  <si>
    <t xml:space="preserve">MIRIRMONTAJ MCHJ</t>
  </si>
  <si>
    <t xml:space="preserve">"AVTOMOTOHAVASKORLAR YANGIOBOD" </t>
  </si>
  <si>
    <t xml:space="preserve"> "FLY TOURISM"</t>
  </si>
  <si>
    <t xml:space="preserve"> "DILFUZAXON AVTO" </t>
  </si>
  <si>
    <t xml:space="preserve">AVTOHAVASKOR CHORSU              </t>
  </si>
  <si>
    <t xml:space="preserve">"УП CHORBOG` AVTOUSTOZ"</t>
  </si>
  <si>
    <t xml:space="preserve"> "AKJ SEBZOR BO`LIMI" </t>
  </si>
  <si>
    <t xml:space="preserve">"TRANS SERVIS UK"   YUNUSOBOD</t>
  </si>
  <si>
    <t xml:space="preserve"> "LANGUAGE ACADEMY" </t>
  </si>
  <si>
    <t xml:space="preserve">ЧП "PREMIUM TRADING INVEST" </t>
  </si>
  <si>
    <t xml:space="preserve"> "C A WOLVES" </t>
  </si>
  <si>
    <t xml:space="preserve">"AVTO DRIVE AKJ" NTM    QATORTOL</t>
  </si>
  <si>
    <t xml:space="preserve">ЧП "MASHXUR TAOM BIZNES"</t>
  </si>
  <si>
    <t xml:space="preserve">Уч ойдан ортиқ вақт давомида молия-хўжалик фаолияти амалга оширилмаганлиги</t>
  </si>
  <si>
    <t xml:space="preserve">HILOL PHARM     </t>
  </si>
  <si>
    <t xml:space="preserve">Ходимлари ёки ёлланма ишчилари сони 4 кишидан кам бўлганлиги</t>
  </si>
  <si>
    <t xml:space="preserve">"WALL STREET ACADEMY" </t>
  </si>
  <si>
    <t xml:space="preserve">"TEACHER`S AUTO SCHOOL"</t>
  </si>
  <si>
    <t xml:space="preserve">"AVTO SCHOOL" NTM    QORAQAMISH</t>
  </si>
  <si>
    <t xml:space="preserve">" SAM INC" </t>
  </si>
  <si>
    <t xml:space="preserve">"AVTO BEST STUDY" NTM    SERGELI</t>
  </si>
  <si>
    <t xml:space="preserve">"AVTO DRIVE ELEGANT" NTM    RISIVIY</t>
  </si>
  <si>
    <t xml:space="preserve">"LIVING STONE" МЧЖ </t>
  </si>
  <si>
    <t xml:space="preserve">ДОО "KIDS NUR CITY" </t>
  </si>
  <si>
    <t xml:space="preserve">"AL-AZIZ ACADEMY" НОУ</t>
  </si>
  <si>
    <t xml:space="preserve">"ZIP LINE"</t>
  </si>
  <si>
    <t xml:space="preserve">Солиқ тўловчининг раҳбари бир вақтнинг ўзида бошқа солиқ тўловчида (юридик шахсда) раҳбар бўлиб, ушбу солиқ тўловчида солиқ қарзи мавжуд бўлганда ёхуд солиқ ҳисоботларини тақдим этилмаганлиги</t>
  </si>
  <si>
    <t xml:space="preserve">ЧП "LIGHT-MED" </t>
  </si>
  <si>
    <t xml:space="preserve">OOO "SS-MOBILE ELECTRONICS"</t>
  </si>
  <si>
    <t xml:space="preserve">DAMBO STORY MCHJ</t>
  </si>
  <si>
    <t xml:space="preserve">ООО "INTEST MAX"</t>
  </si>
  <si>
    <t xml:space="preserve">"MOVAROUNNAHR BIZNES"     INTEGRO</t>
  </si>
  <si>
    <t xml:space="preserve">ООО "BASKETBALL ACADEMY" </t>
  </si>
  <si>
    <t xml:space="preserve">ООО "ZAMBAR-PLATINUM" </t>
  </si>
  <si>
    <t xml:space="preserve">ООО "HIGH-TECH GROUP"</t>
  </si>
  <si>
    <t xml:space="preserve">"AVIA GORODOK"</t>
  </si>
  <si>
    <t xml:space="preserve"> "BLESSING INVEST OIL" MCHJ</t>
  </si>
  <si>
    <t xml:space="preserve"> "AKJ TUZEL BO`LIMI"</t>
  </si>
  <si>
    <t xml:space="preserve">"KESH LOGIST"</t>
  </si>
  <si>
    <t xml:space="preserve">"AVTO SCHOOL ELEGANT"    KADISHEVA</t>
  </si>
  <si>
    <t xml:space="preserve">"МОЯ УДАЧА" </t>
  </si>
  <si>
    <t xml:space="preserve">"FINANCE SCHOOL"</t>
  </si>
  <si>
    <t xml:space="preserve">"MK OFFICE" OOO</t>
  </si>
  <si>
    <t xml:space="preserve">"AVTO SCHOOL PARKENT"</t>
  </si>
  <si>
    <t xml:space="preserve">"TOSHKENT SCHOOL"    ANGREN</t>
  </si>
  <si>
    <t xml:space="preserve">"AVTO AKBAR DAIMLER"   </t>
  </si>
  <si>
    <t xml:space="preserve">ООО "SHIRIN SUPER TAOM"</t>
  </si>
  <si>
    <t xml:space="preserve">NTM "AVTO 777"     QO`YLIQ</t>
  </si>
  <si>
    <t xml:space="preserve">PRO TEACHER`S     14.07.2021</t>
  </si>
  <si>
    <t xml:space="preserve">NOBEL EDU NTM 02.08.2021</t>
  </si>
  <si>
    <t xml:space="preserve">МEZON GRP OOO</t>
  </si>
  <si>
    <t xml:space="preserve">"SAPRAMTECH" OOO 29.08.2021</t>
  </si>
  <si>
    <t xml:space="preserve">7-NINE МЧЖ 28.09.2021</t>
  </si>
  <si>
    <t xml:space="preserve">Раҳбарнинг ёки молиявий бошқарув вазифаларини амалга ошираётган шахснинг шахси “ЯММТ” ИДАК тизимида тасдиқланмаганлиги</t>
  </si>
  <si>
    <t xml:space="preserve">Ўз кўчмас мулкига эга бўлмай туриб ижарага олинган ёки текин фойдаланилаётган кўчмас мулки бўлмаганлиги</t>
  </si>
  <si>
    <t xml:space="preserve">MED PHARM ZAMIRAXON МЧЖ 28.09.2021</t>
  </si>
  <si>
    <t xml:space="preserve">"AVTOMATLASHTIRILGAN ELEKTRIK YURITMA"</t>
  </si>
  <si>
    <t xml:space="preserve">AVTOMOTOHAVASK.KONGILLI JAMIYA</t>
  </si>
  <si>
    <t xml:space="preserve">OOO "MAGISTRAL TRANS QURILISH"</t>
  </si>
  <si>
    <t xml:space="preserve">"JS MUROTOV" АДВОКАТЛИК БЮРОСИ" </t>
  </si>
  <si>
    <t xml:space="preserve">VMM RELIABLE LEGAL PROTECTION</t>
  </si>
  <si>
    <t xml:space="preserve">"RUSLAN GRAND "</t>
  </si>
  <si>
    <t xml:space="preserve">"IDEAL SYSTEM MONTAJ" </t>
  </si>
  <si>
    <t xml:space="preserve">"ЧП "ROAD RIDERS"</t>
  </si>
  <si>
    <t xml:space="preserve">ЧП "SEVEN`S UP" </t>
  </si>
  <si>
    <t xml:space="preserve">"KIDS LUNCH LADY" MChJ 01.09.2021</t>
  </si>
  <si>
    <t xml:space="preserve">ООО "AVTO LUXUSARY TRADE"  </t>
  </si>
  <si>
    <t xml:space="preserve">ООО "TEN BRANCHES"</t>
  </si>
  <si>
    <t xml:space="preserve">ЧП "CHIRCHIQ SAHOVAT" </t>
  </si>
  <si>
    <t xml:space="preserve">ООО "TIBOMED</t>
  </si>
  <si>
    <t xml:space="preserve">"JT INVESTMENT HUB" </t>
  </si>
  <si>
    <t xml:space="preserve">"IZYUM"</t>
  </si>
  <si>
    <t xml:space="preserve">OOO "MERIL" </t>
  </si>
  <si>
    <t xml:space="preserve">СП "ZIL-BAX"</t>
  </si>
  <si>
    <t xml:space="preserve">OOO "RONICS"</t>
  </si>
  <si>
    <t xml:space="preserve">OOO "X PRO SERVISE"</t>
  </si>
  <si>
    <t xml:space="preserve">"G-R-A-N-D ELECTRONICS" </t>
  </si>
  <si>
    <t xml:space="preserve">OOO "SANDWICH"</t>
  </si>
  <si>
    <t xml:space="preserve">"A E UNITED GRP" </t>
  </si>
  <si>
    <t xml:space="preserve">OOO "SARDORBEK HOUSE" </t>
  </si>
  <si>
    <t xml:space="preserve">“RUS SMART STUDY”         09.06.2021</t>
  </si>
  <si>
    <t xml:space="preserve">THE BEST CLEANERS МЧЖ 10.07.2021</t>
  </si>
  <si>
    <t xml:space="preserve">XK UNIMEAL BUSINESS ENTITY</t>
  </si>
  <si>
    <t xml:space="preserve">BUBISH AS HEALTH МЧЖ 01.09.2021</t>
  </si>
  <si>
    <t xml:space="preserve">"AQSHSTUDY" MChJ 08.09.2021</t>
  </si>
  <si>
    <t xml:space="preserve">GOLDVALLEY TEXTIL BUSINESS MCHJ</t>
  </si>
  <si>
    <t xml:space="preserve">OLTINVODIY TEXTIL ZAMIN MCHJ</t>
  </si>
  <si>
    <t xml:space="preserve">ELEGANT SUNWAY MCHJ</t>
  </si>
  <si>
    <t xml:space="preserve">"EVOLUTION TEXTIL BUSINESS" MCHJ</t>
  </si>
  <si>
    <t xml:space="preserve">"AUTOMATIC FIRE SYSTEM" MCHJ</t>
  </si>
  <si>
    <t xml:space="preserve">"THE ANNUR" OK 01.01.2022 НДС</t>
  </si>
  <si>
    <t xml:space="preserve">"GLOBAL OIL-PRO" MCHJ</t>
  </si>
  <si>
    <t xml:space="preserve">"ALWAKEEL" MCHJ</t>
  </si>
  <si>
    <t xml:space="preserve"> "DSD SS GROUP" MCHJ</t>
  </si>
  <si>
    <t xml:space="preserve">ЗИЯТОВА МУХАББАТ КАРИМБАЕВНА </t>
  </si>
  <si>
    <t xml:space="preserve">Бухгалтер</t>
  </si>
  <si>
    <t xml:space="preserve">Сумма по полю % бухгалтер</t>
  </si>
  <si>
    <t xml:space="preserve">Abrorbek</t>
  </si>
  <si>
    <t xml:space="preserve">Axmadjon</t>
  </si>
  <si>
    <t xml:space="preserve">Go'zaloy</t>
  </si>
  <si>
    <t xml:space="preserve">Maxmuda</t>
  </si>
  <si>
    <t xml:space="preserve">Mirabbos</t>
  </si>
  <si>
    <t xml:space="preserve">Muslimbek</t>
  </si>
  <si>
    <t xml:space="preserve">Sherzod</t>
  </si>
  <si>
    <t xml:space="preserve">(empty)</t>
  </si>
  <si>
    <t xml:space="preserve">Zamira</t>
  </si>
  <si>
    <t xml:space="preserve">Musobek</t>
  </si>
  <si>
    <t xml:space="preserve">Humora</t>
  </si>
  <si>
    <t xml:space="preserve">Ilhom</t>
  </si>
  <si>
    <t xml:space="preserve">Mirahmad</t>
  </si>
  <si>
    <t xml:space="preserve">Dilhush</t>
  </si>
  <si>
    <t xml:space="preserve">Javohir</t>
  </si>
  <si>
    <t xml:space="preserve">Abdugani</t>
  </si>
  <si>
    <t xml:space="preserve">Ruslan</t>
  </si>
  <si>
    <t xml:space="preserve">Olloshukur</t>
  </si>
  <si>
    <t xml:space="preserve">Otabek</t>
  </si>
  <si>
    <t xml:space="preserve">Adxam</t>
  </si>
  <si>
    <t xml:space="preserve">Elbek</t>
  </si>
  <si>
    <t xml:space="preserve">Kamron</t>
  </si>
  <si>
    <t xml:space="preserve">Hasan</t>
  </si>
  <si>
    <t xml:space="preserve">Sevara</t>
  </si>
  <si>
    <t xml:space="preserve">Alisher</t>
  </si>
  <si>
    <t xml:space="preserve">Mohirbek</t>
  </si>
  <si>
    <t xml:space="preserve">Aziz shogird</t>
  </si>
  <si>
    <t xml:space="preserve">Total Result</t>
  </si>
  <si>
    <t xml:space="preserve">bank klient</t>
  </si>
  <si>
    <t xml:space="preserve">Сумма по полю % банк клиент</t>
  </si>
  <si>
    <t xml:space="preserve">Azizbek</t>
  </si>
  <si>
    <t xml:space="preserve">Bekzod</t>
  </si>
  <si>
    <t xml:space="preserve">Abdulaziz</t>
  </si>
  <si>
    <t xml:space="preserve">Назоратчи</t>
  </si>
  <si>
    <t xml:space="preserve">Сумма по полю Назоратчи  %</t>
  </si>
  <si>
    <t xml:space="preserve">Столбец7</t>
  </si>
  <si>
    <t xml:space="preserve">Столбец10</t>
  </si>
  <si>
    <t xml:space="preserve">% банк клиент</t>
  </si>
  <si>
    <t xml:space="preserve">% бухгалтер</t>
  </si>
  <si>
    <t xml:space="preserve">Назоратчи  %</t>
  </si>
  <si>
    <t xml:space="preserve">MONTAJ TEPLO ENERGO MCHJ</t>
  </si>
  <si>
    <t xml:space="preserve">"FINANCE COUNCIL" MCHJ</t>
  </si>
  <si>
    <t xml:space="preserve">"SOF MEDTEX" MCHJ</t>
  </si>
  <si>
    <t xml:space="preserve">"SAPRAMTECH" OOO </t>
  </si>
  <si>
    <t xml:space="preserve">GELECTRONIC</t>
  </si>
  <si>
    <t xml:space="preserve">SHIRIN XK</t>
  </si>
  <si>
    <t xml:space="preserve">MELIOMASH</t>
  </si>
  <si>
    <t xml:space="preserve">BM UNIT</t>
  </si>
  <si>
    <t xml:space="preserve">KOLBERG PRODUCTION</t>
  </si>
  <si>
    <t xml:space="preserve">LIDER ELITE</t>
  </si>
  <si>
    <t xml:space="preserve">NATURE ECO WOOD MCHJ</t>
  </si>
  <si>
    <t xml:space="preserve">Wood city 1999</t>
  </si>
  <si>
    <t xml:space="preserve">KIFTI OFTOB SARBONI</t>
  </si>
  <si>
    <t xml:space="preserve">BY ETIKETKA</t>
  </si>
  <si>
    <t xml:space="preserve"> IN VITRO PLANTS</t>
  </si>
  <si>
    <t xml:space="preserve">"GITA DASTURCHILAR AKADEMIYASI" MCHJ</t>
  </si>
  <si>
    <t xml:space="preserve">"AMIRBEK-RUXSHONA PHARM" XK</t>
  </si>
  <si>
    <t xml:space="preserve">"XASANOV SABIRJAN LASHOVICH" AB</t>
  </si>
  <si>
    <t xml:space="preserve">HAPPY CLEAN MChJ</t>
  </si>
  <si>
    <t xml:space="preserve">LANGUAGE ACADEMY" </t>
  </si>
  <si>
    <t xml:space="preserve">BEK AND COMPANY</t>
  </si>
  <si>
    <t xml:space="preserve">7-NINE МЧЖ </t>
  </si>
  <si>
    <t xml:space="preserve">BELLSTORE</t>
  </si>
  <si>
    <t xml:space="preserve">TRUST MEDICAL LAB</t>
  </si>
  <si>
    <t xml:space="preserve">"HI-TECH ORIENT MED-BUSINESS MCHJ</t>
  </si>
  <si>
    <t xml:space="preserve">"KIDS NUR CITY" ООО</t>
  </si>
  <si>
    <t xml:space="preserve">TAKSIM-KEBAB GROUP MCHJ</t>
  </si>
  <si>
    <t xml:space="preserve">NIGINA FARM</t>
  </si>
  <si>
    <t xml:space="preserve">DOUBLE X PRO</t>
  </si>
  <si>
    <t xml:space="preserve">VIRTUS-SOCIUM МЧЖ   </t>
  </si>
  <si>
    <t xml:space="preserve">"PHARM SMART" MCHJ</t>
  </si>
  <si>
    <t xml:space="preserve">PHARZAM FARM</t>
  </si>
  <si>
    <t xml:space="preserve">MIRGAS OIL MCHJ </t>
  </si>
  <si>
    <t xml:space="preserve">TRINITY TECHNOLOGY MCHJ</t>
  </si>
  <si>
    <t xml:space="preserve">SOBIROV I YATT</t>
  </si>
  <si>
    <t xml:space="preserve">RIZO MULK MCHJ</t>
  </si>
  <si>
    <t xml:space="preserve">ENGLIFY</t>
  </si>
  <si>
    <t xml:space="preserve"> J-R GROUP</t>
  </si>
  <si>
    <t xml:space="preserve">BADEX LIFE</t>
  </si>
  <si>
    <t xml:space="preserve">RONICS ENGINEERING TEAM</t>
  </si>
  <si>
    <t xml:space="preserve">Raximjonova Dilnoza YATT</t>
  </si>
  <si>
    <t xml:space="preserve">HI UNIT</t>
  </si>
  <si>
    <t xml:space="preserve">BRAND NEW HOUSES</t>
  </si>
  <si>
    <t xml:space="preserve">IT-INTEGRATOR</t>
  </si>
  <si>
    <t xml:space="preserve">UNI GLOBAL</t>
  </si>
  <si>
    <t xml:space="preserve">NOEL TRIP</t>
  </si>
  <si>
    <t xml:space="preserve">KOLBERG MEDICAL</t>
  </si>
  <si>
    <t xml:space="preserve">TULYAGANOV FX</t>
  </si>
  <si>
    <t xml:space="preserve">SOFI TEAM</t>
  </si>
  <si>
    <t xml:space="preserve">RM MUROD BIZNES</t>
  </si>
  <si>
    <t xml:space="preserve">BAROKAT TEAM</t>
  </si>
  <si>
    <t xml:space="preserve">UZART GROUP PROJEKT</t>
  </si>
  <si>
    <t xml:space="preserve">KORBAZAAR</t>
  </si>
  <si>
    <t xml:space="preserve">NURDEVAI </t>
  </si>
  <si>
    <t xml:space="preserve">MEDICAL GM</t>
  </si>
  <si>
    <t xml:space="preserve">LUNA CATERING TEAM</t>
  </si>
  <si>
    <t xml:space="preserve">IE ASILBEKOVA ZULFIYA</t>
  </si>
  <si>
    <t xml:space="preserve">QUDRATILLA ILA</t>
  </si>
  <si>
    <t xml:space="preserve">MG BUSINESS BROKERS</t>
  </si>
  <si>
    <t xml:space="preserve">FIDELITY SERVISE</t>
  </si>
  <si>
    <t xml:space="preserve">EASTREX</t>
  </si>
  <si>
    <t xml:space="preserve">XURSHID AVTO</t>
  </si>
  <si>
    <t xml:space="preserve">VIKTORIYA TIBBIY KORIK</t>
  </si>
  <si>
    <t xml:space="preserve">NOMDOR PALOV</t>
  </si>
  <si>
    <t xml:space="preserve">KOKTOSH SHIFO</t>
  </si>
  <si>
    <t xml:space="preserve">ALIF PHARMA</t>
  </si>
  <si>
    <t xml:space="preserve">GAZA LUX</t>
  </si>
  <si>
    <t xml:space="preserve">CRAVE TECH</t>
  </si>
  <si>
    <t xml:space="preserve">TURON FAYZ</t>
  </si>
  <si>
    <t xml:space="preserve">THE POWERFULL TEAM</t>
  </si>
  <si>
    <t xml:space="preserve">HAYRULLO QAZISI</t>
  </si>
  <si>
    <t xml:space="preserve">LIDER BUSINESS</t>
  </si>
  <si>
    <t xml:space="preserve">MAX NUTRITION</t>
  </si>
  <si>
    <t xml:space="preserve">DR1VE</t>
  </si>
  <si>
    <t xml:space="preserve">ANVAR FARM</t>
  </si>
  <si>
    <t xml:space="preserve">FERUZA NUR MED</t>
  </si>
  <si>
    <t xml:space="preserve">DURDONA ECO FARM</t>
  </si>
  <si>
    <t xml:space="preserve">XURSAND HOUSE</t>
  </si>
  <si>
    <t xml:space="preserve">BUSINESS INVEST COOPERATION</t>
  </si>
  <si>
    <t xml:space="preserve">SAFORT HOUSE</t>
  </si>
  <si>
    <t xml:space="preserve">INVEST PERSONA</t>
  </si>
  <si>
    <t xml:space="preserve">STANDART CHICKEN</t>
  </si>
  <si>
    <t xml:space="preserve">ROYAL BEAUTY</t>
  </si>
  <si>
    <t xml:space="preserve">PATRONUM</t>
  </si>
  <si>
    <t xml:space="preserve">LIVINGSTONE</t>
  </si>
  <si>
    <t xml:space="preserve">AFUBBA</t>
  </si>
  <si>
    <t xml:space="preserve">NODIR TRADING</t>
  </si>
  <si>
    <t xml:space="preserve">SMS 86</t>
  </si>
  <si>
    <t xml:space="preserve">AFUBBA 1149</t>
  </si>
  <si>
    <t xml:space="preserve">1149 ALKIMYOGAR </t>
  </si>
  <si>
    <t xml:space="preserve">NEW ALKIMYOGAR GROUR</t>
  </si>
  <si>
    <t xml:space="preserve">DINAR CLASS</t>
  </si>
  <si>
    <t xml:space="preserve">BINAAR</t>
  </si>
  <si>
    <t xml:space="preserve">SAFETY CCTV</t>
  </si>
  <si>
    <t xml:space="preserve">INTER DELEKATES</t>
  </si>
  <si>
    <t xml:space="preserve">STAR KAMERA</t>
  </si>
  <si>
    <t xml:space="preserve">AHSAN TECHNOLOGY</t>
  </si>
  <si>
    <t xml:space="preserve">BIG TEAM</t>
  </si>
  <si>
    <t xml:space="preserve">TIM BUILD INDUSTRY</t>
  </si>
  <si>
    <t xml:space="preserve">GARANT KOMPLEKS</t>
  </si>
  <si>
    <t xml:space="preserve">TASTIFY</t>
  </si>
  <si>
    <t xml:space="preserve">REEF TRADE</t>
  </si>
  <si>
    <t xml:space="preserve">ELSANQURILISH</t>
  </si>
  <si>
    <t xml:space="preserve">KIDDLE LAND</t>
  </si>
  <si>
    <t xml:space="preserve">JASURBEK YUKSALISH OMAD</t>
  </si>
  <si>
    <t xml:space="preserve">ULTIMATE ENERGY</t>
  </si>
  <si>
    <t xml:space="preserve">REAL RESPECT GROUP</t>
  </si>
  <si>
    <t xml:space="preserve">DIGITAL MASTERS ACADEMY</t>
  </si>
  <si>
    <t xml:space="preserve">NOMDOR OSH</t>
  </si>
  <si>
    <t xml:space="preserve">AVVITAL NATURALS</t>
  </si>
  <si>
    <t xml:space="preserve">SHIFO DOKTOR XASAN</t>
  </si>
  <si>
    <t xml:space="preserve">DOOS DISTRIBUTION</t>
  </si>
  <si>
    <t xml:space="preserve">ZVEZDA FARM</t>
  </si>
  <si>
    <t xml:space="preserve">HUMMA</t>
  </si>
  <si>
    <t xml:space="preserve">AVTO YOL XIZMATI MARKAZI</t>
  </si>
  <si>
    <t xml:space="preserve">YOL TRANS SANOATI</t>
  </si>
  <si>
    <t xml:space="preserve">FC YOLBARS</t>
  </si>
  <si>
    <t xml:space="preserve">MASHXUR TAOM</t>
  </si>
  <si>
    <t xml:space="preserve">SPECIAL CARGO SERVICES</t>
  </si>
  <si>
    <t xml:space="preserve">VERTEX BETON</t>
  </si>
  <si>
    <t xml:space="preserve">GELATO ICE CREAM</t>
  </si>
  <si>
    <t xml:space="preserve">TERRA AGRO</t>
  </si>
  <si>
    <t xml:space="preserve">ARM INTER GROUP</t>
  </si>
  <si>
    <t xml:space="preserve">SHEL A</t>
  </si>
  <si>
    <t xml:space="preserve">X PRO TEAM</t>
  </si>
  <si>
    <t xml:space="preserve">YATT</t>
  </si>
  <si>
    <t xml:space="preserve">MUROD AKA Yatt lari</t>
  </si>
  <si>
    <t xml:space="preserve">RICH Y S</t>
  </si>
  <si>
    <t xml:space="preserve">RAMAZON OF LINE</t>
  </si>
  <si>
    <t xml:space="preserve">LINE OF NATURE</t>
  </si>
  <si>
    <t xml:space="preserve">HOMEBAZAAR YATT</t>
  </si>
  <si>
    <t xml:space="preserve">GC TRADE</t>
  </si>
  <si>
    <t xml:space="preserve">ACADEMY RIZOMULK</t>
  </si>
  <si>
    <t xml:space="preserve">NEKOVA MAHLIYO bogcha</t>
  </si>
  <si>
    <t xml:space="preserve">SPLENDID SERVICE</t>
  </si>
  <si>
    <t xml:space="preserve">SPLENDID CATERING</t>
  </si>
  <si>
    <t xml:space="preserve">TRUSTLY SERVICE</t>
  </si>
  <si>
    <t xml:space="preserve">Ishonchli Havfsiz Hudud MCHJ</t>
  </si>
  <si>
    <t xml:space="preserve">PAPER EXPERT</t>
  </si>
  <si>
    <t xml:space="preserve">TAKSIM-KEBAB TEAM</t>
  </si>
  <si>
    <t xml:space="preserve">LEMON FIT</t>
  </si>
  <si>
    <t xml:space="preserve">URBAN HEATING GROUP</t>
  </si>
  <si>
    <t xml:space="preserve">ARVAGTEXNIK</t>
  </si>
  <si>
    <t xml:space="preserve">DARVESHI NAVOI</t>
  </si>
  <si>
    <t xml:space="preserve">LIDERS BARAKA</t>
  </si>
  <si>
    <t xml:space="preserve">BORAN LIDERS</t>
  </si>
  <si>
    <t xml:space="preserve">AYOQSH</t>
  </si>
  <si>
    <t xml:space="preserve">AZS SHOFAYZ</t>
  </si>
  <si>
    <t xml:space="preserve">ELIT CHICKEN</t>
  </si>
  <si>
    <t xml:space="preserve">VENU</t>
  </si>
  <si>
    <t xml:space="preserve">FUTURE IT</t>
  </si>
  <si>
    <t xml:space="preserve">BARQAROR 2018</t>
  </si>
  <si>
    <t xml:space="preserve">SOFT COMFORT MK4</t>
  </si>
  <si>
    <t xml:space="preserve">SKY GATE SERVICES</t>
  </si>
  <si>
    <t xml:space="preserve">GEO DRILLING SERVICE</t>
  </si>
  <si>
    <t xml:space="preserve">QULAY BOX</t>
  </si>
  <si>
    <t xml:space="preserve">DSKP AMUDARYO</t>
  </si>
  <si>
    <t xml:space="preserve">SIDDIQ BIZNES</t>
  </si>
  <si>
    <t xml:space="preserve">STIL SERVIS</t>
  </si>
  <si>
    <t xml:space="preserve">DOSANOV SCHOOL</t>
  </si>
  <si>
    <t xml:space="preserve">RIELTORLAR PALATASI</t>
  </si>
  <si>
    <t xml:space="preserve">CONSTANT GROWTH</t>
  </si>
  <si>
    <t xml:space="preserve">Ohangaron Rustam Fayz</t>
  </si>
  <si>
    <t xml:space="preserve">Jizzakh Majic Star</t>
  </si>
  <si>
    <t xml:space="preserve">Toolstrek Ca</t>
  </si>
  <si>
    <t xml:space="preserve">Dilorom-Xidoyat</t>
  </si>
  <si>
    <t xml:space="preserve">Tursunxoja Xidoyat</t>
  </si>
  <si>
    <t xml:space="preserve">Favvora Fayz</t>
  </si>
  <si>
    <t xml:space="preserve">WISE-STORE MCHJ</t>
  </si>
  <si>
    <t xml:space="preserve">Special Building store</t>
  </si>
  <si>
    <t xml:space="preserve">Stroy Market</t>
  </si>
  <si>
    <t xml:space="preserve">Vazifa Venchur</t>
  </si>
  <si>
    <t xml:space="preserve">GRAYD GROUP MCHJ</t>
  </si>
  <si>
    <t xml:space="preserve">"SALOHIDDIN SFX" MCHJ</t>
  </si>
  <si>
    <t xml:space="preserve">Goodwill business servis MCHJ</t>
  </si>
  <si>
    <t xml:space="preserve">Saidbek Mustafo MCHJ</t>
  </si>
  <si>
    <t xml:space="preserve">MIRZAYEVLAR LOGISTICS </t>
  </si>
  <si>
    <t xml:space="preserve">ORIENT-CHEMICAL </t>
  </si>
  <si>
    <t xml:space="preserve">SHOHRUZ-IMRON-SHERDOR OK </t>
  </si>
  <si>
    <t xml:space="preserve">NORBEKOV IT </t>
  </si>
  <si>
    <t xml:space="preserve">MIXTRUE SEMENT </t>
  </si>
  <si>
    <t xml:space="preserve">FOREST SCHOOL   </t>
  </si>
  <si>
    <t xml:space="preserve">BEST BROOMS </t>
  </si>
  <si>
    <t xml:space="preserve">LOGAN</t>
  </si>
  <si>
    <t xml:space="preserve">"In'tegrity" MCHJ</t>
  </si>
  <si>
    <t xml:space="preserve">YATT Abdurasulova Lola</t>
  </si>
  <si>
    <t xml:space="preserve">"Omad texno-trans" MCHJ</t>
  </si>
  <si>
    <t xml:space="preserve">YATT Dilova Nigora</t>
  </si>
  <si>
    <t xml:space="preserve">"Sunny brand" OK</t>
  </si>
  <si>
    <t xml:space="preserve">"Dilsevar Hojakbar" MCHJ</t>
  </si>
  <si>
    <t xml:space="preserve">"AvloAI" MCHJ</t>
  </si>
  <si>
    <t xml:space="preserve">"Mastercoffee Roaster" MCHJ</t>
  </si>
  <si>
    <t xml:space="preserve">"Dashtobod aloqa-service" MCHJ</t>
  </si>
  <si>
    <t xml:space="preserve">EUROSOFT</t>
  </si>
  <si>
    <t xml:space="preserve">"Corsa' MChJ</t>
  </si>
  <si>
    <t xml:space="preserve">"Shox-Muhandis"</t>
  </si>
  <si>
    <t xml:space="preserve">"Iftixor Holding" MChJ</t>
  </si>
  <si>
    <t xml:space="preserve">Avto nams </t>
  </si>
  <si>
    <t xml:space="preserve">Hyper nams </t>
  </si>
  <si>
    <t xml:space="preserve">Integral servis</t>
  </si>
  <si>
    <t xml:space="preserve">FAROBIY 77</t>
  </si>
  <si>
    <t xml:space="preserve">ASIA PRO GROUP</t>
  </si>
  <si>
    <t xml:space="preserve">TOSHMI DIAGNOSTIKA</t>
  </si>
  <si>
    <t xml:space="preserve">HALOL OSHPAZ</t>
  </si>
  <si>
    <t xml:space="preserve">HALOL OSHPAZ JAMOASI</t>
  </si>
  <si>
    <t xml:space="preserve">AZIM DARYO</t>
  </si>
  <si>
    <t xml:space="preserve">GIPPER LUVER</t>
  </si>
  <si>
    <t xml:space="preserve">7 NEBO</t>
  </si>
  <si>
    <t xml:space="preserve">SIRLY MCHJ</t>
  </si>
  <si>
    <t xml:space="preserve">NOSIROV XOJIAKBAR YaTT</t>
  </si>
  <si>
    <t xml:space="preserve">FAXRIDDIN SAODAT PHARM</t>
  </si>
  <si>
    <t xml:space="preserve">ALIMXANOV ABDURAZZOQ</t>
  </si>
  <si>
    <t xml:space="preserve">SUHROBBEK PARIZODA</t>
  </si>
  <si>
    <t xml:space="preserve">HARDPRESS CNC</t>
  </si>
  <si>
    <t xml:space="preserve">SAHARA UTD</t>
  </si>
  <si>
    <t xml:space="preserve">BRR OIL BIZNES</t>
  </si>
  <si>
    <t xml:space="preserve">IBRAGIMOV SALE</t>
  </si>
  <si>
    <t xml:space="preserve">GREAT KOMAX</t>
  </si>
  <si>
    <t xml:space="preserve">VULKAN TRADE</t>
  </si>
  <si>
    <t xml:space="preserve">E DOKON</t>
  </si>
  <si>
    <t xml:space="preserve">VT TRAVEL</t>
  </si>
  <si>
    <t xml:space="preserve">RF BUILDINGS</t>
  </si>
  <si>
    <t xml:space="preserve">AIFREIGHT</t>
  </si>
  <si>
    <t xml:space="preserve">Infinity group in industry</t>
  </si>
  <si>
    <t xml:space="preserve">NUR UP</t>
  </si>
  <si>
    <t xml:space="preserve">BUNYOD CHORBOG</t>
  </si>
  <si>
    <t xml:space="preserve">BUNYOD OMAD SERVISE</t>
  </si>
  <si>
    <t xml:space="preserve">BUNYOD SULTON SHOX</t>
  </si>
  <si>
    <t xml:space="preserve">TASHMATOV GROUP</t>
  </si>
  <si>
    <t xml:space="preserve">EFFSARI</t>
  </si>
  <si>
    <t xml:space="preserve">ELMIR FOOD CORP</t>
  </si>
  <si>
    <t xml:space="preserve">YULDUZ ALIBAYEVA YATT</t>
  </si>
  <si>
    <t xml:space="preserve">OILL SEVEN</t>
  </si>
  <si>
    <t xml:space="preserve">FITLINE FITNES CENTR</t>
  </si>
  <si>
    <t xml:space="preserve">ECO ZELEN</t>
  </si>
  <si>
    <t xml:space="preserve">GRAND CANYON HOTEL</t>
  </si>
  <si>
    <t xml:space="preserve">GREEN ENERGY MUXRIDDIN</t>
  </si>
  <si>
    <t xml:space="preserve">SINHAI</t>
  </si>
  <si>
    <t xml:space="preserve">XASHAMATLI SAROY</t>
  </si>
  <si>
    <t xml:space="preserve">INTEGRATION</t>
  </si>
  <si>
    <t xml:space="preserve">накд</t>
  </si>
  <si>
    <t xml:space="preserve">Oylik</t>
  </si>
  <si>
    <t xml:space="preserve">Qo'shimcha</t>
  </si>
  <si>
    <t xml:space="preserve">KPI</t>
  </si>
  <si>
    <t xml:space="preserve">Jami oylik</t>
  </si>
  <si>
    <t xml:space="preserve">Avans</t>
  </si>
  <si>
    <t xml:space="preserve">Naqd</t>
  </si>
  <si>
    <t xml:space="preserve">Plastik</t>
  </si>
  <si>
    <t xml:space="preserve">Raschet</t>
  </si>
  <si>
    <t xml:space="preserve">olindi</t>
  </si>
  <si>
    <t xml:space="preserve">tarqatildi</t>
  </si>
  <si>
    <t xml:space="preserve">Dilmurod </t>
  </si>
  <si>
    <t xml:space="preserve"> </t>
  </si>
  <si>
    <t xml:space="preserve">Xammasi</t>
  </si>
  <si>
    <t xml:space="preserve">аренда</t>
  </si>
  <si>
    <t xml:space="preserve">овкат</t>
  </si>
  <si>
    <t xml:space="preserve">админ</t>
  </si>
  <si>
    <t xml:space="preserve">фаррош ва средствалар</t>
  </si>
  <si>
    <t xml:space="preserve">комунал</t>
  </si>
  <si>
    <t xml:space="preserve">ечиш</t>
  </si>
  <si>
    <t xml:space="preserve">солик</t>
  </si>
  <si>
    <t xml:space="preserve">1-С</t>
  </si>
  <si>
    <t xml:space="preserve">вопросной</t>
  </si>
  <si>
    <t xml:space="preserve">"ООО "MUBINA RAYONA BUSINESS" ИНН: 305023742</t>
  </si>
  <si>
    <t xml:space="preserve"> "SHINEART MCHJ" ИНН: 300821821</t>
  </si>
  <si>
    <t xml:space="preserve">"MCHJ "METCOM" VAKOLATXONASI: 505612344</t>
  </si>
  <si>
    <t xml:space="preserve">Ishga vaqtida kelish ketish</t>
  </si>
  <si>
    <t xml:space="preserve">Ishga kelish bank klient</t>
  </si>
  <si>
    <t xml:space="preserve">Ishga kelish nazoratchi2</t>
  </si>
  <si>
    <t xml:space="preserve">Gruppa buxgalter</t>
  </si>
  <si>
    <t xml:space="preserve">Gruppa bank klient </t>
  </si>
  <si>
    <t xml:space="preserve">Didox</t>
  </si>
  <si>
    <t xml:space="preserve">xatlar</t>
  </si>
  <si>
    <t xml:space="preserve"> мехнат</t>
  </si>
  <si>
    <t xml:space="preserve">1c</t>
  </si>
  <si>
    <t xml:space="preserve">Avtokameral</t>
  </si>
  <si>
    <t xml:space="preserve">Pul oqimlari</t>
  </si>
  <si>
    <t xml:space="preserve">Chiqadigan soliqlar</t>
  </si>
  <si>
    <t xml:space="preserve">Hisoblangan oylik</t>
  </si>
  <si>
    <t xml:space="preserve">Debitor kreditor</t>
  </si>
  <si>
    <t xml:space="preserve">Foyda va zarar</t>
  </si>
  <si>
    <t xml:space="preserve">Nazoratchi</t>
  </si>
  <si>
    <t xml:space="preserve">Ishga vaqtida kelish nazoratchi</t>
  </si>
  <si>
    <t xml:space="preserve">Ishga vaqtida kelish ketish2</t>
  </si>
  <si>
    <t xml:space="preserve">Ishga kelish bank klient3</t>
  </si>
  <si>
    <t xml:space="preserve">Gruppa buxgalter4</t>
  </si>
  <si>
    <t xml:space="preserve">Gruppa bank klient 2</t>
  </si>
  <si>
    <t xml:space="preserve">1C baza3</t>
  </si>
  <si>
    <t xml:space="preserve">xatlar4</t>
  </si>
  <si>
    <t xml:space="preserve">Belgilangan otchetlar5</t>
  </si>
  <si>
    <t xml:space="preserve">Nazoratchi2</t>
  </si>
  <si>
    <t xml:space="preserve">NazoratchiKPI</t>
  </si>
  <si>
    <t xml:space="preserve">Buxgalter KPI</t>
  </si>
  <si>
    <t xml:space="preserve">Bank klient KPI</t>
  </si>
  <si>
    <t xml:space="preserve">DOMINANT DOMKUR- SIGN OF QUALITY</t>
  </si>
  <si>
    <t xml:space="preserve">MARGARET</t>
  </si>
  <si>
    <t xml:space="preserve">UPGRADE AUTO</t>
  </si>
  <si>
    <t xml:space="preserve">MADINA FARM</t>
  </si>
  <si>
    <t xml:space="preserve">Jami tolanishi kerak</t>
  </si>
  <si>
    <t xml:space="preserve">Tolandi</t>
  </si>
  <si>
    <t xml:space="preserve">Qoldi</t>
  </si>
  <si>
    <t xml:space="preserve">Belstore vostanavleniya</t>
  </si>
  <si>
    <t xml:space="preserve">Doniyor</t>
  </si>
  <si>
    <t xml:space="preserve">Diyorbek</t>
  </si>
  <si>
    <t xml:space="preserve">Shahzoda</t>
  </si>
  <si>
    <t xml:space="preserve">Yorqinoy</t>
  </si>
  <si>
    <t xml:space="preserve">Jami</t>
  </si>
  <si>
    <t xml:space="preserve">Buyuk turon</t>
  </si>
  <si>
    <t xml:space="preserve">Universal nutrition</t>
  </si>
  <si>
    <t xml:space="preserve">Gulrux</t>
  </si>
  <si>
    <t xml:space="preserve">Sardor firmalari</t>
  </si>
  <si>
    <t xml:space="preserve">Jamshid</t>
  </si>
  <si>
    <t xml:space="preserve">Living stone</t>
  </si>
  <si>
    <t xml:space="preserve">Gozaloy</t>
  </si>
  <si>
    <t xml:space="preserve">Unity</t>
  </si>
  <si>
    <t xml:space="preserve">Safety</t>
  </si>
  <si>
    <t xml:space="preserve">Divan</t>
  </si>
  <si>
    <t xml:space="preserve">Anvar farm</t>
  </si>
  <si>
    <t xml:space="preserve">Shifo Xasan</t>
  </si>
  <si>
    <t xml:space="preserve">Tim building </t>
  </si>
  <si>
    <t xml:space="preserve">Javoxir</t>
  </si>
  <si>
    <t xml:space="preserve">Madina farm</t>
  </si>
  <si>
    <t xml:space="preserve">Jasurbek yuksalish</t>
  </si>
  <si>
    <t xml:space="preserve">REEF trade</t>
  </si>
  <si>
    <t xml:space="preserve">Special Cargo</t>
  </si>
  <si>
    <t xml:space="preserve">Mega ice cream</t>
  </si>
  <si>
    <t xml:space="preserve">RICH YS</t>
  </si>
  <si>
    <t xml:space="preserve">Terra agro</t>
  </si>
  <si>
    <t xml:space="preserve">Darveshi Navoi</t>
  </si>
  <si>
    <t xml:space="preserve">Miahmad</t>
  </si>
  <si>
    <t xml:space="preserve">Boran Leaders</t>
  </si>
  <si>
    <t xml:space="preserve">Leaders baraka</t>
  </si>
  <si>
    <t xml:space="preserve">Urban heating group</t>
  </si>
  <si>
    <t xml:space="preserve">Manzura</t>
  </si>
  <si>
    <t xml:space="preserve">Siddiq biznes group</t>
  </si>
  <si>
    <t xml:space="preserve">Adham</t>
  </si>
  <si>
    <t xml:space="preserve">Arvagtexnik</t>
  </si>
  <si>
    <t xml:space="preserve">Dilmurod</t>
  </si>
  <si>
    <t xml:space="preserve">Lemon fit</t>
  </si>
  <si>
    <t xml:space="preserve">Forest school</t>
  </si>
  <si>
    <t xml:space="preserve">Xojiakbar</t>
  </si>
  <si>
    <t xml:space="preserve">Great komax</t>
  </si>
  <si>
    <t xml:space="preserve">Suhrobbek Parizoda</t>
  </si>
  <si>
    <t xml:space="preserve">Kolberg production</t>
  </si>
  <si>
    <t xml:space="preserve">Mirzaevlar logistik</t>
  </si>
  <si>
    <t xml:space="preserve">Azizbek shogird</t>
  </si>
  <si>
    <t xml:space="preserve">Renova city</t>
  </si>
  <si>
    <t xml:space="preserve">Stroy market</t>
  </si>
  <si>
    <t xml:space="preserve">Wise store</t>
  </si>
  <si>
    <t xml:space="preserve">Umid hospitals</t>
  </si>
  <si>
    <t xml:space="preserve">Nur up</t>
  </si>
  <si>
    <t xml:space="preserve">BUNYOD OMAD SERVICE</t>
  </si>
  <si>
    <t xml:space="preserve">30 dekabrda olgan pulim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</si>
</sst>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\ _₽_-;\-* #,##0.00\ _₽_-;_-* \-??\ _₽_-;_-@_-"/>
    <numFmt numFmtId="166" formatCode="#,##0.00_ ;\-#,##0.00\ "/>
    <numFmt numFmtId="167" formatCode="#,##0.00"/>
    <numFmt numFmtId="168" formatCode="General"/>
  </numFmts>
  <fonts count="30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b val="true"/>
      <sz val="18"/>
      <color theme="1"/>
      <name val="Times New Roman"/>
      <family val="1"/>
      <charset val="204"/>
    </font>
    <font>
      <b val="true"/>
      <sz val="14"/>
      <color theme="1"/>
      <name val="Times New Roman"/>
      <family val="1"/>
      <charset val="204"/>
    </font>
    <font>
      <sz val="14"/>
      <color rgb="FF333333"/>
      <name val="Times New Roman"/>
      <family val="1"/>
      <charset val="204"/>
    </font>
    <font>
      <b val="true"/>
      <sz val="14"/>
      <color rgb="FF333333"/>
      <name val="Times New Roman"/>
      <family val="1"/>
      <charset val="204"/>
    </font>
    <font>
      <sz val="12"/>
      <color theme="1"/>
      <name val="Calibri"/>
      <family val="2"/>
      <charset val="204"/>
    </font>
    <font>
      <b val="true"/>
      <u val="single"/>
      <sz val="12"/>
      <color rgb="FFFF0000"/>
      <name val="Calibri"/>
      <family val="2"/>
      <charset val="204"/>
    </font>
    <font>
      <sz val="12"/>
      <color rgb="FFFF0000"/>
      <name val="Calibri"/>
      <family val="2"/>
      <charset val="204"/>
    </font>
    <font>
      <sz val="22"/>
      <color theme="1"/>
      <name val="Calibri"/>
      <family val="2"/>
      <charset val="204"/>
    </font>
    <font>
      <sz val="14"/>
      <color theme="1"/>
      <name val="Times New Roman"/>
      <family val="1"/>
      <charset val="204"/>
    </font>
    <font>
      <b val="true"/>
      <sz val="14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sz val="9"/>
      <color rgb="FF333333"/>
      <name val="Arial"/>
      <family val="2"/>
      <charset val="204"/>
    </font>
    <font>
      <sz val="9"/>
      <color theme="1"/>
      <name val="Calibri"/>
      <family val="2"/>
      <charset val="204"/>
    </font>
    <font>
      <sz val="14"/>
      <name val="Times New Roman"/>
      <family val="1"/>
      <charset val="204"/>
    </font>
    <font>
      <sz val="14"/>
      <color rgb="FFFF0000"/>
      <name val="Calibri"/>
      <family val="2"/>
      <charset val="204"/>
    </font>
    <font>
      <b val="true"/>
      <sz val="9"/>
      <color rgb="FF333333"/>
      <name val="Arial"/>
      <family val="2"/>
      <charset val="204"/>
    </font>
    <font>
      <sz val="9"/>
      <color theme="1" tint="0.15"/>
      <name val="Calibri"/>
      <family val="2"/>
      <charset val="204"/>
    </font>
    <font>
      <sz val="14"/>
      <name val="Calibri"/>
      <family val="2"/>
      <charset val="204"/>
    </font>
    <font>
      <sz val="11"/>
      <color rgb="FF333333"/>
      <name val="Arial"/>
      <family val="2"/>
      <charset val="204"/>
    </font>
    <font>
      <sz val="14"/>
      <color theme="1"/>
      <name val="Times New Roman"/>
      <family val="0"/>
      <charset val="1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u val="single"/>
      <sz val="11"/>
      <color theme="10"/>
      <name val="Calibri"/>
      <family val="2"/>
      <charset val="204"/>
    </font>
    <font>
      <i val="true"/>
      <sz val="14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9F9F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C0C0C0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9F9F9"/>
      </patternFill>
    </fill>
    <fill>
      <patternFill patternType="solid">
        <fgColor rgb="FFC00000"/>
        <bgColor rgb="FFFF0000"/>
      </patternFill>
    </fill>
    <fill>
      <patternFill patternType="solid">
        <fgColor theme="5" tint="0.5999"/>
        <bgColor rgb="FFC0C0C0"/>
      </patternFill>
    </fill>
    <fill>
      <patternFill patternType="solid">
        <fgColor rgb="FF00B0F0"/>
        <bgColor rgb="FF33CC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true" indent="4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7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3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4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9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7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3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25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5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25" fillId="0" borderId="3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3" fillId="0" borderId="1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3" fillId="7" borderId="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3" fillId="0" borderId="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9" fillId="7" borderId="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3" fillId="3" borderId="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2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3" fillId="0" borderId="1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3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5" fillId="0" borderId="1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3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3" fillId="0" borderId="1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3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3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3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3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0" borderId="3" xfId="1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13" fillId="0" borderId="17" xfId="1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13" fillId="0" borderId="17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13" fillId="0" borderId="3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3" fillId="0" borderId="3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3" fillId="0" borderId="18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13" fillId="0" borderId="18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3" fillId="0" borderId="17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3" fillId="0" borderId="3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3" fillId="0" borderId="3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3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3" xfId="1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13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3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3" fillId="0" borderId="16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  <cellStyle name="*unknown*" xfId="20" builtinId="8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262626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26262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<Relationship Id="rId1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77" createdVersion="3">
  <cacheSource type="worksheet">
    <worksheetSource ref="A2:M279" sheet="Royxat"/>
  </cacheSource>
  <cacheFields count="13">
    <cacheField name="№" numFmtId="0">
      <sharedItems containsString="0" containsBlank="1" containsNumber="1" containsInteger="1" minValue="1" maxValue="264" count="26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m/>
      </sharedItems>
    </cacheField>
    <cacheField name="НАИМЕНОВАНИЯ" numFmtId="0">
      <sharedItems containsBlank="1" count="276">
        <s v=" &quot;AKJ SEBZOR BO`LIMI&quot; "/>
        <s v=" &quot;AKJ TUZEL BO`LIMI&quot;"/>
        <s v=" &quot;C A WOLVES&quot; "/>
        <s v=" &quot;DILFUZAXON AVTO&quot; "/>
        <s v=" &quot;STUDY GUIDE&quot; "/>
        <s v=" IN VITRO PLANTS"/>
        <s v=" J-R GROUP"/>
        <s v="&quot;AL-AZIZ ACADEMY&quot; НОУ"/>
        <s v="&quot;AMIRBEK-RUXSHONA PHARM&quot; XK"/>
        <s v="&quot;AVIA GORODOK&quot;"/>
        <s v="&quot;AvloAI&quot; MCHJ"/>
        <s v="&quot;AVTOMATLASHTIRILGAN ELEKTRIK YURITMA&quot;"/>
        <s v="&quot;Corsa' MChJ"/>
        <s v="&quot;Dashtobod aloqa-service&quot; MCHJ"/>
        <s v="&quot;Dilsevar Hojakbar&quot; MCHJ"/>
        <s v="&quot;FINANCE COUNCIL&quot; MCHJ"/>
        <s v="&quot;FINANCE SCHOOL&quot;"/>
        <s v="&quot;G-R-A-N-D ELECTRONICS&quot; "/>
        <s v="&quot;GITA DASTURCHILAR AKADEMIYASI&quot; MCHJ"/>
        <s v="&quot;HI-TECH ORIENT MED-BUSINESS MCHJ"/>
        <s v="&quot;Iftixor Holding&quot; MChJ"/>
        <s v="&quot;In'tegrity&quot; MCHJ"/>
        <s v="&quot;JS MUROTOV&quot; АДВОКАТЛИК БЮРОСИ&quot; "/>
        <s v="&quot;JT INVESTMENT HUB&quot; "/>
        <s v="&quot;KESH LOGIST&quot;"/>
        <s v="&quot;KIDS NUR CITY&quot; ООО"/>
        <s v="&quot;Mastercoffee Roaster&quot; MCHJ"/>
        <s v="&quot;MUZAFFARXO`JA-HILOL&quot; Х.Ф."/>
        <s v="&quot;Omad texno-trans&quot; MCHJ"/>
        <s v="&quot;PHARM SMART&quot; MCHJ"/>
        <s v="&quot;RUSLAN GRAND &quot;"/>
        <s v="&quot;SALOHIDDIN SFX&quot; MCHJ"/>
        <s v="&quot;SAPRAMTECH&quot; OOO "/>
        <s v="&quot;SHIRIN LYUKS TAOM&quot; 01.09.2021"/>
        <s v="&quot;Shox-Muhandis&quot;"/>
        <s v="&quot;SOF MEDTEX&quot; MCHJ"/>
        <s v="&quot;Sunny brand&quot; OK"/>
        <s v="&quot;WALL STREET ACADEMY&quot; "/>
        <s v="&quot;XASANOV SABIRJAN LASHOVICH&quot; AB"/>
        <s v="&quot;ЧП &quot;ROAD RIDERS&quot;"/>
        <s v="&quot;ЧП INTER PROF EDUCATION&quot; "/>
        <s v="1149 ALKIMYOGAR "/>
        <s v="7 NEBO"/>
        <s v="7-NINE МЧЖ "/>
        <s v="ACADEMY RIZOMULK"/>
        <s v="AFUBBA"/>
        <s v="AFUBBA 1149"/>
        <s v="AHSAN TECHNOLOGY"/>
        <s v="AIFREIGHT"/>
        <s v="ALIF PHARMA"/>
        <s v="ALIMXANOV ABDURAZZOQ"/>
        <s v="ANVAR FARM"/>
        <s v="ARM INTER GROUP"/>
        <s v="ARVAGTEXNIK"/>
        <s v="ASIA PRO GROUP"/>
        <s v="Avto nams "/>
        <s v="AVTO YOL XIZMATI MARKAZI"/>
        <s v="AVVITAL NATURALS"/>
        <s v="AYOQSH"/>
        <s v="AZIM DARYO"/>
        <s v="AZS SHOFAYZ"/>
        <s v="BADEX LIFE"/>
        <s v="BAROKAT TEAM"/>
        <s v="BARQAROR 2018"/>
        <s v="BEK AND COMPANY"/>
        <s v="BELLSTORE"/>
        <s v="BEST BROOMS "/>
        <s v="BIG TEAM"/>
        <s v="BINAAR"/>
        <s v="BM UNIT"/>
        <s v="BORAN LIDERS"/>
        <s v="BRAND NEW HOUSES"/>
        <s v="BRR OIL BIZNES"/>
        <s v="BUNYOD CHORBOG"/>
        <s v="BUNYOD OMAD SERVISE"/>
        <s v="BUNYOD SULTON SHOX"/>
        <s v="BUSINESS INVEST COOPERATION"/>
        <s v="BY ETIKETKA"/>
        <s v="CONSTANT GROWTH"/>
        <s v="CRAVE TECH"/>
        <s v="DARVESHI NAVOI"/>
        <s v="DIGITAL MASTERS ACADEMY"/>
        <s v="Dilorom-Xidoyat"/>
        <s v="DINAR CLASS"/>
        <s v="DOOS DISTRIBUTION"/>
        <s v="DOSANOV SCHOOL"/>
        <s v="DOUBLE X PRO"/>
        <s v="DR1VE"/>
        <s v="DSKP AMUDARYO"/>
        <s v="DURDONA ECO FARM"/>
        <s v="E DOKON"/>
        <s v="EASTREX"/>
        <s v="ECO ZELEN"/>
        <s v="EFFSARI"/>
        <s v="ELIT CHICKEN"/>
        <s v="ELMIR FOOD CORP"/>
        <s v="ELSANQURILISH"/>
        <s v="ENGLIFY"/>
        <s v="EUROSOFT"/>
        <s v="FAROBIY 77"/>
        <s v="Favvora Fayz"/>
        <s v="FAXRIDDIN SAODAT PHARM"/>
        <s v="FC YOLBARS"/>
        <s v="FERUZA NUR MED"/>
        <s v="FIDELITY SERVISE"/>
        <s v="FITLINE FITNES CENTR"/>
        <s v="FOREST SCHOOL   "/>
        <s v="FUTURE IT"/>
        <s v="GARANT KOMPLEKS"/>
        <s v="GAZA LUX"/>
        <s v="GC TRADE"/>
        <s v="GELATO ICE CREAM"/>
        <s v="GELECTRONIC"/>
        <s v="GEO DRILLING SERVICE"/>
        <s v="GIPPER LUVER"/>
        <s v="Goodwill business servis MCHJ"/>
        <s v="GRAND CANYON HOTEL"/>
        <s v="GRAYD GROUP MCHJ"/>
        <s v="GREAT KOMAX"/>
        <s v="GREEN ENERGY MUXRIDDIN"/>
        <s v="HALOL OSHPAZ"/>
        <s v="HALOL OSHPAZ JAMOASI"/>
        <s v="HAPPY CLEAN MChJ"/>
        <s v="HARDPRESS CNC"/>
        <s v="HAYRULLO QAZISI"/>
        <s v="HI UNIT"/>
        <s v="HILOL PHARM     "/>
        <s v="HOMEBAZAAR YATT"/>
        <s v="HUMMA"/>
        <s v="Hyper nams "/>
        <s v="IBRAGIMOV SALE"/>
        <s v="IE ASILBEKOVA ZULFIYA"/>
        <s v="Infinity group in industry"/>
        <s v="Integral servis"/>
        <s v="INTEGRATION"/>
        <s v="INTER DELEKATES"/>
        <s v="INVEST PERSONA"/>
        <s v="Ishonchli Havfsiz Hudud MCHJ"/>
        <s v="IT-INTEGRATOR"/>
        <s v="JASURBEK YUKSALISH OMAD"/>
        <s v="Jizzakh Majic Star"/>
        <s v="KIDDLE LAND"/>
        <s v="KIFTI OFTOB SARBONI"/>
        <s v="KOKTOSH SHIFO"/>
        <s v="KOLBERG MEDICAL"/>
        <s v="KOLBERG PRODUCTION"/>
        <s v="KORBAZAAR"/>
        <s v="LANGUAGE ACADEMY&quot; "/>
        <s v="LEMON FIT"/>
        <s v="LIDER BUSINESS"/>
        <s v="LIDER ELITE"/>
        <s v="LIDERS BARAKA"/>
        <s v="LINE OF NATURE"/>
        <s v="LIVINGSTONE"/>
        <s v="LOGAN"/>
        <s v="LUNA CATERING TEAM"/>
        <s v="MASHXUR TAOM"/>
        <s v="MAX NUTRITION"/>
        <s v="MEDICAL GM"/>
        <s v="MELIOMASH"/>
        <s v="MG BUSINESS BROKERS"/>
        <s v="MIRGAS OIL MCHJ "/>
        <s v="MIRZAYEVLAR LOGISTICS "/>
        <s v="MIXTRUE SEMENT "/>
        <s v="MONTAJ TEPLO ENERGO MCHJ"/>
        <s v="MUROD AKA Yatt lari"/>
        <s v="NATURE ECO WOOD MCHJ"/>
        <s v="NEKOVA MAHLIYO bogcha"/>
        <s v="NEW ALKIMYOGAR GROUR"/>
        <s v="NIGINA FARM"/>
        <s v="NODIR TRADING"/>
        <s v="NOEL TRIP"/>
        <s v="NOMDOR OSH"/>
        <s v="NOMDOR PALOV"/>
        <s v="NORBEKOV IT "/>
        <s v="NOSIROV XOJIAKBAR YaTT"/>
        <s v="NUR UP"/>
        <s v="NURDEVAI "/>
        <s v="Ohangaron Rustam Fayz"/>
        <s v="OILL SEVEN"/>
        <s v="OOO &quot;MAGISTRAL TRANS QURILISH&quot;"/>
        <s v="OOO &quot;RONICS&quot;"/>
        <s v="OOO &quot;SARDORBEK HOUSE&quot; "/>
        <s v="ORIENT-CHEMICAL "/>
        <s v="PAPER EXPERT"/>
        <s v="PATRONUM"/>
        <s v="PHARZAM FARM"/>
        <s v="QUDRATILLA ILA"/>
        <s v="QULAY BOX"/>
        <s v="RAMAZON OF LINE"/>
        <s v="Raximjonova Dilnoza YATT"/>
        <s v="REAL RESPECT GROUP"/>
        <s v="REEF TRADE"/>
        <s v="RF BUILDINGS"/>
        <s v="RICH Y S"/>
        <s v="RIELTORLAR PALATASI"/>
        <s v="RIZO MULK MCHJ"/>
        <s v="RM MUROD BIZNES"/>
        <s v="RONICS ENGINEERING TEAM"/>
        <s v="ROYAL BEAUTY"/>
        <s v="SAFETY CCTV"/>
        <s v="SAFORT HOUSE"/>
        <s v="SAHARA UTD"/>
        <s v="Saidbek Mustafo MCHJ"/>
        <s v="SHEL A"/>
        <s v="SHIFO DOKTOR XASAN"/>
        <s v="SHIRIN XK"/>
        <s v="SHOHRUZ-IMRON-SHERDOR OK "/>
        <s v="SIDDIQ BIZNES"/>
        <s v="SINHAI"/>
        <s v="SIRLY MCHJ"/>
        <s v="SKY GATE SERVICES"/>
        <s v="SMS 86"/>
        <s v="SOBIROV I YATT"/>
        <s v="SOFI TEAM"/>
        <s v="SOFT COMFORT MK4"/>
        <s v="Special Building store"/>
        <s v="SPECIAL CARGO SERVICES"/>
        <s v="SPLENDID CATERING"/>
        <s v="SPLENDID SERVICE"/>
        <s v="STANDART CHICKEN"/>
        <s v="STAR KAMERA"/>
        <s v="STIL SERVIS"/>
        <s v="Stroy Market"/>
        <s v="SUHROBBEK PARIZODA"/>
        <s v="TAKSIM-KEBAB GROUP MCHJ"/>
        <s v="TAKSIM-KEBAB TEAM"/>
        <s v="TASHMATOV GROUP"/>
        <s v="TASTIFY"/>
        <s v="TERRA AGRO"/>
        <s v="THE POWERFULL TEAM"/>
        <s v="TIM BUILD INDUSTRY"/>
        <s v="Toolstrek Ca"/>
        <s v="TOSHMI DIAGNOSTIKA"/>
        <s v="TRINITY TECHNOLOGY MCHJ"/>
        <s v="TRUST MEDICAL LAB"/>
        <s v="TRUSTLY SERVICE"/>
        <s v="TULYAGANOV FX"/>
        <s v="TURON FAYZ"/>
        <s v="Tursunxoja Xidoyat"/>
        <s v="ULTIMATE ENERGY"/>
        <s v="UNI GLOBAL"/>
        <s v="URBAN HEATING GROUP"/>
        <s v="UZART GROUP PROJEKT"/>
        <s v="Vazifa Venchur"/>
        <s v="VENU"/>
        <s v="VERTEX BETON"/>
        <s v="VIKTORIYA TIBBIY KORIK"/>
        <s v="VIRTUS-SOCIUM МЧЖ   "/>
        <s v="VMM RELIABLE LEGAL PROTECTION"/>
        <s v="VT TRAVEL"/>
        <s v="VULKAN TRADE"/>
        <s v="WISE-STORE MCHJ"/>
        <s v="Wood city 1999"/>
        <s v="X PRO TEAM"/>
        <s v="XASHAMATLI SAROY"/>
        <s v="XK UNIMEAL BUSINESS ENTITY"/>
        <s v="XURSAND HOUSE"/>
        <s v="XURSHID AVTO"/>
        <s v="YATT"/>
        <s v="YATT Abdurasulova Lola"/>
        <s v="YATT Dilova Nigora"/>
        <s v="YOL TRANS SANOATI"/>
        <s v="YULDUZ ALIBAYEVA YATT"/>
        <s v="ZVEZDA FARM"/>
        <s v="ООО &quot;AVTO LUXUSARY TRADE&quot;  "/>
        <s v="ООО &quot;BASKETBALL ACADEMY&quot; "/>
        <s v="ООО &quot;HIGH-TECH GROUP&quot;"/>
        <s v="ООО &quot;INTEST MAX&quot;"/>
        <s v="ООО &quot;SHIRIN SUPER TAOM&quot;"/>
        <s v="ООО &quot;TEN BRANCHES&quot;"/>
        <s v="СП &quot;ZIL-BAX&quot;"/>
        <s v="ЧП &quot;CHIRCHIQ SAHOVAT&quot; "/>
        <s v="ЧП &quot;MATYUSUF SALAEV&quot;"/>
        <s v="ЧП &quot;SEVEN`S UP&quot; "/>
        <m/>
      </sharedItems>
    </cacheField>
    <cacheField name="ИНН" numFmtId="0">
      <sharedItems containsString="0" containsBlank="1" containsNumber="1" containsInteger="1" minValue="201250775" maxValue="40806820470047" count="100">
        <n v="201250775"/>
        <n v="202536307"/>
        <n v="206155668"/>
        <n v="206447841"/>
        <n v="206450634"/>
        <n v="207189989"/>
        <n v="207314302"/>
        <n v="207324203"/>
        <n v="301844182"/>
        <n v="302080350"/>
        <n v="302528344"/>
        <n v="302595327"/>
        <n v="302672452"/>
        <n v="302672681"/>
        <n v="302813323"/>
        <n v="303328933"/>
        <n v="303408381"/>
        <n v="303451710"/>
        <n v="304107369"/>
        <n v="304219671"/>
        <n v="304825630"/>
        <n v="304940229"/>
        <n v="305150198"/>
        <n v="305218618"/>
        <n v="305578771"/>
        <n v="305610162"/>
        <n v="305713761"/>
        <n v="305846138"/>
        <n v="305956530"/>
        <n v="305976474"/>
        <n v="305979201"/>
        <n v="306033555"/>
        <n v="306061553"/>
        <n v="306116238"/>
        <n v="306672520"/>
        <n v="306774385"/>
        <n v="306784151"/>
        <n v="306807944"/>
        <n v="306918663"/>
        <n v="307043621"/>
        <n v="307053253"/>
        <n v="307058508"/>
        <n v="307077420"/>
        <n v="307159792"/>
        <n v="307205799"/>
        <n v="307409092"/>
        <n v="307446998"/>
        <n v="307688389"/>
        <n v="307807888"/>
        <n v="307829726"/>
        <n v="307860928"/>
        <n v="307947611"/>
        <n v="307972154"/>
        <n v="308023653"/>
        <n v="308038910"/>
        <n v="308234589"/>
        <n v="308241991"/>
        <n v="308435425"/>
        <n v="308543061"/>
        <n v="308722764"/>
        <n v="308763019"/>
        <n v="308820248"/>
        <n v="308836242"/>
        <n v="309188899"/>
        <n v="309238352"/>
        <n v="309291123"/>
        <n v="309314757"/>
        <n v="309378456"/>
        <n v="309449913"/>
        <n v="309610674"/>
        <n v="309680747"/>
        <n v="309695560"/>
        <n v="309706846"/>
        <n v="309850241"/>
        <n v="309899654"/>
        <n v="309918004"/>
        <n v="310055812"/>
        <n v="310310683"/>
        <n v="310393360"/>
        <n v="310585944"/>
        <n v="310817377"/>
        <n v="311074535"/>
        <n v="311081052"/>
        <n v="311250245"/>
        <n v="311494868"/>
        <n v="311638211"/>
        <n v="311817724"/>
        <n v="311910064"/>
        <n v="311985232"/>
        <n v="312094462"/>
        <n v="312108030"/>
        <n v="312168908"/>
        <n v="312305364"/>
        <n v="312340250"/>
        <n v="312391054"/>
        <n v="312405929"/>
        <n v="30905921571729"/>
        <n v="40404772720014"/>
        <n v="40806820470047"/>
        <m/>
      </sharedItems>
    </cacheField>
    <cacheField name="НДС" numFmtId="0">
      <sharedItems containsBlank="1" count="2">
        <s v="НДС"/>
        <m/>
      </sharedItems>
    </cacheField>
    <cacheField name="Бухгалтер" numFmtId="0">
      <sharedItems containsBlank="1" count="27">
        <s v="Abdugani"/>
        <s v="Abrorbek"/>
        <s v="Adxam"/>
        <s v="Alisher"/>
        <s v="Axmadjon"/>
        <s v="Aziz shogird"/>
        <s v="Dilhush"/>
        <s v="Elbek"/>
        <s v="Go'zaloy"/>
        <s v="Hasan"/>
        <s v="Humora"/>
        <s v="Ilhom"/>
        <s v="Javohir"/>
        <s v="Kamron"/>
        <s v="Maxmuda"/>
        <s v="Mirabbos"/>
        <s v="Mirahmad"/>
        <s v="Mohirbek"/>
        <s v="Muslimbek"/>
        <s v="Musobek"/>
        <s v="Olloshukur"/>
        <s v="Otabek"/>
        <s v="Ruslan"/>
        <s v="Sevara"/>
        <s v="Sherzod"/>
        <s v="Zamira"/>
        <m/>
      </sharedItems>
    </cacheField>
    <cacheField name="bank klient" numFmtId="0">
      <sharedItems containsBlank="1" count="5">
        <s v="Abdulaziz"/>
        <s v="Azizbek"/>
        <s v="Bekzod"/>
        <s v="Ruslan"/>
        <m/>
      </sharedItems>
    </cacheField>
    <cacheField name="Столбец7" numFmtId="0">
      <sharedItems containsString="0" containsBlank="1" containsNumber="1" containsInteger="1" minValue="0" maxValue="50000000" count="40">
        <n v="0"/>
        <n v="170000"/>
        <n v="200000"/>
        <n v="300000"/>
        <n v="400000"/>
        <n v="500000"/>
        <n v="600000"/>
        <n v="700000"/>
        <n v="750000"/>
        <n v="800000"/>
        <n v="900000"/>
        <n v="1000000"/>
        <n v="1200000"/>
        <n v="1300000"/>
        <n v="1400000"/>
        <n v="1500000"/>
        <n v="2000000"/>
        <n v="2300000"/>
        <n v="2500000"/>
        <n v="3000000"/>
        <n v="3500000"/>
        <n v="4000000"/>
        <n v="4350000"/>
        <n v="4500000"/>
        <n v="5000000"/>
        <n v="6000000"/>
        <n v="7000000"/>
        <n v="7500000"/>
        <n v="8000000"/>
        <n v="9500000"/>
        <n v="10000000"/>
        <n v="11000000"/>
        <n v="12000000"/>
        <n v="14000000"/>
        <n v="15000000"/>
        <n v="18000000"/>
        <n v="20000000"/>
        <n v="25000000"/>
        <n v="50000000"/>
        <m/>
      </sharedItems>
    </cacheField>
    <cacheField name="Назоратчи" numFmtId="0">
      <sharedItems containsBlank="1" count="5">
        <s v="Go'zaloy"/>
        <s v="Muslimbek"/>
        <s v="Musobek"/>
        <s v="Zamira"/>
        <m/>
      </sharedItems>
    </cacheField>
    <cacheField name="Столбец10" numFmtId="0">
      <sharedItems containsString="0" containsBlank="1" containsNumber="1" containsInteger="1" minValue="10" maxValue="25" count="4">
        <n v="10"/>
        <n v="20"/>
        <n v="25"/>
        <m/>
      </sharedItems>
    </cacheField>
    <cacheField name="% банк клиент" numFmtId="0">
      <sharedItems containsString="0" containsBlank="1" containsNumber="1" containsInteger="1" minValue="0" maxValue="1250000" count="32">
        <n v="0"/>
        <n v="15000"/>
        <n v="20000"/>
        <n v="25000"/>
        <n v="35000"/>
        <n v="37500"/>
        <n v="40000"/>
        <n v="45000"/>
        <n v="50000"/>
        <n v="60000"/>
        <n v="65000"/>
        <n v="75000"/>
        <n v="100000"/>
        <n v="115000"/>
        <n v="125000"/>
        <n v="150000"/>
        <n v="175000"/>
        <n v="200000"/>
        <n v="217500"/>
        <n v="225000"/>
        <n v="250000"/>
        <n v="300000"/>
        <n v="350000"/>
        <n v="375000"/>
        <n v="400000"/>
        <n v="475000"/>
        <n v="500000"/>
        <n v="700000"/>
        <n v="750000"/>
        <n v="900000"/>
        <n v="1250000"/>
        <m/>
      </sharedItems>
    </cacheField>
    <cacheField name="% бухгалтер" numFmtId="0">
      <sharedItems containsString="0" containsBlank="1" containsNumber="1" containsInteger="1" minValue="0" maxValue="5000000" count="39">
        <n v="0"/>
        <n v="34000"/>
        <n v="40000"/>
        <n v="60000"/>
        <n v="80000"/>
        <n v="100000"/>
        <n v="120000"/>
        <n v="125000"/>
        <n v="140000"/>
        <n v="150000"/>
        <n v="160000"/>
        <n v="175000"/>
        <n v="180000"/>
        <n v="200000"/>
        <n v="240000"/>
        <n v="260000"/>
        <n v="280000"/>
        <n v="300000"/>
        <n v="400000"/>
        <n v="460000"/>
        <n v="500000"/>
        <n v="600000"/>
        <n v="700000"/>
        <n v="800000"/>
        <n v="870000"/>
        <n v="900000"/>
        <n v="1000000"/>
        <n v="1200000"/>
        <n v="1250000"/>
        <n v="1400000"/>
        <n v="1500000"/>
        <n v="1600000"/>
        <n v="1900000"/>
        <n v="2000000"/>
        <n v="2800000"/>
        <n v="3000000"/>
        <n v="3600000"/>
        <n v="5000000"/>
        <m/>
      </sharedItems>
    </cacheField>
    <cacheField name="Ёркиной" numFmtId="0">
      <sharedItems containsString="0" containsBlank="1" containsNumber="1" minValue="0" maxValue="2500000" count="41">
        <n v="0"/>
        <n v="11900"/>
        <n v="14000"/>
        <n v="21000"/>
        <n v="28000"/>
        <n v="35000"/>
        <n v="42000"/>
        <n v="49000"/>
        <n v="52500"/>
        <n v="56000"/>
        <n v="63000"/>
        <n v="70000"/>
        <n v="84000"/>
        <n v="91000"/>
        <n v="98000"/>
        <n v="105000"/>
        <n v="140000"/>
        <n v="161000"/>
        <n v="175000"/>
        <n v="210000"/>
        <n v="245000"/>
        <n v="280000"/>
        <n v="304500"/>
        <n v="315000"/>
        <n v="350000"/>
        <n v="420000"/>
        <n v="490000"/>
        <n v="510000"/>
        <n v="525000"/>
        <n v="560000"/>
        <n v="600000"/>
        <n v="665000"/>
        <n v="700000"/>
        <n v="770000"/>
        <n v="980000"/>
        <n v="1050000"/>
        <n v="1260000"/>
        <n v="1400000"/>
        <n v="1750000"/>
        <n v="2500000"/>
        <m/>
      </sharedItems>
    </cacheField>
    <cacheField name="Назоратчи  %" numFmtId="0">
      <sharedItems containsString="0" containsBlank="1" containsNumber="1" containsInteger="1" minValue="0" maxValue="1500000" count="39">
        <n v="0"/>
        <n v="8500"/>
        <n v="10000"/>
        <n v="15000"/>
        <n v="20000"/>
        <n v="25000"/>
        <n v="30000"/>
        <n v="35000"/>
        <n v="37500"/>
        <n v="40000"/>
        <n v="45000"/>
        <n v="50000"/>
        <n v="60000"/>
        <n v="65000"/>
        <n v="70000"/>
        <n v="75000"/>
        <n v="100000"/>
        <n v="115000"/>
        <n v="125000"/>
        <n v="150000"/>
        <n v="175000"/>
        <n v="200000"/>
        <n v="217500"/>
        <n v="225000"/>
        <n v="250000"/>
        <n v="300000"/>
        <n v="350000"/>
        <n v="375000"/>
        <n v="400000"/>
        <n v="475000"/>
        <n v="500000"/>
        <n v="550000"/>
        <n v="600000"/>
        <n v="700000"/>
        <n v="750000"/>
        <n v="900000"/>
        <n v="1250000"/>
        <n v="15000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164"/>
    <x v="31"/>
    <x v="0"/>
    <x v="23"/>
    <x v="1"/>
    <x v="5"/>
    <x v="3"/>
    <x v="1"/>
    <x v="3"/>
    <x v="5"/>
    <x v="5"/>
    <x v="5"/>
  </r>
  <r>
    <x v="1"/>
    <x v="15"/>
    <x v="12"/>
    <x v="1"/>
    <x v="22"/>
    <x v="3"/>
    <x v="7"/>
    <x v="0"/>
    <x v="1"/>
    <x v="4"/>
    <x v="8"/>
    <x v="7"/>
    <x v="7"/>
  </r>
  <r>
    <x v="2"/>
    <x v="39"/>
    <x v="37"/>
    <x v="1"/>
    <x v="1"/>
    <x v="3"/>
    <x v="7"/>
    <x v="0"/>
    <x v="1"/>
    <x v="4"/>
    <x v="8"/>
    <x v="7"/>
    <x v="7"/>
  </r>
  <r>
    <x v="3"/>
    <x v="274"/>
    <x v="38"/>
    <x v="1"/>
    <x v="22"/>
    <x v="3"/>
    <x v="7"/>
    <x v="0"/>
    <x v="1"/>
    <x v="4"/>
    <x v="8"/>
    <x v="7"/>
    <x v="7"/>
  </r>
  <r>
    <x v="4"/>
    <x v="270"/>
    <x v="40"/>
    <x v="1"/>
    <x v="8"/>
    <x v="4"/>
    <x v="0"/>
    <x v="1"/>
    <x v="1"/>
    <x v="0"/>
    <x v="0"/>
    <x v="0"/>
    <x v="0"/>
  </r>
  <r>
    <x v="5"/>
    <x v="271"/>
    <x v="52"/>
    <x v="1"/>
    <x v="17"/>
    <x v="3"/>
    <x v="7"/>
    <x v="2"/>
    <x v="1"/>
    <x v="4"/>
    <x v="8"/>
    <x v="7"/>
    <x v="7"/>
  </r>
  <r>
    <x v="6"/>
    <x v="182"/>
    <x v="57"/>
    <x v="1"/>
    <x v="22"/>
    <x v="3"/>
    <x v="7"/>
    <x v="0"/>
    <x v="1"/>
    <x v="4"/>
    <x v="8"/>
    <x v="7"/>
    <x v="7"/>
  </r>
  <r>
    <x v="7"/>
    <x v="3"/>
    <x v="20"/>
    <x v="0"/>
    <x v="1"/>
    <x v="3"/>
    <x v="16"/>
    <x v="0"/>
    <x v="1"/>
    <x v="12"/>
    <x v="18"/>
    <x v="16"/>
    <x v="16"/>
  </r>
  <r>
    <x v="8"/>
    <x v="35"/>
    <x v="74"/>
    <x v="1"/>
    <x v="14"/>
    <x v="1"/>
    <x v="25"/>
    <x v="0"/>
    <x v="1"/>
    <x v="21"/>
    <x v="27"/>
    <x v="25"/>
    <x v="25"/>
  </r>
  <r>
    <x v="9"/>
    <x v="181"/>
    <x v="53"/>
    <x v="0"/>
    <x v="18"/>
    <x v="1"/>
    <x v="18"/>
    <x v="0"/>
    <x v="1"/>
    <x v="14"/>
    <x v="20"/>
    <x v="18"/>
    <x v="18"/>
  </r>
  <r>
    <x v="10"/>
    <x v="32"/>
    <x v="61"/>
    <x v="0"/>
    <x v="18"/>
    <x v="1"/>
    <x v="26"/>
    <x v="0"/>
    <x v="1"/>
    <x v="22"/>
    <x v="29"/>
    <x v="26"/>
    <x v="26"/>
  </r>
  <r>
    <x v="11"/>
    <x v="112"/>
    <x v="76"/>
    <x v="0"/>
    <x v="15"/>
    <x v="3"/>
    <x v="21"/>
    <x v="1"/>
    <x v="1"/>
    <x v="17"/>
    <x v="23"/>
    <x v="21"/>
    <x v="21"/>
  </r>
  <r>
    <x v="12"/>
    <x v="206"/>
    <x v="1"/>
    <x v="0"/>
    <x v="8"/>
    <x v="4"/>
    <x v="16"/>
    <x v="1"/>
    <x v="2"/>
    <x v="0"/>
    <x v="20"/>
    <x v="16"/>
    <x v="16"/>
  </r>
  <r>
    <x v="13"/>
    <x v="159"/>
    <x v="21"/>
    <x v="0"/>
    <x v="8"/>
    <x v="4"/>
    <x v="0"/>
    <x v="1"/>
    <x v="1"/>
    <x v="0"/>
    <x v="0"/>
    <x v="0"/>
    <x v="0"/>
  </r>
  <r>
    <x v="14"/>
    <x v="2"/>
    <x v="26"/>
    <x v="0"/>
    <x v="0"/>
    <x v="1"/>
    <x v="19"/>
    <x v="1"/>
    <x v="1"/>
    <x v="15"/>
    <x v="21"/>
    <x v="19"/>
    <x v="19"/>
  </r>
  <r>
    <x v="15"/>
    <x v="7"/>
    <x v="36"/>
    <x v="0"/>
    <x v="19"/>
    <x v="1"/>
    <x v="20"/>
    <x v="0"/>
    <x v="1"/>
    <x v="16"/>
    <x v="22"/>
    <x v="20"/>
    <x v="20"/>
  </r>
  <r>
    <x v="16"/>
    <x v="268"/>
    <x v="41"/>
    <x v="0"/>
    <x v="8"/>
    <x v="1"/>
    <x v="37"/>
    <x v="1"/>
    <x v="1"/>
    <x v="30"/>
    <x v="37"/>
    <x v="38"/>
    <x v="36"/>
  </r>
  <r>
    <x v="17"/>
    <x v="9"/>
    <x v="47"/>
    <x v="0"/>
    <x v="17"/>
    <x v="3"/>
    <x v="11"/>
    <x v="2"/>
    <x v="1"/>
    <x v="8"/>
    <x v="13"/>
    <x v="11"/>
    <x v="11"/>
  </r>
  <r>
    <x v="18"/>
    <x v="11"/>
    <x v="0"/>
    <x v="1"/>
    <x v="23"/>
    <x v="4"/>
    <x v="5"/>
    <x v="3"/>
    <x v="1"/>
    <x v="0"/>
    <x v="5"/>
    <x v="5"/>
    <x v="5"/>
  </r>
  <r>
    <x v="19"/>
    <x v="69"/>
    <x v="99"/>
    <x v="1"/>
    <x v="10"/>
    <x v="1"/>
    <x v="11"/>
    <x v="0"/>
    <x v="1"/>
    <x v="8"/>
    <x v="13"/>
    <x v="11"/>
    <x v="11"/>
  </r>
  <r>
    <x v="20"/>
    <x v="265"/>
    <x v="39"/>
    <x v="1"/>
    <x v="3"/>
    <x v="3"/>
    <x v="11"/>
    <x v="1"/>
    <x v="1"/>
    <x v="8"/>
    <x v="13"/>
    <x v="11"/>
    <x v="11"/>
  </r>
  <r>
    <x v="21"/>
    <x v="145"/>
    <x v="99"/>
    <x v="1"/>
    <x v="26"/>
    <x v="4"/>
    <x v="38"/>
    <x v="4"/>
    <x v="3"/>
    <x v="31"/>
    <x v="0"/>
    <x v="39"/>
    <x v="0"/>
  </r>
  <r>
    <x v="22"/>
    <x v="0"/>
    <x v="22"/>
    <x v="0"/>
    <x v="23"/>
    <x v="3"/>
    <x v="5"/>
    <x v="3"/>
    <x v="1"/>
    <x v="3"/>
    <x v="5"/>
    <x v="5"/>
    <x v="5"/>
  </r>
  <r>
    <x v="23"/>
    <x v="1"/>
    <x v="49"/>
    <x v="0"/>
    <x v="23"/>
    <x v="3"/>
    <x v="5"/>
    <x v="3"/>
    <x v="1"/>
    <x v="3"/>
    <x v="5"/>
    <x v="5"/>
    <x v="5"/>
  </r>
  <r>
    <x v="24"/>
    <x v="37"/>
    <x v="33"/>
    <x v="0"/>
    <x v="14"/>
    <x v="3"/>
    <x v="17"/>
    <x v="0"/>
    <x v="1"/>
    <x v="13"/>
    <x v="19"/>
    <x v="17"/>
    <x v="17"/>
  </r>
  <r>
    <x v="25"/>
    <x v="150"/>
    <x v="99"/>
    <x v="1"/>
    <x v="25"/>
    <x v="1"/>
    <x v="18"/>
    <x v="0"/>
    <x v="1"/>
    <x v="14"/>
    <x v="20"/>
    <x v="18"/>
    <x v="18"/>
  </r>
  <r>
    <x v="26"/>
    <x v="166"/>
    <x v="72"/>
    <x v="0"/>
    <x v="15"/>
    <x v="4"/>
    <x v="39"/>
    <x v="1"/>
    <x v="1"/>
    <x v="0"/>
    <x v="0"/>
    <x v="0"/>
    <x v="0"/>
  </r>
  <r>
    <x v="27"/>
    <x v="253"/>
    <x v="99"/>
    <x v="1"/>
    <x v="15"/>
    <x v="4"/>
    <x v="39"/>
    <x v="1"/>
    <x v="1"/>
    <x v="0"/>
    <x v="0"/>
    <x v="0"/>
    <x v="0"/>
  </r>
  <r>
    <x v="28"/>
    <x v="17"/>
    <x v="54"/>
    <x v="1"/>
    <x v="15"/>
    <x v="1"/>
    <x v="11"/>
    <x v="1"/>
    <x v="1"/>
    <x v="8"/>
    <x v="13"/>
    <x v="11"/>
    <x v="11"/>
  </r>
  <r>
    <x v="29"/>
    <x v="142"/>
    <x v="99"/>
    <x v="1"/>
    <x v="15"/>
    <x v="3"/>
    <x v="16"/>
    <x v="1"/>
    <x v="1"/>
    <x v="12"/>
    <x v="18"/>
    <x v="16"/>
    <x v="0"/>
  </r>
  <r>
    <x v="30"/>
    <x v="273"/>
    <x v="2"/>
    <x v="0"/>
    <x v="10"/>
    <x v="1"/>
    <x v="0"/>
    <x v="0"/>
    <x v="1"/>
    <x v="0"/>
    <x v="0"/>
    <x v="0"/>
    <x v="0"/>
  </r>
  <r>
    <x v="31"/>
    <x v="180"/>
    <x v="5"/>
    <x v="0"/>
    <x v="10"/>
    <x v="3"/>
    <x v="20"/>
    <x v="0"/>
    <x v="1"/>
    <x v="16"/>
    <x v="22"/>
    <x v="20"/>
    <x v="20"/>
  </r>
  <r>
    <x v="32"/>
    <x v="33"/>
    <x v="14"/>
    <x v="0"/>
    <x v="19"/>
    <x v="4"/>
    <x v="0"/>
    <x v="0"/>
    <x v="1"/>
    <x v="0"/>
    <x v="0"/>
    <x v="0"/>
    <x v="0"/>
  </r>
  <r>
    <x v="33"/>
    <x v="77"/>
    <x v="99"/>
    <x v="1"/>
    <x v="1"/>
    <x v="1"/>
    <x v="15"/>
    <x v="0"/>
    <x v="1"/>
    <x v="11"/>
    <x v="17"/>
    <x v="15"/>
    <x v="15"/>
  </r>
  <r>
    <x v="34"/>
    <x v="5"/>
    <x v="99"/>
    <x v="1"/>
    <x v="15"/>
    <x v="1"/>
    <x v="16"/>
    <x v="1"/>
    <x v="1"/>
    <x v="12"/>
    <x v="18"/>
    <x v="16"/>
    <x v="16"/>
  </r>
  <r>
    <x v="35"/>
    <x v="266"/>
    <x v="44"/>
    <x v="0"/>
    <x v="21"/>
    <x v="3"/>
    <x v="7"/>
    <x v="1"/>
    <x v="1"/>
    <x v="4"/>
    <x v="8"/>
    <x v="7"/>
    <x v="7"/>
  </r>
  <r>
    <x v="36"/>
    <x v="24"/>
    <x v="51"/>
    <x v="0"/>
    <x v="5"/>
    <x v="3"/>
    <x v="5"/>
    <x v="2"/>
    <x v="1"/>
    <x v="3"/>
    <x v="5"/>
    <x v="5"/>
    <x v="5"/>
  </r>
  <r>
    <x v="37"/>
    <x v="18"/>
    <x v="64"/>
    <x v="1"/>
    <x v="6"/>
    <x v="1"/>
    <x v="11"/>
    <x v="0"/>
    <x v="1"/>
    <x v="8"/>
    <x v="13"/>
    <x v="11"/>
    <x v="11"/>
  </r>
  <r>
    <x v="38"/>
    <x v="22"/>
    <x v="6"/>
    <x v="1"/>
    <x v="14"/>
    <x v="1"/>
    <x v="9"/>
    <x v="0"/>
    <x v="1"/>
    <x v="6"/>
    <x v="10"/>
    <x v="9"/>
    <x v="9"/>
  </r>
  <r>
    <x v="39"/>
    <x v="249"/>
    <x v="7"/>
    <x v="1"/>
    <x v="14"/>
    <x v="1"/>
    <x v="5"/>
    <x v="0"/>
    <x v="1"/>
    <x v="3"/>
    <x v="5"/>
    <x v="5"/>
    <x v="5"/>
  </r>
  <r>
    <x v="40"/>
    <x v="30"/>
    <x v="17"/>
    <x v="1"/>
    <x v="21"/>
    <x v="3"/>
    <x v="15"/>
    <x v="1"/>
    <x v="1"/>
    <x v="11"/>
    <x v="17"/>
    <x v="15"/>
    <x v="15"/>
  </r>
  <r>
    <x v="41"/>
    <x v="272"/>
    <x v="42"/>
    <x v="1"/>
    <x v="22"/>
    <x v="3"/>
    <x v="4"/>
    <x v="0"/>
    <x v="1"/>
    <x v="2"/>
    <x v="4"/>
    <x v="4"/>
    <x v="4"/>
  </r>
  <r>
    <x v="42"/>
    <x v="23"/>
    <x v="43"/>
    <x v="1"/>
    <x v="14"/>
    <x v="1"/>
    <x v="16"/>
    <x v="0"/>
    <x v="1"/>
    <x v="12"/>
    <x v="18"/>
    <x v="16"/>
    <x v="16"/>
  </r>
  <r>
    <x v="43"/>
    <x v="8"/>
    <x v="15"/>
    <x v="0"/>
    <x v="25"/>
    <x v="4"/>
    <x v="21"/>
    <x v="0"/>
    <x v="1"/>
    <x v="0"/>
    <x v="23"/>
    <x v="21"/>
    <x v="21"/>
  </r>
  <r>
    <x v="44"/>
    <x v="38"/>
    <x v="63"/>
    <x v="1"/>
    <x v="6"/>
    <x v="1"/>
    <x v="7"/>
    <x v="0"/>
    <x v="1"/>
    <x v="4"/>
    <x v="8"/>
    <x v="7"/>
    <x v="7"/>
  </r>
  <r>
    <x v="45"/>
    <x v="122"/>
    <x v="69"/>
    <x v="1"/>
    <x v="6"/>
    <x v="1"/>
    <x v="11"/>
    <x v="0"/>
    <x v="1"/>
    <x v="8"/>
    <x v="13"/>
    <x v="11"/>
    <x v="11"/>
  </r>
  <r>
    <x v="46"/>
    <x v="267"/>
    <x v="46"/>
    <x v="0"/>
    <x v="14"/>
    <x v="4"/>
    <x v="19"/>
    <x v="0"/>
    <x v="1"/>
    <x v="0"/>
    <x v="21"/>
    <x v="19"/>
    <x v="19"/>
  </r>
  <r>
    <x v="47"/>
    <x v="256"/>
    <x v="60"/>
    <x v="1"/>
    <x v="10"/>
    <x v="1"/>
    <x v="11"/>
    <x v="0"/>
    <x v="1"/>
    <x v="8"/>
    <x v="13"/>
    <x v="11"/>
    <x v="11"/>
  </r>
  <r>
    <x v="48"/>
    <x v="40"/>
    <x v="18"/>
    <x v="0"/>
    <x v="10"/>
    <x v="3"/>
    <x v="16"/>
    <x v="0"/>
    <x v="1"/>
    <x v="12"/>
    <x v="18"/>
    <x v="16"/>
    <x v="16"/>
  </r>
  <r>
    <x v="49"/>
    <x v="147"/>
    <x v="25"/>
    <x v="0"/>
    <x v="0"/>
    <x v="1"/>
    <x v="18"/>
    <x v="0"/>
    <x v="1"/>
    <x v="14"/>
    <x v="20"/>
    <x v="18"/>
    <x v="18"/>
  </r>
  <r>
    <x v="50"/>
    <x v="64"/>
    <x v="99"/>
    <x v="1"/>
    <x v="15"/>
    <x v="1"/>
    <x v="11"/>
    <x v="1"/>
    <x v="1"/>
    <x v="8"/>
    <x v="13"/>
    <x v="11"/>
    <x v="11"/>
  </r>
  <r>
    <x v="51"/>
    <x v="43"/>
    <x v="62"/>
    <x v="0"/>
    <x v="19"/>
    <x v="1"/>
    <x v="15"/>
    <x v="0"/>
    <x v="1"/>
    <x v="11"/>
    <x v="17"/>
    <x v="15"/>
    <x v="15"/>
  </r>
  <r>
    <x v="52"/>
    <x v="65"/>
    <x v="99"/>
    <x v="1"/>
    <x v="8"/>
    <x v="1"/>
    <x v="11"/>
    <x v="1"/>
    <x v="1"/>
    <x v="8"/>
    <x v="13"/>
    <x v="11"/>
    <x v="11"/>
  </r>
  <r>
    <x v="53"/>
    <x v="235"/>
    <x v="45"/>
    <x v="1"/>
    <x v="15"/>
    <x v="3"/>
    <x v="15"/>
    <x v="1"/>
    <x v="1"/>
    <x v="11"/>
    <x v="17"/>
    <x v="15"/>
    <x v="15"/>
  </r>
  <r>
    <x v="54"/>
    <x v="4"/>
    <x v="16"/>
    <x v="0"/>
    <x v="0"/>
    <x v="1"/>
    <x v="21"/>
    <x v="1"/>
    <x v="1"/>
    <x v="17"/>
    <x v="23"/>
    <x v="21"/>
    <x v="21"/>
  </r>
  <r>
    <x v="55"/>
    <x v="126"/>
    <x v="30"/>
    <x v="0"/>
    <x v="0"/>
    <x v="1"/>
    <x v="18"/>
    <x v="0"/>
    <x v="1"/>
    <x v="14"/>
    <x v="20"/>
    <x v="18"/>
    <x v="18"/>
  </r>
  <r>
    <x v="56"/>
    <x v="19"/>
    <x v="34"/>
    <x v="0"/>
    <x v="18"/>
    <x v="4"/>
    <x v="21"/>
    <x v="0"/>
    <x v="1"/>
    <x v="0"/>
    <x v="23"/>
    <x v="21"/>
    <x v="21"/>
  </r>
  <r>
    <x v="57"/>
    <x v="16"/>
    <x v="55"/>
    <x v="0"/>
    <x v="10"/>
    <x v="3"/>
    <x v="7"/>
    <x v="0"/>
    <x v="1"/>
    <x v="4"/>
    <x v="8"/>
    <x v="7"/>
    <x v="7"/>
  </r>
  <r>
    <x v="58"/>
    <x v="25"/>
    <x v="35"/>
    <x v="0"/>
    <x v="19"/>
    <x v="1"/>
    <x v="22"/>
    <x v="0"/>
    <x v="1"/>
    <x v="18"/>
    <x v="24"/>
    <x v="22"/>
    <x v="22"/>
  </r>
  <r>
    <x v="59"/>
    <x v="225"/>
    <x v="71"/>
    <x v="1"/>
    <x v="0"/>
    <x v="3"/>
    <x v="0"/>
    <x v="0"/>
    <x v="1"/>
    <x v="0"/>
    <x v="0"/>
    <x v="0"/>
    <x v="0"/>
  </r>
  <r>
    <x v="60"/>
    <x v="169"/>
    <x v="99"/>
    <x v="0"/>
    <x v="25"/>
    <x v="4"/>
    <x v="24"/>
    <x v="0"/>
    <x v="1"/>
    <x v="0"/>
    <x v="26"/>
    <x v="24"/>
    <x v="24"/>
  </r>
  <r>
    <x v="61"/>
    <x v="86"/>
    <x v="99"/>
    <x v="1"/>
    <x v="9"/>
    <x v="1"/>
    <x v="11"/>
    <x v="1"/>
    <x v="1"/>
    <x v="8"/>
    <x v="13"/>
    <x v="11"/>
    <x v="11"/>
  </r>
  <r>
    <x v="62"/>
    <x v="27"/>
    <x v="4"/>
    <x v="0"/>
    <x v="19"/>
    <x v="3"/>
    <x v="18"/>
    <x v="0"/>
    <x v="1"/>
    <x v="14"/>
    <x v="20"/>
    <x v="18"/>
    <x v="18"/>
  </r>
  <r>
    <x v="63"/>
    <x v="248"/>
    <x v="56"/>
    <x v="0"/>
    <x v="1"/>
    <x v="1"/>
    <x v="0"/>
    <x v="0"/>
    <x v="3"/>
    <x v="0"/>
    <x v="0"/>
    <x v="40"/>
    <x v="0"/>
  </r>
  <r>
    <x v="64"/>
    <x v="29"/>
    <x v="70"/>
    <x v="0"/>
    <x v="21"/>
    <x v="1"/>
    <x v="21"/>
    <x v="1"/>
    <x v="1"/>
    <x v="17"/>
    <x v="23"/>
    <x v="21"/>
    <x v="21"/>
  </r>
  <r>
    <x v="65"/>
    <x v="186"/>
    <x v="99"/>
    <x v="1"/>
    <x v="12"/>
    <x v="3"/>
    <x v="19"/>
    <x v="1"/>
    <x v="1"/>
    <x v="15"/>
    <x v="21"/>
    <x v="19"/>
    <x v="19"/>
  </r>
  <r>
    <x v="66"/>
    <x v="161"/>
    <x v="65"/>
    <x v="0"/>
    <x v="15"/>
    <x v="1"/>
    <x v="15"/>
    <x v="1"/>
    <x v="1"/>
    <x v="11"/>
    <x v="17"/>
    <x v="15"/>
    <x v="15"/>
  </r>
  <r>
    <x v="67"/>
    <x v="234"/>
    <x v="23"/>
    <x v="0"/>
    <x v="26"/>
    <x v="4"/>
    <x v="36"/>
    <x v="4"/>
    <x v="2"/>
    <x v="0"/>
    <x v="38"/>
    <x v="37"/>
    <x v="38"/>
  </r>
  <r>
    <x v="68"/>
    <x v="213"/>
    <x v="99"/>
    <x v="1"/>
    <x v="0"/>
    <x v="4"/>
    <x v="2"/>
    <x v="0"/>
    <x v="1"/>
    <x v="31"/>
    <x v="2"/>
    <x v="2"/>
    <x v="2"/>
  </r>
  <r>
    <x v="69"/>
    <x v="196"/>
    <x v="75"/>
    <x v="1"/>
    <x v="1"/>
    <x v="4"/>
    <x v="11"/>
    <x v="0"/>
    <x v="1"/>
    <x v="0"/>
    <x v="13"/>
    <x v="11"/>
    <x v="11"/>
  </r>
  <r>
    <x v="70"/>
    <x v="97"/>
    <x v="99"/>
    <x v="1"/>
    <x v="4"/>
    <x v="3"/>
    <x v="31"/>
    <x v="1"/>
    <x v="1"/>
    <x v="17"/>
    <x v="0"/>
    <x v="33"/>
    <x v="31"/>
  </r>
  <r>
    <x v="71"/>
    <x v="6"/>
    <x v="99"/>
    <x v="1"/>
    <x v="15"/>
    <x v="1"/>
    <x v="11"/>
    <x v="1"/>
    <x v="1"/>
    <x v="8"/>
    <x v="13"/>
    <x v="11"/>
    <x v="11"/>
  </r>
  <r>
    <x v="72"/>
    <x v="61"/>
    <x v="99"/>
    <x v="1"/>
    <x v="18"/>
    <x v="3"/>
    <x v="18"/>
    <x v="0"/>
    <x v="1"/>
    <x v="14"/>
    <x v="20"/>
    <x v="18"/>
    <x v="18"/>
  </r>
  <r>
    <x v="73"/>
    <x v="198"/>
    <x v="77"/>
    <x v="1"/>
    <x v="18"/>
    <x v="1"/>
    <x v="7"/>
    <x v="0"/>
    <x v="1"/>
    <x v="4"/>
    <x v="8"/>
    <x v="7"/>
    <x v="7"/>
  </r>
  <r>
    <x v="74"/>
    <x v="190"/>
    <x v="99"/>
    <x v="1"/>
    <x v="8"/>
    <x v="4"/>
    <x v="1"/>
    <x v="1"/>
    <x v="1"/>
    <x v="31"/>
    <x v="1"/>
    <x v="1"/>
    <x v="1"/>
  </r>
  <r>
    <x v="75"/>
    <x v="125"/>
    <x v="99"/>
    <x v="1"/>
    <x v="10"/>
    <x v="1"/>
    <x v="11"/>
    <x v="0"/>
    <x v="1"/>
    <x v="8"/>
    <x v="13"/>
    <x v="11"/>
    <x v="11"/>
  </r>
  <r>
    <x v="76"/>
    <x v="71"/>
    <x v="99"/>
    <x v="1"/>
    <x v="10"/>
    <x v="4"/>
    <x v="30"/>
    <x v="0"/>
    <x v="1"/>
    <x v="31"/>
    <x v="33"/>
    <x v="32"/>
    <x v="30"/>
  </r>
  <r>
    <x v="77"/>
    <x v="138"/>
    <x v="99"/>
    <x v="1"/>
    <x v="18"/>
    <x v="1"/>
    <x v="15"/>
    <x v="0"/>
    <x v="1"/>
    <x v="11"/>
    <x v="17"/>
    <x v="15"/>
    <x v="15"/>
  </r>
  <r>
    <x v="78"/>
    <x v="241"/>
    <x v="99"/>
    <x v="1"/>
    <x v="10"/>
    <x v="1"/>
    <x v="0"/>
    <x v="0"/>
    <x v="1"/>
    <x v="0"/>
    <x v="0"/>
    <x v="0"/>
    <x v="0"/>
  </r>
  <r>
    <x v="79"/>
    <x v="171"/>
    <x v="99"/>
    <x v="1"/>
    <x v="21"/>
    <x v="1"/>
    <x v="9"/>
    <x v="1"/>
    <x v="1"/>
    <x v="6"/>
    <x v="10"/>
    <x v="9"/>
    <x v="9"/>
  </r>
  <r>
    <x v="80"/>
    <x v="144"/>
    <x v="99"/>
    <x v="1"/>
    <x v="11"/>
    <x v="2"/>
    <x v="34"/>
    <x v="0"/>
    <x v="1"/>
    <x v="28"/>
    <x v="35"/>
    <x v="35"/>
    <x v="37"/>
  </r>
  <r>
    <x v="81"/>
    <x v="237"/>
    <x v="99"/>
    <x v="1"/>
    <x v="15"/>
    <x v="1"/>
    <x v="11"/>
    <x v="1"/>
    <x v="1"/>
    <x v="8"/>
    <x v="13"/>
    <x v="11"/>
    <x v="11"/>
  </r>
  <r>
    <x v="82"/>
    <x v="214"/>
    <x v="99"/>
    <x v="1"/>
    <x v="22"/>
    <x v="3"/>
    <x v="7"/>
    <x v="0"/>
    <x v="1"/>
    <x v="4"/>
    <x v="8"/>
    <x v="7"/>
    <x v="7"/>
  </r>
  <r>
    <x v="83"/>
    <x v="197"/>
    <x v="99"/>
    <x v="1"/>
    <x v="1"/>
    <x v="3"/>
    <x v="11"/>
    <x v="0"/>
    <x v="1"/>
    <x v="8"/>
    <x v="13"/>
    <x v="11"/>
    <x v="11"/>
  </r>
  <r>
    <x v="84"/>
    <x v="62"/>
    <x v="99"/>
    <x v="1"/>
    <x v="22"/>
    <x v="3"/>
    <x v="7"/>
    <x v="0"/>
    <x v="1"/>
    <x v="4"/>
    <x v="8"/>
    <x v="7"/>
    <x v="7"/>
  </r>
  <r>
    <x v="85"/>
    <x v="243"/>
    <x v="99"/>
    <x v="1"/>
    <x v="1"/>
    <x v="1"/>
    <x v="19"/>
    <x v="0"/>
    <x v="1"/>
    <x v="15"/>
    <x v="0"/>
    <x v="27"/>
    <x v="19"/>
  </r>
  <r>
    <x v="86"/>
    <x v="146"/>
    <x v="99"/>
    <x v="1"/>
    <x v="0"/>
    <x v="3"/>
    <x v="19"/>
    <x v="0"/>
    <x v="1"/>
    <x v="15"/>
    <x v="21"/>
    <x v="19"/>
    <x v="19"/>
  </r>
  <r>
    <x v="87"/>
    <x v="177"/>
    <x v="99"/>
    <x v="1"/>
    <x v="5"/>
    <x v="3"/>
    <x v="5"/>
    <x v="2"/>
    <x v="2"/>
    <x v="3"/>
    <x v="7"/>
    <x v="5"/>
    <x v="5"/>
  </r>
  <r>
    <x v="88"/>
    <x v="158"/>
    <x v="99"/>
    <x v="1"/>
    <x v="19"/>
    <x v="4"/>
    <x v="18"/>
    <x v="0"/>
    <x v="1"/>
    <x v="0"/>
    <x v="20"/>
    <x v="18"/>
    <x v="18"/>
  </r>
  <r>
    <x v="89"/>
    <x v="155"/>
    <x v="99"/>
    <x v="1"/>
    <x v="10"/>
    <x v="1"/>
    <x v="0"/>
    <x v="0"/>
    <x v="1"/>
    <x v="0"/>
    <x v="0"/>
    <x v="0"/>
    <x v="0"/>
  </r>
  <r>
    <x v="90"/>
    <x v="131"/>
    <x v="99"/>
    <x v="1"/>
    <x v="6"/>
    <x v="1"/>
    <x v="7"/>
    <x v="0"/>
    <x v="1"/>
    <x v="4"/>
    <x v="8"/>
    <x v="7"/>
    <x v="7"/>
  </r>
  <r>
    <x v="91"/>
    <x v="187"/>
    <x v="99"/>
    <x v="1"/>
    <x v="21"/>
    <x v="3"/>
    <x v="7"/>
    <x v="1"/>
    <x v="2"/>
    <x v="4"/>
    <x v="11"/>
    <x v="7"/>
    <x v="7"/>
  </r>
  <r>
    <x v="92"/>
    <x v="160"/>
    <x v="99"/>
    <x v="1"/>
    <x v="5"/>
    <x v="4"/>
    <x v="5"/>
    <x v="2"/>
    <x v="1"/>
    <x v="0"/>
    <x v="5"/>
    <x v="5"/>
    <x v="5"/>
  </r>
  <r>
    <x v="93"/>
    <x v="104"/>
    <x v="99"/>
    <x v="1"/>
    <x v="10"/>
    <x v="1"/>
    <x v="11"/>
    <x v="0"/>
    <x v="1"/>
    <x v="8"/>
    <x v="13"/>
    <x v="11"/>
    <x v="11"/>
  </r>
  <r>
    <x v="94"/>
    <x v="91"/>
    <x v="99"/>
    <x v="1"/>
    <x v="6"/>
    <x v="1"/>
    <x v="7"/>
    <x v="0"/>
    <x v="1"/>
    <x v="4"/>
    <x v="8"/>
    <x v="7"/>
    <x v="7"/>
  </r>
  <r>
    <x v="95"/>
    <x v="258"/>
    <x v="99"/>
    <x v="1"/>
    <x v="21"/>
    <x v="3"/>
    <x v="8"/>
    <x v="1"/>
    <x v="1"/>
    <x v="5"/>
    <x v="9"/>
    <x v="8"/>
    <x v="8"/>
  </r>
  <r>
    <x v="96"/>
    <x v="247"/>
    <x v="99"/>
    <x v="1"/>
    <x v="19"/>
    <x v="1"/>
    <x v="7"/>
    <x v="0"/>
    <x v="1"/>
    <x v="4"/>
    <x v="8"/>
    <x v="7"/>
    <x v="7"/>
  </r>
  <r>
    <x v="97"/>
    <x v="275"/>
    <x v="99"/>
    <x v="1"/>
    <x v="26"/>
    <x v="4"/>
    <x v="39"/>
    <x v="4"/>
    <x v="3"/>
    <x v="31"/>
    <x v="38"/>
    <x v="40"/>
    <x v="38"/>
  </r>
  <r>
    <x v="98"/>
    <x v="173"/>
    <x v="99"/>
    <x v="1"/>
    <x v="14"/>
    <x v="3"/>
    <x v="30"/>
    <x v="0"/>
    <x v="1"/>
    <x v="26"/>
    <x v="33"/>
    <x v="32"/>
    <x v="30"/>
  </r>
  <r>
    <x v="99"/>
    <x v="143"/>
    <x v="99"/>
    <x v="1"/>
    <x v="19"/>
    <x v="4"/>
    <x v="18"/>
    <x v="0"/>
    <x v="1"/>
    <x v="31"/>
    <x v="20"/>
    <x v="18"/>
    <x v="18"/>
  </r>
  <r>
    <x v="100"/>
    <x v="49"/>
    <x v="99"/>
    <x v="1"/>
    <x v="19"/>
    <x v="1"/>
    <x v="16"/>
    <x v="0"/>
    <x v="1"/>
    <x v="12"/>
    <x v="18"/>
    <x v="16"/>
    <x v="16"/>
  </r>
  <r>
    <x v="101"/>
    <x v="109"/>
    <x v="99"/>
    <x v="1"/>
    <x v="1"/>
    <x v="3"/>
    <x v="18"/>
    <x v="0"/>
    <x v="1"/>
    <x v="14"/>
    <x v="20"/>
    <x v="18"/>
    <x v="18"/>
  </r>
  <r>
    <x v="102"/>
    <x v="79"/>
    <x v="99"/>
    <x v="1"/>
    <x v="8"/>
    <x v="1"/>
    <x v="16"/>
    <x v="1"/>
    <x v="1"/>
    <x v="12"/>
    <x v="18"/>
    <x v="16"/>
    <x v="16"/>
  </r>
  <r>
    <x v="103"/>
    <x v="238"/>
    <x v="99"/>
    <x v="1"/>
    <x v="1"/>
    <x v="3"/>
    <x v="16"/>
    <x v="0"/>
    <x v="1"/>
    <x v="12"/>
    <x v="18"/>
    <x v="16"/>
    <x v="16"/>
  </r>
  <r>
    <x v="104"/>
    <x v="230"/>
    <x v="99"/>
    <x v="1"/>
    <x v="22"/>
    <x v="3"/>
    <x v="7"/>
    <x v="0"/>
    <x v="1"/>
    <x v="4"/>
    <x v="8"/>
    <x v="7"/>
    <x v="7"/>
  </r>
  <r>
    <x v="105"/>
    <x v="124"/>
    <x v="99"/>
    <x v="1"/>
    <x v="25"/>
    <x v="1"/>
    <x v="15"/>
    <x v="0"/>
    <x v="1"/>
    <x v="11"/>
    <x v="17"/>
    <x v="15"/>
    <x v="15"/>
  </r>
  <r>
    <x v="106"/>
    <x v="149"/>
    <x v="99"/>
    <x v="1"/>
    <x v="25"/>
    <x v="1"/>
    <x v="19"/>
    <x v="0"/>
    <x v="1"/>
    <x v="15"/>
    <x v="21"/>
    <x v="19"/>
    <x v="19"/>
  </r>
  <r>
    <x v="107"/>
    <x v="157"/>
    <x v="99"/>
    <x v="1"/>
    <x v="18"/>
    <x v="3"/>
    <x v="11"/>
    <x v="0"/>
    <x v="1"/>
    <x v="8"/>
    <x v="13"/>
    <x v="11"/>
    <x v="11"/>
  </r>
  <r>
    <x v="108"/>
    <x v="87"/>
    <x v="99"/>
    <x v="1"/>
    <x v="5"/>
    <x v="3"/>
    <x v="7"/>
    <x v="2"/>
    <x v="1"/>
    <x v="4"/>
    <x v="8"/>
    <x v="7"/>
    <x v="7"/>
  </r>
  <r>
    <x v="109"/>
    <x v="51"/>
    <x v="99"/>
    <x v="1"/>
    <x v="18"/>
    <x v="2"/>
    <x v="35"/>
    <x v="0"/>
    <x v="1"/>
    <x v="29"/>
    <x v="36"/>
    <x v="36"/>
    <x v="35"/>
  </r>
  <r>
    <x v="110"/>
    <x v="103"/>
    <x v="99"/>
    <x v="1"/>
    <x v="0"/>
    <x v="4"/>
    <x v="19"/>
    <x v="0"/>
    <x v="1"/>
    <x v="31"/>
    <x v="21"/>
    <x v="19"/>
    <x v="19"/>
  </r>
  <r>
    <x v="111"/>
    <x v="89"/>
    <x v="99"/>
    <x v="1"/>
    <x v="0"/>
    <x v="4"/>
    <x v="19"/>
    <x v="0"/>
    <x v="1"/>
    <x v="31"/>
    <x v="21"/>
    <x v="19"/>
    <x v="19"/>
  </r>
  <r>
    <x v="112"/>
    <x v="257"/>
    <x v="99"/>
    <x v="1"/>
    <x v="10"/>
    <x v="4"/>
    <x v="16"/>
    <x v="0"/>
    <x v="1"/>
    <x v="31"/>
    <x v="18"/>
    <x v="16"/>
    <x v="16"/>
  </r>
  <r>
    <x v="113"/>
    <x v="76"/>
    <x v="99"/>
    <x v="1"/>
    <x v="10"/>
    <x v="3"/>
    <x v="24"/>
    <x v="0"/>
    <x v="1"/>
    <x v="20"/>
    <x v="26"/>
    <x v="24"/>
    <x v="24"/>
  </r>
  <r>
    <x v="114"/>
    <x v="201"/>
    <x v="99"/>
    <x v="1"/>
    <x v="10"/>
    <x v="3"/>
    <x v="5"/>
    <x v="0"/>
    <x v="1"/>
    <x v="3"/>
    <x v="5"/>
    <x v="5"/>
    <x v="5"/>
  </r>
  <r>
    <x v="115"/>
    <x v="136"/>
    <x v="99"/>
    <x v="1"/>
    <x v="10"/>
    <x v="3"/>
    <x v="5"/>
    <x v="0"/>
    <x v="1"/>
    <x v="3"/>
    <x v="5"/>
    <x v="5"/>
    <x v="5"/>
  </r>
  <r>
    <x v="116"/>
    <x v="220"/>
    <x v="99"/>
    <x v="1"/>
    <x v="19"/>
    <x v="4"/>
    <x v="32"/>
    <x v="0"/>
    <x v="1"/>
    <x v="31"/>
    <x v="35"/>
    <x v="30"/>
    <x v="32"/>
  </r>
  <r>
    <x v="117"/>
    <x v="199"/>
    <x v="99"/>
    <x v="1"/>
    <x v="9"/>
    <x v="4"/>
    <x v="9"/>
    <x v="1"/>
    <x v="1"/>
    <x v="31"/>
    <x v="10"/>
    <x v="9"/>
    <x v="9"/>
  </r>
  <r>
    <x v="118"/>
    <x v="185"/>
    <x v="99"/>
    <x v="1"/>
    <x v="9"/>
    <x v="3"/>
    <x v="11"/>
    <x v="1"/>
    <x v="1"/>
    <x v="8"/>
    <x v="13"/>
    <x v="11"/>
    <x v="11"/>
  </r>
  <r>
    <x v="119"/>
    <x v="153"/>
    <x v="99"/>
    <x v="1"/>
    <x v="14"/>
    <x v="4"/>
    <x v="19"/>
    <x v="0"/>
    <x v="1"/>
    <x v="31"/>
    <x v="21"/>
    <x v="19"/>
    <x v="19"/>
  </r>
  <r>
    <x v="120"/>
    <x v="45"/>
    <x v="99"/>
    <x v="1"/>
    <x v="1"/>
    <x v="3"/>
    <x v="3"/>
    <x v="0"/>
    <x v="1"/>
    <x v="1"/>
    <x v="3"/>
    <x v="3"/>
    <x v="3"/>
  </r>
  <r>
    <x v="121"/>
    <x v="170"/>
    <x v="99"/>
    <x v="1"/>
    <x v="1"/>
    <x v="3"/>
    <x v="11"/>
    <x v="0"/>
    <x v="1"/>
    <x v="8"/>
    <x v="13"/>
    <x v="11"/>
    <x v="11"/>
  </r>
  <r>
    <x v="122"/>
    <x v="212"/>
    <x v="99"/>
    <x v="1"/>
    <x v="1"/>
    <x v="3"/>
    <x v="11"/>
    <x v="0"/>
    <x v="1"/>
    <x v="8"/>
    <x v="13"/>
    <x v="11"/>
    <x v="11"/>
  </r>
  <r>
    <x v="123"/>
    <x v="46"/>
    <x v="99"/>
    <x v="1"/>
    <x v="1"/>
    <x v="3"/>
    <x v="11"/>
    <x v="0"/>
    <x v="1"/>
    <x v="8"/>
    <x v="13"/>
    <x v="11"/>
    <x v="11"/>
  </r>
  <r>
    <x v="124"/>
    <x v="41"/>
    <x v="99"/>
    <x v="1"/>
    <x v="1"/>
    <x v="3"/>
    <x v="3"/>
    <x v="0"/>
    <x v="1"/>
    <x v="1"/>
    <x v="3"/>
    <x v="3"/>
    <x v="3"/>
  </r>
  <r>
    <x v="125"/>
    <x v="168"/>
    <x v="99"/>
    <x v="1"/>
    <x v="1"/>
    <x v="3"/>
    <x v="4"/>
    <x v="0"/>
    <x v="1"/>
    <x v="2"/>
    <x v="4"/>
    <x v="4"/>
    <x v="4"/>
  </r>
  <r>
    <x v="126"/>
    <x v="83"/>
    <x v="99"/>
    <x v="1"/>
    <x v="9"/>
    <x v="3"/>
    <x v="11"/>
    <x v="1"/>
    <x v="1"/>
    <x v="8"/>
    <x v="13"/>
    <x v="11"/>
    <x v="11"/>
  </r>
  <r>
    <x v="127"/>
    <x v="68"/>
    <x v="99"/>
    <x v="1"/>
    <x v="20"/>
    <x v="4"/>
    <x v="0"/>
    <x v="0"/>
    <x v="1"/>
    <x v="31"/>
    <x v="0"/>
    <x v="0"/>
    <x v="0"/>
  </r>
  <r>
    <x v="128"/>
    <x v="200"/>
    <x v="99"/>
    <x v="1"/>
    <x v="10"/>
    <x v="1"/>
    <x v="16"/>
    <x v="0"/>
    <x v="1"/>
    <x v="12"/>
    <x v="18"/>
    <x v="16"/>
    <x v="16"/>
  </r>
  <r>
    <x v="129"/>
    <x v="135"/>
    <x v="99"/>
    <x v="1"/>
    <x v="14"/>
    <x v="3"/>
    <x v="0"/>
    <x v="0"/>
    <x v="1"/>
    <x v="0"/>
    <x v="0"/>
    <x v="0"/>
    <x v="0"/>
  </r>
  <r>
    <x v="130"/>
    <x v="221"/>
    <x v="99"/>
    <x v="1"/>
    <x v="15"/>
    <x v="1"/>
    <x v="21"/>
    <x v="1"/>
    <x v="1"/>
    <x v="17"/>
    <x v="23"/>
    <x v="21"/>
    <x v="21"/>
  </r>
  <r>
    <x v="131"/>
    <x v="47"/>
    <x v="99"/>
    <x v="1"/>
    <x v="15"/>
    <x v="1"/>
    <x v="0"/>
    <x v="1"/>
    <x v="1"/>
    <x v="0"/>
    <x v="0"/>
    <x v="0"/>
    <x v="0"/>
  </r>
  <r>
    <x v="132"/>
    <x v="67"/>
    <x v="99"/>
    <x v="1"/>
    <x v="15"/>
    <x v="1"/>
    <x v="0"/>
    <x v="1"/>
    <x v="1"/>
    <x v="0"/>
    <x v="0"/>
    <x v="0"/>
    <x v="0"/>
  </r>
  <r>
    <x v="133"/>
    <x v="231"/>
    <x v="99"/>
    <x v="1"/>
    <x v="16"/>
    <x v="1"/>
    <x v="16"/>
    <x v="1"/>
    <x v="1"/>
    <x v="12"/>
    <x v="18"/>
    <x v="16"/>
    <x v="16"/>
  </r>
  <r>
    <x v="134"/>
    <x v="108"/>
    <x v="99"/>
    <x v="1"/>
    <x v="10"/>
    <x v="4"/>
    <x v="0"/>
    <x v="0"/>
    <x v="1"/>
    <x v="31"/>
    <x v="0"/>
    <x v="0"/>
    <x v="0"/>
  </r>
  <r>
    <x v="135"/>
    <x v="228"/>
    <x v="99"/>
    <x v="1"/>
    <x v="22"/>
    <x v="3"/>
    <x v="7"/>
    <x v="0"/>
    <x v="1"/>
    <x v="4"/>
    <x v="8"/>
    <x v="7"/>
    <x v="7"/>
  </r>
  <r>
    <x v="136"/>
    <x v="192"/>
    <x v="99"/>
    <x v="1"/>
    <x v="24"/>
    <x v="4"/>
    <x v="5"/>
    <x v="0"/>
    <x v="1"/>
    <x v="0"/>
    <x v="5"/>
    <x v="5"/>
    <x v="5"/>
  </r>
  <r>
    <x v="137"/>
    <x v="96"/>
    <x v="99"/>
    <x v="1"/>
    <x v="1"/>
    <x v="4"/>
    <x v="25"/>
    <x v="0"/>
    <x v="1"/>
    <x v="31"/>
    <x v="27"/>
    <x v="25"/>
    <x v="25"/>
  </r>
  <r>
    <x v="138"/>
    <x v="141"/>
    <x v="99"/>
    <x v="1"/>
    <x v="23"/>
    <x v="4"/>
    <x v="8"/>
    <x v="3"/>
    <x v="1"/>
    <x v="31"/>
    <x v="9"/>
    <x v="8"/>
    <x v="8"/>
  </r>
  <r>
    <x v="139"/>
    <x v="139"/>
    <x v="99"/>
    <x v="1"/>
    <x v="6"/>
    <x v="1"/>
    <x v="11"/>
    <x v="0"/>
    <x v="1"/>
    <x v="8"/>
    <x v="13"/>
    <x v="11"/>
    <x v="11"/>
  </r>
  <r>
    <x v="140"/>
    <x v="240"/>
    <x v="99"/>
    <x v="1"/>
    <x v="6"/>
    <x v="3"/>
    <x v="5"/>
    <x v="0"/>
    <x v="1"/>
    <x v="3"/>
    <x v="5"/>
    <x v="5"/>
    <x v="5"/>
  </r>
  <r>
    <x v="141"/>
    <x v="191"/>
    <x v="99"/>
    <x v="1"/>
    <x v="15"/>
    <x v="1"/>
    <x v="11"/>
    <x v="1"/>
    <x v="1"/>
    <x v="8"/>
    <x v="13"/>
    <x v="11"/>
    <x v="11"/>
  </r>
  <r>
    <x v="142"/>
    <x v="81"/>
    <x v="99"/>
    <x v="1"/>
    <x v="14"/>
    <x v="1"/>
    <x v="11"/>
    <x v="0"/>
    <x v="1"/>
    <x v="8"/>
    <x v="13"/>
    <x v="11"/>
    <x v="11"/>
  </r>
  <r>
    <x v="143"/>
    <x v="172"/>
    <x v="99"/>
    <x v="1"/>
    <x v="14"/>
    <x v="3"/>
    <x v="0"/>
    <x v="0"/>
    <x v="1"/>
    <x v="0"/>
    <x v="0"/>
    <x v="0"/>
    <x v="0"/>
  </r>
  <r>
    <x v="144"/>
    <x v="57"/>
    <x v="99"/>
    <x v="1"/>
    <x v="18"/>
    <x v="2"/>
    <x v="5"/>
    <x v="0"/>
    <x v="1"/>
    <x v="3"/>
    <x v="5"/>
    <x v="5"/>
    <x v="5"/>
  </r>
  <r>
    <x v="145"/>
    <x v="205"/>
    <x v="99"/>
    <x v="1"/>
    <x v="0"/>
    <x v="3"/>
    <x v="19"/>
    <x v="0"/>
    <x v="1"/>
    <x v="15"/>
    <x v="21"/>
    <x v="19"/>
    <x v="19"/>
  </r>
  <r>
    <x v="146"/>
    <x v="84"/>
    <x v="99"/>
    <x v="1"/>
    <x v="12"/>
    <x v="1"/>
    <x v="24"/>
    <x v="1"/>
    <x v="2"/>
    <x v="20"/>
    <x v="28"/>
    <x v="24"/>
    <x v="24"/>
  </r>
  <r>
    <x v="147"/>
    <x v="264"/>
    <x v="99"/>
    <x v="1"/>
    <x v="12"/>
    <x v="1"/>
    <x v="0"/>
    <x v="1"/>
    <x v="1"/>
    <x v="0"/>
    <x v="0"/>
    <x v="0"/>
    <x v="0"/>
  </r>
  <r>
    <x v="148"/>
    <x v="128"/>
    <x v="99"/>
    <x v="1"/>
    <x v="17"/>
    <x v="1"/>
    <x v="5"/>
    <x v="2"/>
    <x v="1"/>
    <x v="3"/>
    <x v="5"/>
    <x v="5"/>
    <x v="5"/>
  </r>
  <r>
    <x v="149"/>
    <x v="56"/>
    <x v="99"/>
    <x v="1"/>
    <x v="6"/>
    <x v="4"/>
    <x v="5"/>
    <x v="0"/>
    <x v="1"/>
    <x v="0"/>
    <x v="5"/>
    <x v="5"/>
    <x v="5"/>
  </r>
  <r>
    <x v="150"/>
    <x v="262"/>
    <x v="99"/>
    <x v="1"/>
    <x v="6"/>
    <x v="3"/>
    <x v="11"/>
    <x v="0"/>
    <x v="1"/>
    <x v="8"/>
    <x v="13"/>
    <x v="11"/>
    <x v="11"/>
  </r>
  <r>
    <x v="151"/>
    <x v="102"/>
    <x v="99"/>
    <x v="1"/>
    <x v="21"/>
    <x v="3"/>
    <x v="7"/>
    <x v="1"/>
    <x v="1"/>
    <x v="4"/>
    <x v="8"/>
    <x v="7"/>
    <x v="7"/>
  </r>
  <r>
    <x v="152"/>
    <x v="156"/>
    <x v="99"/>
    <x v="1"/>
    <x v="19"/>
    <x v="3"/>
    <x v="11"/>
    <x v="0"/>
    <x v="1"/>
    <x v="8"/>
    <x v="13"/>
    <x v="11"/>
    <x v="11"/>
  </r>
  <r>
    <x v="153"/>
    <x v="217"/>
    <x v="99"/>
    <x v="1"/>
    <x v="8"/>
    <x v="3"/>
    <x v="21"/>
    <x v="1"/>
    <x v="1"/>
    <x v="17"/>
    <x v="23"/>
    <x v="21"/>
    <x v="21"/>
  </r>
  <r>
    <x v="154"/>
    <x v="246"/>
    <x v="99"/>
    <x v="1"/>
    <x v="10"/>
    <x v="1"/>
    <x v="24"/>
    <x v="0"/>
    <x v="1"/>
    <x v="20"/>
    <x v="26"/>
    <x v="24"/>
    <x v="24"/>
  </r>
  <r>
    <x v="155"/>
    <x v="111"/>
    <x v="99"/>
    <x v="1"/>
    <x v="20"/>
    <x v="4"/>
    <x v="19"/>
    <x v="0"/>
    <x v="1"/>
    <x v="31"/>
    <x v="21"/>
    <x v="19"/>
    <x v="19"/>
  </r>
  <r>
    <x v="156"/>
    <x v="229"/>
    <x v="99"/>
    <x v="1"/>
    <x v="20"/>
    <x v="4"/>
    <x v="19"/>
    <x v="0"/>
    <x v="1"/>
    <x v="31"/>
    <x v="21"/>
    <x v="19"/>
    <x v="19"/>
  </r>
  <r>
    <x v="157"/>
    <x v="269"/>
    <x v="58"/>
    <x v="0"/>
    <x v="19"/>
    <x v="3"/>
    <x v="16"/>
    <x v="0"/>
    <x v="1"/>
    <x v="12"/>
    <x v="18"/>
    <x v="16"/>
    <x v="16"/>
  </r>
  <r>
    <x v="158"/>
    <x v="52"/>
    <x v="99"/>
    <x v="1"/>
    <x v="5"/>
    <x v="4"/>
    <x v="5"/>
    <x v="2"/>
    <x v="1"/>
    <x v="31"/>
    <x v="5"/>
    <x v="5"/>
    <x v="5"/>
  </r>
  <r>
    <x v="159"/>
    <x v="204"/>
    <x v="99"/>
    <x v="1"/>
    <x v="1"/>
    <x v="1"/>
    <x v="15"/>
    <x v="0"/>
    <x v="1"/>
    <x v="11"/>
    <x v="17"/>
    <x v="15"/>
    <x v="15"/>
  </r>
  <r>
    <x v="160"/>
    <x v="254"/>
    <x v="99"/>
    <x v="1"/>
    <x v="9"/>
    <x v="1"/>
    <x v="11"/>
    <x v="1"/>
    <x v="1"/>
    <x v="8"/>
    <x v="13"/>
    <x v="11"/>
    <x v="11"/>
  </r>
  <r>
    <x v="161"/>
    <x v="259"/>
    <x v="99"/>
    <x v="1"/>
    <x v="8"/>
    <x v="4"/>
    <x v="3"/>
    <x v="1"/>
    <x v="1"/>
    <x v="31"/>
    <x v="3"/>
    <x v="3"/>
    <x v="3"/>
  </r>
  <r>
    <x v="162"/>
    <x v="165"/>
    <x v="99"/>
    <x v="1"/>
    <x v="25"/>
    <x v="2"/>
    <x v="26"/>
    <x v="0"/>
    <x v="1"/>
    <x v="27"/>
    <x v="29"/>
    <x v="26"/>
    <x v="26"/>
  </r>
  <r>
    <x v="163"/>
    <x v="194"/>
    <x v="99"/>
    <x v="1"/>
    <x v="20"/>
    <x v="4"/>
    <x v="24"/>
    <x v="0"/>
    <x v="1"/>
    <x v="31"/>
    <x v="26"/>
    <x v="24"/>
    <x v="24"/>
  </r>
  <r>
    <x v="164"/>
    <x v="189"/>
    <x v="99"/>
    <x v="1"/>
    <x v="20"/>
    <x v="4"/>
    <x v="34"/>
    <x v="0"/>
    <x v="1"/>
    <x v="31"/>
    <x v="33"/>
    <x v="35"/>
    <x v="34"/>
  </r>
  <r>
    <x v="165"/>
    <x v="152"/>
    <x v="99"/>
    <x v="1"/>
    <x v="20"/>
    <x v="4"/>
    <x v="24"/>
    <x v="0"/>
    <x v="1"/>
    <x v="31"/>
    <x v="26"/>
    <x v="24"/>
    <x v="24"/>
  </r>
  <r>
    <x v="166"/>
    <x v="127"/>
    <x v="99"/>
    <x v="1"/>
    <x v="9"/>
    <x v="4"/>
    <x v="5"/>
    <x v="1"/>
    <x v="1"/>
    <x v="31"/>
    <x v="5"/>
    <x v="5"/>
    <x v="5"/>
  </r>
  <r>
    <x v="167"/>
    <x v="110"/>
    <x v="99"/>
    <x v="1"/>
    <x v="20"/>
    <x v="4"/>
    <x v="0"/>
    <x v="0"/>
    <x v="1"/>
    <x v="31"/>
    <x v="0"/>
    <x v="0"/>
    <x v="0"/>
  </r>
  <r>
    <x v="168"/>
    <x v="44"/>
    <x v="99"/>
    <x v="1"/>
    <x v="3"/>
    <x v="4"/>
    <x v="6"/>
    <x v="2"/>
    <x v="1"/>
    <x v="31"/>
    <x v="6"/>
    <x v="6"/>
    <x v="6"/>
  </r>
  <r>
    <x v="169"/>
    <x v="167"/>
    <x v="99"/>
    <x v="1"/>
    <x v="1"/>
    <x v="3"/>
    <x v="16"/>
    <x v="0"/>
    <x v="1"/>
    <x v="12"/>
    <x v="18"/>
    <x v="16"/>
    <x v="16"/>
  </r>
  <r>
    <x v="170"/>
    <x v="219"/>
    <x v="99"/>
    <x v="1"/>
    <x v="10"/>
    <x v="1"/>
    <x v="11"/>
    <x v="0"/>
    <x v="1"/>
    <x v="8"/>
    <x v="13"/>
    <x v="11"/>
    <x v="11"/>
  </r>
  <r>
    <x v="171"/>
    <x v="218"/>
    <x v="99"/>
    <x v="1"/>
    <x v="10"/>
    <x v="1"/>
    <x v="11"/>
    <x v="0"/>
    <x v="1"/>
    <x v="8"/>
    <x v="13"/>
    <x v="11"/>
    <x v="11"/>
  </r>
  <r>
    <x v="172"/>
    <x v="236"/>
    <x v="99"/>
    <x v="1"/>
    <x v="10"/>
    <x v="1"/>
    <x v="0"/>
    <x v="0"/>
    <x v="1"/>
    <x v="31"/>
    <x v="0"/>
    <x v="0"/>
    <x v="0"/>
  </r>
  <r>
    <x v="173"/>
    <x v="137"/>
    <x v="99"/>
    <x v="1"/>
    <x v="15"/>
    <x v="4"/>
    <x v="0"/>
    <x v="1"/>
    <x v="1"/>
    <x v="31"/>
    <x v="0"/>
    <x v="0"/>
    <x v="0"/>
  </r>
  <r>
    <x v="174"/>
    <x v="184"/>
    <x v="99"/>
    <x v="1"/>
    <x v="1"/>
    <x v="3"/>
    <x v="11"/>
    <x v="0"/>
    <x v="1"/>
    <x v="8"/>
    <x v="13"/>
    <x v="11"/>
    <x v="11"/>
  </r>
  <r>
    <x v="175"/>
    <x v="226"/>
    <x v="99"/>
    <x v="1"/>
    <x v="0"/>
    <x v="3"/>
    <x v="0"/>
    <x v="0"/>
    <x v="1"/>
    <x v="31"/>
    <x v="0"/>
    <x v="0"/>
    <x v="0"/>
  </r>
  <r>
    <x v="176"/>
    <x v="148"/>
    <x v="99"/>
    <x v="1"/>
    <x v="1"/>
    <x v="3"/>
    <x v="21"/>
    <x v="0"/>
    <x v="1"/>
    <x v="17"/>
    <x v="23"/>
    <x v="21"/>
    <x v="21"/>
  </r>
  <r>
    <x v="177"/>
    <x v="242"/>
    <x v="99"/>
    <x v="1"/>
    <x v="16"/>
    <x v="3"/>
    <x v="30"/>
    <x v="0"/>
    <x v="1"/>
    <x v="26"/>
    <x v="33"/>
    <x v="32"/>
    <x v="30"/>
  </r>
  <r>
    <x v="178"/>
    <x v="53"/>
    <x v="99"/>
    <x v="1"/>
    <x v="16"/>
    <x v="3"/>
    <x v="16"/>
    <x v="0"/>
    <x v="1"/>
    <x v="12"/>
    <x v="18"/>
    <x v="16"/>
    <x v="16"/>
  </r>
  <r>
    <x v="179"/>
    <x v="80"/>
    <x v="99"/>
    <x v="1"/>
    <x v="16"/>
    <x v="4"/>
    <x v="24"/>
    <x v="1"/>
    <x v="1"/>
    <x v="31"/>
    <x v="26"/>
    <x v="24"/>
    <x v="24"/>
  </r>
  <r>
    <x v="180"/>
    <x v="151"/>
    <x v="99"/>
    <x v="1"/>
    <x v="16"/>
    <x v="4"/>
    <x v="24"/>
    <x v="1"/>
    <x v="1"/>
    <x v="31"/>
    <x v="26"/>
    <x v="24"/>
    <x v="24"/>
  </r>
  <r>
    <x v="181"/>
    <x v="70"/>
    <x v="99"/>
    <x v="1"/>
    <x v="16"/>
    <x v="4"/>
    <x v="24"/>
    <x v="1"/>
    <x v="1"/>
    <x v="31"/>
    <x v="26"/>
    <x v="24"/>
    <x v="24"/>
  </r>
  <r>
    <x v="182"/>
    <x v="58"/>
    <x v="99"/>
    <x v="1"/>
    <x v="0"/>
    <x v="4"/>
    <x v="20"/>
    <x v="0"/>
    <x v="1"/>
    <x v="31"/>
    <x v="22"/>
    <x v="20"/>
    <x v="20"/>
  </r>
  <r>
    <x v="183"/>
    <x v="60"/>
    <x v="99"/>
    <x v="1"/>
    <x v="0"/>
    <x v="4"/>
    <x v="20"/>
    <x v="0"/>
    <x v="1"/>
    <x v="31"/>
    <x v="22"/>
    <x v="20"/>
    <x v="20"/>
  </r>
  <r>
    <x v="184"/>
    <x v="94"/>
    <x v="99"/>
    <x v="1"/>
    <x v="19"/>
    <x v="4"/>
    <x v="11"/>
    <x v="0"/>
    <x v="0"/>
    <x v="31"/>
    <x v="5"/>
    <x v="11"/>
    <x v="11"/>
  </r>
  <r>
    <x v="185"/>
    <x v="245"/>
    <x v="99"/>
    <x v="1"/>
    <x v="25"/>
    <x v="2"/>
    <x v="0"/>
    <x v="0"/>
    <x v="1"/>
    <x v="31"/>
    <x v="0"/>
    <x v="0"/>
    <x v="0"/>
  </r>
  <r>
    <x v="186"/>
    <x v="107"/>
    <x v="99"/>
    <x v="1"/>
    <x v="25"/>
    <x v="2"/>
    <x v="0"/>
    <x v="0"/>
    <x v="1"/>
    <x v="31"/>
    <x v="0"/>
    <x v="0"/>
    <x v="0"/>
  </r>
  <r>
    <x v="187"/>
    <x v="63"/>
    <x v="99"/>
    <x v="1"/>
    <x v="25"/>
    <x v="2"/>
    <x v="0"/>
    <x v="0"/>
    <x v="1"/>
    <x v="31"/>
    <x v="0"/>
    <x v="0"/>
    <x v="0"/>
  </r>
  <r>
    <x v="188"/>
    <x v="215"/>
    <x v="99"/>
    <x v="1"/>
    <x v="25"/>
    <x v="2"/>
    <x v="0"/>
    <x v="0"/>
    <x v="1"/>
    <x v="31"/>
    <x v="0"/>
    <x v="0"/>
    <x v="0"/>
  </r>
  <r>
    <x v="189"/>
    <x v="211"/>
    <x v="99"/>
    <x v="1"/>
    <x v="14"/>
    <x v="2"/>
    <x v="0"/>
    <x v="0"/>
    <x v="1"/>
    <x v="31"/>
    <x v="0"/>
    <x v="0"/>
    <x v="0"/>
  </r>
  <r>
    <x v="190"/>
    <x v="113"/>
    <x v="99"/>
    <x v="1"/>
    <x v="14"/>
    <x v="2"/>
    <x v="27"/>
    <x v="0"/>
    <x v="1"/>
    <x v="23"/>
    <x v="30"/>
    <x v="28"/>
    <x v="27"/>
  </r>
  <r>
    <x v="191"/>
    <x v="188"/>
    <x v="99"/>
    <x v="1"/>
    <x v="15"/>
    <x v="3"/>
    <x v="7"/>
    <x v="1"/>
    <x v="1"/>
    <x v="4"/>
    <x v="8"/>
    <x v="7"/>
    <x v="7"/>
  </r>
  <r>
    <x v="192"/>
    <x v="88"/>
    <x v="99"/>
    <x v="1"/>
    <x v="25"/>
    <x v="3"/>
    <x v="33"/>
    <x v="0"/>
    <x v="1"/>
    <x v="27"/>
    <x v="34"/>
    <x v="34"/>
    <x v="33"/>
  </r>
  <r>
    <x v="193"/>
    <x v="208"/>
    <x v="99"/>
    <x v="1"/>
    <x v="2"/>
    <x v="1"/>
    <x v="24"/>
    <x v="1"/>
    <x v="1"/>
    <x v="20"/>
    <x v="26"/>
    <x v="24"/>
    <x v="24"/>
  </r>
  <r>
    <x v="194"/>
    <x v="222"/>
    <x v="99"/>
    <x v="1"/>
    <x v="0"/>
    <x v="1"/>
    <x v="23"/>
    <x v="0"/>
    <x v="1"/>
    <x v="19"/>
    <x v="25"/>
    <x v="23"/>
    <x v="23"/>
  </r>
  <r>
    <x v="195"/>
    <x v="85"/>
    <x v="99"/>
    <x v="1"/>
    <x v="23"/>
    <x v="4"/>
    <x v="11"/>
    <x v="3"/>
    <x v="1"/>
    <x v="31"/>
    <x v="13"/>
    <x v="11"/>
    <x v="11"/>
  </r>
  <r>
    <x v="196"/>
    <x v="195"/>
    <x v="99"/>
    <x v="1"/>
    <x v="15"/>
    <x v="4"/>
    <x v="7"/>
    <x v="1"/>
    <x v="1"/>
    <x v="31"/>
    <x v="8"/>
    <x v="7"/>
    <x v="7"/>
  </r>
  <r>
    <x v="197"/>
    <x v="78"/>
    <x v="99"/>
    <x v="1"/>
    <x v="25"/>
    <x v="1"/>
    <x v="16"/>
    <x v="0"/>
    <x v="1"/>
    <x v="12"/>
    <x v="18"/>
    <x v="16"/>
    <x v="16"/>
  </r>
  <r>
    <x v="198"/>
    <x v="178"/>
    <x v="11"/>
    <x v="1"/>
    <x v="13"/>
    <x v="4"/>
    <x v="11"/>
    <x v="2"/>
    <x v="1"/>
    <x v="31"/>
    <x v="13"/>
    <x v="11"/>
    <x v="11"/>
  </r>
  <r>
    <x v="199"/>
    <x v="140"/>
    <x v="66"/>
    <x v="1"/>
    <x v="13"/>
    <x v="4"/>
    <x v="5"/>
    <x v="2"/>
    <x v="1"/>
    <x v="31"/>
    <x v="5"/>
    <x v="5"/>
    <x v="5"/>
  </r>
  <r>
    <x v="200"/>
    <x v="232"/>
    <x v="73"/>
    <x v="1"/>
    <x v="22"/>
    <x v="3"/>
    <x v="7"/>
    <x v="0"/>
    <x v="1"/>
    <x v="4"/>
    <x v="8"/>
    <x v="7"/>
    <x v="7"/>
  </r>
  <r>
    <x v="201"/>
    <x v="82"/>
    <x v="3"/>
    <x v="1"/>
    <x v="19"/>
    <x v="1"/>
    <x v="29"/>
    <x v="0"/>
    <x v="1"/>
    <x v="25"/>
    <x v="32"/>
    <x v="31"/>
    <x v="29"/>
  </r>
  <r>
    <x v="202"/>
    <x v="239"/>
    <x v="32"/>
    <x v="1"/>
    <x v="19"/>
    <x v="1"/>
    <x v="29"/>
    <x v="1"/>
    <x v="1"/>
    <x v="25"/>
    <x v="32"/>
    <x v="31"/>
    <x v="29"/>
  </r>
  <r>
    <x v="203"/>
    <x v="100"/>
    <x v="9"/>
    <x v="1"/>
    <x v="19"/>
    <x v="1"/>
    <x v="11"/>
    <x v="1"/>
    <x v="1"/>
    <x v="12"/>
    <x v="13"/>
    <x v="11"/>
    <x v="11"/>
  </r>
  <r>
    <x v="204"/>
    <x v="252"/>
    <x v="59"/>
    <x v="1"/>
    <x v="20"/>
    <x v="0"/>
    <x v="26"/>
    <x v="0"/>
    <x v="1"/>
    <x v="22"/>
    <x v="29"/>
    <x v="26"/>
    <x v="26"/>
  </r>
  <r>
    <x v="205"/>
    <x v="216"/>
    <x v="89"/>
    <x v="1"/>
    <x v="20"/>
    <x v="4"/>
    <x v="0"/>
    <x v="0"/>
    <x v="1"/>
    <x v="31"/>
    <x v="0"/>
    <x v="0"/>
    <x v="0"/>
  </r>
  <r>
    <x v="206"/>
    <x v="223"/>
    <x v="28"/>
    <x v="1"/>
    <x v="20"/>
    <x v="0"/>
    <x v="19"/>
    <x v="0"/>
    <x v="1"/>
    <x v="15"/>
    <x v="21"/>
    <x v="19"/>
    <x v="19"/>
  </r>
  <r>
    <x v="207"/>
    <x v="244"/>
    <x v="87"/>
    <x v="1"/>
    <x v="7"/>
    <x v="0"/>
    <x v="5"/>
    <x v="2"/>
    <x v="1"/>
    <x v="3"/>
    <x v="5"/>
    <x v="5"/>
    <x v="5"/>
  </r>
  <r>
    <x v="208"/>
    <x v="117"/>
    <x v="94"/>
    <x v="1"/>
    <x v="7"/>
    <x v="0"/>
    <x v="5"/>
    <x v="2"/>
    <x v="1"/>
    <x v="3"/>
    <x v="5"/>
    <x v="5"/>
    <x v="5"/>
  </r>
  <r>
    <x v="209"/>
    <x v="31"/>
    <x v="92"/>
    <x v="1"/>
    <x v="7"/>
    <x v="0"/>
    <x v="11"/>
    <x v="2"/>
    <x v="1"/>
    <x v="8"/>
    <x v="13"/>
    <x v="11"/>
    <x v="11"/>
  </r>
  <r>
    <x v="210"/>
    <x v="115"/>
    <x v="13"/>
    <x v="1"/>
    <x v="19"/>
    <x v="1"/>
    <x v="28"/>
    <x v="0"/>
    <x v="1"/>
    <x v="24"/>
    <x v="31"/>
    <x v="29"/>
    <x v="28"/>
  </r>
  <r>
    <x v="211"/>
    <x v="203"/>
    <x v="19"/>
    <x v="1"/>
    <x v="7"/>
    <x v="4"/>
    <x v="25"/>
    <x v="2"/>
    <x v="1"/>
    <x v="31"/>
    <x v="27"/>
    <x v="25"/>
    <x v="25"/>
  </r>
  <r>
    <x v="212"/>
    <x v="162"/>
    <x v="67"/>
    <x v="1"/>
    <x v="2"/>
    <x v="0"/>
    <x v="13"/>
    <x v="1"/>
    <x v="1"/>
    <x v="10"/>
    <x v="15"/>
    <x v="13"/>
    <x v="13"/>
  </r>
  <r>
    <x v="213"/>
    <x v="183"/>
    <x v="27"/>
    <x v="1"/>
    <x v="2"/>
    <x v="4"/>
    <x v="15"/>
    <x v="1"/>
    <x v="1"/>
    <x v="31"/>
    <x v="17"/>
    <x v="15"/>
    <x v="15"/>
  </r>
  <r>
    <x v="214"/>
    <x v="207"/>
    <x v="24"/>
    <x v="1"/>
    <x v="2"/>
    <x v="0"/>
    <x v="9"/>
    <x v="1"/>
    <x v="1"/>
    <x v="6"/>
    <x v="10"/>
    <x v="9"/>
    <x v="9"/>
  </r>
  <r>
    <x v="215"/>
    <x v="174"/>
    <x v="96"/>
    <x v="1"/>
    <x v="2"/>
    <x v="4"/>
    <x v="11"/>
    <x v="1"/>
    <x v="1"/>
    <x v="31"/>
    <x v="13"/>
    <x v="11"/>
    <x v="11"/>
  </r>
  <r>
    <x v="216"/>
    <x v="163"/>
    <x v="79"/>
    <x v="1"/>
    <x v="2"/>
    <x v="4"/>
    <x v="11"/>
    <x v="1"/>
    <x v="1"/>
    <x v="31"/>
    <x v="13"/>
    <x v="11"/>
    <x v="11"/>
  </r>
  <r>
    <x v="217"/>
    <x v="106"/>
    <x v="83"/>
    <x v="1"/>
    <x v="7"/>
    <x v="0"/>
    <x v="16"/>
    <x v="2"/>
    <x v="1"/>
    <x v="12"/>
    <x v="18"/>
    <x v="16"/>
    <x v="16"/>
  </r>
  <r>
    <x v="218"/>
    <x v="66"/>
    <x v="95"/>
    <x v="1"/>
    <x v="7"/>
    <x v="4"/>
    <x v="18"/>
    <x v="2"/>
    <x v="1"/>
    <x v="31"/>
    <x v="20"/>
    <x v="18"/>
    <x v="18"/>
  </r>
  <r>
    <x v="219"/>
    <x v="154"/>
    <x v="81"/>
    <x v="1"/>
    <x v="1"/>
    <x v="0"/>
    <x v="25"/>
    <x v="0"/>
    <x v="1"/>
    <x v="21"/>
    <x v="27"/>
    <x v="25"/>
    <x v="25"/>
  </r>
  <r>
    <x v="220"/>
    <x v="21"/>
    <x v="68"/>
    <x v="1"/>
    <x v="15"/>
    <x v="0"/>
    <x v="15"/>
    <x v="1"/>
    <x v="1"/>
    <x v="11"/>
    <x v="17"/>
    <x v="15"/>
    <x v="15"/>
  </r>
  <r>
    <x v="221"/>
    <x v="260"/>
    <x v="98"/>
    <x v="1"/>
    <x v="15"/>
    <x v="0"/>
    <x v="0"/>
    <x v="1"/>
    <x v="1"/>
    <x v="0"/>
    <x v="0"/>
    <x v="0"/>
    <x v="0"/>
  </r>
  <r>
    <x v="222"/>
    <x v="28"/>
    <x v="78"/>
    <x v="1"/>
    <x v="2"/>
    <x v="0"/>
    <x v="0"/>
    <x v="1"/>
    <x v="1"/>
    <x v="0"/>
    <x v="0"/>
    <x v="0"/>
    <x v="0"/>
  </r>
  <r>
    <x v="223"/>
    <x v="261"/>
    <x v="97"/>
    <x v="1"/>
    <x v="2"/>
    <x v="0"/>
    <x v="0"/>
    <x v="1"/>
    <x v="1"/>
    <x v="0"/>
    <x v="0"/>
    <x v="0"/>
    <x v="0"/>
  </r>
  <r>
    <x v="224"/>
    <x v="36"/>
    <x v="48"/>
    <x v="1"/>
    <x v="2"/>
    <x v="4"/>
    <x v="14"/>
    <x v="1"/>
    <x v="1"/>
    <x v="31"/>
    <x v="16"/>
    <x v="14"/>
    <x v="14"/>
  </r>
  <r>
    <x v="225"/>
    <x v="14"/>
    <x v="88"/>
    <x v="1"/>
    <x v="21"/>
    <x v="4"/>
    <x v="5"/>
    <x v="1"/>
    <x v="1"/>
    <x v="31"/>
    <x v="5"/>
    <x v="5"/>
    <x v="5"/>
  </r>
  <r>
    <x v="226"/>
    <x v="10"/>
    <x v="84"/>
    <x v="1"/>
    <x v="21"/>
    <x v="0"/>
    <x v="5"/>
    <x v="1"/>
    <x v="1"/>
    <x v="3"/>
    <x v="5"/>
    <x v="5"/>
    <x v="5"/>
  </r>
  <r>
    <x v="227"/>
    <x v="26"/>
    <x v="85"/>
    <x v="1"/>
    <x v="15"/>
    <x v="0"/>
    <x v="18"/>
    <x v="1"/>
    <x v="1"/>
    <x v="14"/>
    <x v="20"/>
    <x v="18"/>
    <x v="18"/>
  </r>
  <r>
    <x v="228"/>
    <x v="13"/>
    <x v="8"/>
    <x v="1"/>
    <x v="21"/>
    <x v="4"/>
    <x v="5"/>
    <x v="1"/>
    <x v="1"/>
    <x v="31"/>
    <x v="5"/>
    <x v="5"/>
    <x v="5"/>
  </r>
  <r>
    <x v="229"/>
    <x v="98"/>
    <x v="29"/>
    <x v="1"/>
    <x v="21"/>
    <x v="1"/>
    <x v="10"/>
    <x v="1"/>
    <x v="1"/>
    <x v="7"/>
    <x v="12"/>
    <x v="10"/>
    <x v="10"/>
  </r>
  <r>
    <x v="230"/>
    <x v="12"/>
    <x v="86"/>
    <x v="1"/>
    <x v="13"/>
    <x v="0"/>
    <x v="7"/>
    <x v="2"/>
    <x v="1"/>
    <x v="4"/>
    <x v="8"/>
    <x v="7"/>
    <x v="7"/>
  </r>
  <r>
    <x v="231"/>
    <x v="34"/>
    <x v="90"/>
    <x v="1"/>
    <x v="13"/>
    <x v="4"/>
    <x v="11"/>
    <x v="2"/>
    <x v="1"/>
    <x v="31"/>
    <x v="13"/>
    <x v="11"/>
    <x v="11"/>
  </r>
  <r>
    <x v="232"/>
    <x v="20"/>
    <x v="91"/>
    <x v="1"/>
    <x v="13"/>
    <x v="0"/>
    <x v="7"/>
    <x v="2"/>
    <x v="1"/>
    <x v="4"/>
    <x v="8"/>
    <x v="7"/>
    <x v="7"/>
  </r>
  <r>
    <x v="233"/>
    <x v="55"/>
    <x v="82"/>
    <x v="1"/>
    <x v="13"/>
    <x v="0"/>
    <x v="13"/>
    <x v="2"/>
    <x v="1"/>
    <x v="10"/>
    <x v="15"/>
    <x v="13"/>
    <x v="13"/>
  </r>
  <r>
    <x v="234"/>
    <x v="129"/>
    <x v="80"/>
    <x v="1"/>
    <x v="13"/>
    <x v="0"/>
    <x v="13"/>
    <x v="2"/>
    <x v="1"/>
    <x v="10"/>
    <x v="15"/>
    <x v="13"/>
    <x v="13"/>
  </r>
  <r>
    <x v="235"/>
    <x v="133"/>
    <x v="10"/>
    <x v="1"/>
    <x v="13"/>
    <x v="0"/>
    <x v="28"/>
    <x v="2"/>
    <x v="1"/>
    <x v="24"/>
    <x v="31"/>
    <x v="29"/>
    <x v="28"/>
  </r>
  <r>
    <x v="236"/>
    <x v="99"/>
    <x v="50"/>
    <x v="1"/>
    <x v="13"/>
    <x v="4"/>
    <x v="12"/>
    <x v="2"/>
    <x v="1"/>
    <x v="31"/>
    <x v="14"/>
    <x v="12"/>
    <x v="12"/>
  </r>
  <r>
    <x v="237"/>
    <x v="54"/>
    <x v="99"/>
    <x v="1"/>
    <x v="7"/>
    <x v="4"/>
    <x v="7"/>
    <x v="2"/>
    <x v="1"/>
    <x v="31"/>
    <x v="8"/>
    <x v="7"/>
    <x v="7"/>
  </r>
  <r>
    <x v="238"/>
    <x v="233"/>
    <x v="99"/>
    <x v="1"/>
    <x v="7"/>
    <x v="0"/>
    <x v="12"/>
    <x v="2"/>
    <x v="1"/>
    <x v="9"/>
    <x v="14"/>
    <x v="12"/>
    <x v="12"/>
  </r>
  <r>
    <x v="239"/>
    <x v="120"/>
    <x v="99"/>
    <x v="1"/>
    <x v="7"/>
    <x v="0"/>
    <x v="9"/>
    <x v="2"/>
    <x v="1"/>
    <x v="6"/>
    <x v="10"/>
    <x v="9"/>
    <x v="9"/>
  </r>
  <r>
    <x v="240"/>
    <x v="121"/>
    <x v="99"/>
    <x v="1"/>
    <x v="7"/>
    <x v="0"/>
    <x v="0"/>
    <x v="2"/>
    <x v="1"/>
    <x v="0"/>
    <x v="0"/>
    <x v="0"/>
    <x v="0"/>
  </r>
  <r>
    <x v="241"/>
    <x v="59"/>
    <x v="99"/>
    <x v="1"/>
    <x v="10"/>
    <x v="4"/>
    <x v="5"/>
    <x v="0"/>
    <x v="1"/>
    <x v="31"/>
    <x v="5"/>
    <x v="5"/>
    <x v="5"/>
  </r>
  <r>
    <x v="242"/>
    <x v="114"/>
    <x v="99"/>
    <x v="1"/>
    <x v="10"/>
    <x v="4"/>
    <x v="11"/>
    <x v="0"/>
    <x v="1"/>
    <x v="31"/>
    <x v="13"/>
    <x v="11"/>
    <x v="11"/>
  </r>
  <r>
    <x v="243"/>
    <x v="42"/>
    <x v="99"/>
    <x v="1"/>
    <x v="10"/>
    <x v="4"/>
    <x v="5"/>
    <x v="0"/>
    <x v="1"/>
    <x v="31"/>
    <x v="5"/>
    <x v="5"/>
    <x v="5"/>
  </r>
  <r>
    <x v="244"/>
    <x v="210"/>
    <x v="99"/>
    <x v="1"/>
    <x v="13"/>
    <x v="4"/>
    <x v="5"/>
    <x v="2"/>
    <x v="1"/>
    <x v="31"/>
    <x v="5"/>
    <x v="5"/>
    <x v="5"/>
  </r>
  <r>
    <x v="245"/>
    <x v="175"/>
    <x v="99"/>
    <x v="1"/>
    <x v="13"/>
    <x v="4"/>
    <x v="5"/>
    <x v="2"/>
    <x v="1"/>
    <x v="31"/>
    <x v="5"/>
    <x v="5"/>
    <x v="5"/>
  </r>
  <r>
    <x v="246"/>
    <x v="101"/>
    <x v="99"/>
    <x v="1"/>
    <x v="9"/>
    <x v="3"/>
    <x v="16"/>
    <x v="1"/>
    <x v="1"/>
    <x v="12"/>
    <x v="18"/>
    <x v="16"/>
    <x v="16"/>
  </r>
  <r>
    <x v="247"/>
    <x v="50"/>
    <x v="99"/>
    <x v="1"/>
    <x v="13"/>
    <x v="4"/>
    <x v="3"/>
    <x v="2"/>
    <x v="1"/>
    <x v="31"/>
    <x v="3"/>
    <x v="3"/>
    <x v="3"/>
  </r>
  <r>
    <x v="248"/>
    <x v="275"/>
    <x v="99"/>
    <x v="1"/>
    <x v="26"/>
    <x v="4"/>
    <x v="39"/>
    <x v="4"/>
    <x v="3"/>
    <x v="31"/>
    <x v="38"/>
    <x v="40"/>
    <x v="38"/>
  </r>
  <r>
    <x v="249"/>
    <x v="224"/>
    <x v="99"/>
    <x v="1"/>
    <x v="13"/>
    <x v="4"/>
    <x v="11"/>
    <x v="2"/>
    <x v="1"/>
    <x v="31"/>
    <x v="13"/>
    <x v="11"/>
    <x v="11"/>
  </r>
  <r>
    <x v="250"/>
    <x v="123"/>
    <x v="93"/>
    <x v="1"/>
    <x v="13"/>
    <x v="4"/>
    <x v="5"/>
    <x v="2"/>
    <x v="1"/>
    <x v="31"/>
    <x v="5"/>
    <x v="5"/>
    <x v="5"/>
  </r>
  <r>
    <x v="251"/>
    <x v="202"/>
    <x v="99"/>
    <x v="1"/>
    <x v="13"/>
    <x v="4"/>
    <x v="5"/>
    <x v="2"/>
    <x v="1"/>
    <x v="31"/>
    <x v="5"/>
    <x v="5"/>
    <x v="5"/>
  </r>
  <r>
    <x v="252"/>
    <x v="72"/>
    <x v="99"/>
    <x v="1"/>
    <x v="18"/>
    <x v="1"/>
    <x v="11"/>
    <x v="0"/>
    <x v="1"/>
    <x v="8"/>
    <x v="13"/>
    <x v="11"/>
    <x v="11"/>
  </r>
  <r>
    <x v="253"/>
    <x v="130"/>
    <x v="99"/>
    <x v="1"/>
    <x v="16"/>
    <x v="1"/>
    <x v="20"/>
    <x v="1"/>
    <x v="1"/>
    <x v="16"/>
    <x v="22"/>
    <x v="20"/>
    <x v="20"/>
  </r>
  <r>
    <x v="254"/>
    <x v="118"/>
    <x v="99"/>
    <x v="1"/>
    <x v="18"/>
    <x v="4"/>
    <x v="24"/>
    <x v="0"/>
    <x v="1"/>
    <x v="31"/>
    <x v="26"/>
    <x v="24"/>
    <x v="24"/>
  </r>
  <r>
    <x v="255"/>
    <x v="251"/>
    <x v="99"/>
    <x v="1"/>
    <x v="25"/>
    <x v="4"/>
    <x v="7"/>
    <x v="0"/>
    <x v="1"/>
    <x v="31"/>
    <x v="8"/>
    <x v="7"/>
    <x v="7"/>
  </r>
  <r>
    <x v="256"/>
    <x v="90"/>
    <x v="99"/>
    <x v="1"/>
    <x v="25"/>
    <x v="4"/>
    <x v="7"/>
    <x v="0"/>
    <x v="1"/>
    <x v="31"/>
    <x v="8"/>
    <x v="7"/>
    <x v="7"/>
  </r>
  <r>
    <x v="257"/>
    <x v="250"/>
    <x v="99"/>
    <x v="1"/>
    <x v="25"/>
    <x v="4"/>
    <x v="11"/>
    <x v="0"/>
    <x v="1"/>
    <x v="31"/>
    <x v="13"/>
    <x v="11"/>
    <x v="11"/>
  </r>
  <r>
    <x v="258"/>
    <x v="193"/>
    <x v="99"/>
    <x v="1"/>
    <x v="14"/>
    <x v="4"/>
    <x v="5"/>
    <x v="0"/>
    <x v="1"/>
    <x v="31"/>
    <x v="5"/>
    <x v="5"/>
    <x v="5"/>
  </r>
  <r>
    <x v="259"/>
    <x v="48"/>
    <x v="99"/>
    <x v="1"/>
    <x v="8"/>
    <x v="4"/>
    <x v="7"/>
    <x v="1"/>
    <x v="1"/>
    <x v="31"/>
    <x v="8"/>
    <x v="7"/>
    <x v="7"/>
  </r>
  <r>
    <x v="260"/>
    <x v="132"/>
    <x v="99"/>
    <x v="1"/>
    <x v="8"/>
    <x v="4"/>
    <x v="11"/>
    <x v="1"/>
    <x v="1"/>
    <x v="31"/>
    <x v="13"/>
    <x v="11"/>
    <x v="11"/>
  </r>
  <r>
    <x v="261"/>
    <x v="176"/>
    <x v="99"/>
    <x v="1"/>
    <x v="20"/>
    <x v="4"/>
    <x v="16"/>
    <x v="0"/>
    <x v="1"/>
    <x v="31"/>
    <x v="18"/>
    <x v="16"/>
    <x v="16"/>
  </r>
  <r>
    <x v="261"/>
    <x v="73"/>
    <x v="99"/>
    <x v="1"/>
    <x v="3"/>
    <x v="4"/>
    <x v="15"/>
    <x v="2"/>
    <x v="1"/>
    <x v="31"/>
    <x v="17"/>
    <x v="15"/>
    <x v="15"/>
  </r>
  <r>
    <x v="261"/>
    <x v="74"/>
    <x v="99"/>
    <x v="1"/>
    <x v="3"/>
    <x v="4"/>
    <x v="15"/>
    <x v="2"/>
    <x v="1"/>
    <x v="31"/>
    <x v="17"/>
    <x v="15"/>
    <x v="15"/>
  </r>
  <r>
    <x v="261"/>
    <x v="75"/>
    <x v="99"/>
    <x v="1"/>
    <x v="3"/>
    <x v="4"/>
    <x v="0"/>
    <x v="2"/>
    <x v="1"/>
    <x v="31"/>
    <x v="0"/>
    <x v="0"/>
    <x v="0"/>
  </r>
  <r>
    <x v="261"/>
    <x v="227"/>
    <x v="99"/>
    <x v="1"/>
    <x v="17"/>
    <x v="4"/>
    <x v="15"/>
    <x v="2"/>
    <x v="1"/>
    <x v="31"/>
    <x v="17"/>
    <x v="15"/>
    <x v="15"/>
  </r>
  <r>
    <x v="261"/>
    <x v="93"/>
    <x v="99"/>
    <x v="1"/>
    <x v="9"/>
    <x v="4"/>
    <x v="39"/>
    <x v="1"/>
    <x v="1"/>
    <x v="31"/>
    <x v="0"/>
    <x v="0"/>
    <x v="0"/>
  </r>
  <r>
    <x v="261"/>
    <x v="95"/>
    <x v="99"/>
    <x v="1"/>
    <x v="3"/>
    <x v="4"/>
    <x v="15"/>
    <x v="2"/>
    <x v="1"/>
    <x v="31"/>
    <x v="17"/>
    <x v="15"/>
    <x v="15"/>
  </r>
  <r>
    <x v="261"/>
    <x v="263"/>
    <x v="99"/>
    <x v="1"/>
    <x v="23"/>
    <x v="4"/>
    <x v="39"/>
    <x v="3"/>
    <x v="1"/>
    <x v="31"/>
    <x v="0"/>
    <x v="0"/>
    <x v="0"/>
  </r>
  <r>
    <x v="261"/>
    <x v="179"/>
    <x v="99"/>
    <x v="1"/>
    <x v="18"/>
    <x v="4"/>
    <x v="24"/>
    <x v="0"/>
    <x v="1"/>
    <x v="31"/>
    <x v="26"/>
    <x v="24"/>
    <x v="24"/>
  </r>
  <r>
    <x v="261"/>
    <x v="105"/>
    <x v="99"/>
    <x v="1"/>
    <x v="8"/>
    <x v="4"/>
    <x v="21"/>
    <x v="1"/>
    <x v="1"/>
    <x v="31"/>
    <x v="23"/>
    <x v="21"/>
    <x v="21"/>
  </r>
  <r>
    <x v="261"/>
    <x v="92"/>
    <x v="99"/>
    <x v="1"/>
    <x v="16"/>
    <x v="4"/>
    <x v="16"/>
    <x v="0"/>
    <x v="1"/>
    <x v="31"/>
    <x v="18"/>
    <x v="16"/>
    <x v="16"/>
  </r>
  <r>
    <x v="261"/>
    <x v="116"/>
    <x v="99"/>
    <x v="1"/>
    <x v="3"/>
    <x v="4"/>
    <x v="16"/>
    <x v="2"/>
    <x v="1"/>
    <x v="31"/>
    <x v="18"/>
    <x v="16"/>
    <x v="16"/>
  </r>
  <r>
    <x v="261"/>
    <x v="119"/>
    <x v="99"/>
    <x v="1"/>
    <x v="13"/>
    <x v="4"/>
    <x v="19"/>
    <x v="2"/>
    <x v="1"/>
    <x v="31"/>
    <x v="21"/>
    <x v="19"/>
    <x v="19"/>
  </r>
  <r>
    <x v="261"/>
    <x v="209"/>
    <x v="99"/>
    <x v="1"/>
    <x v="21"/>
    <x v="4"/>
    <x v="15"/>
    <x v="1"/>
    <x v="1"/>
    <x v="31"/>
    <x v="17"/>
    <x v="15"/>
    <x v="15"/>
  </r>
  <r>
    <x v="261"/>
    <x v="255"/>
    <x v="99"/>
    <x v="1"/>
    <x v="17"/>
    <x v="4"/>
    <x v="5"/>
    <x v="2"/>
    <x v="1"/>
    <x v="31"/>
    <x v="5"/>
    <x v="5"/>
    <x v="5"/>
  </r>
  <r>
    <x v="261"/>
    <x v="134"/>
    <x v="99"/>
    <x v="1"/>
    <x v="17"/>
    <x v="4"/>
    <x v="5"/>
    <x v="2"/>
    <x v="1"/>
    <x v="31"/>
    <x v="5"/>
    <x v="5"/>
    <x v="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СводнаяТаблица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31" firstHeaderRow="1" firstDataRow="1" firstDataCol="1"/>
  <pivotFields count="13">
    <pivotField showAll="0"/>
    <pivotField showAll="0"/>
    <pivotField showAll="0"/>
    <pivotField showAll="0"/>
    <pivotField axis="axisRow" showAll="0">
      <items count="28">
        <item x="1"/>
        <item x="4"/>
        <item x="8"/>
        <item x="14"/>
        <item x="15"/>
        <item x="18"/>
        <item x="24"/>
        <item x="26"/>
        <item x="25"/>
        <item x="19"/>
        <item x="10"/>
        <item x="11"/>
        <item x="16"/>
        <item x="6"/>
        <item x="12"/>
        <item x="0"/>
        <item x="22"/>
        <item x="20"/>
        <item x="21"/>
        <item x="2"/>
        <item x="7"/>
        <item x="13"/>
        <item x="9"/>
        <item x="23"/>
        <item x="3"/>
        <item x="17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dataFields count="1">
    <dataField name="Сумма по полю % бухгалтер" fld="10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Таблица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9" firstHeaderRow="1" firstDataRow="1" firstDataCol="1"/>
  <pivotFields count="13">
    <pivotField showAll="0"/>
    <pivotField showAll="0"/>
    <pivotField showAll="0"/>
    <pivotField showAll="0"/>
    <pivotField showAll="0"/>
    <pivotField axis="axisRow" showAll="0" defaultSubtotal="0">
      <items count="5">
        <item x="1"/>
        <item x="4"/>
        <item x="2"/>
        <item x="3"/>
        <item x="0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dataFields count="1">
    <dataField name="Сумма по полю % банк клиент" fld="9" subtotal="sum" numFmtId="167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Таблица4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5">
        <item x="0"/>
        <item x="4"/>
        <item x="1"/>
        <item x="2"/>
        <item x="3"/>
      </items>
    </pivotField>
    <pivotField showAll="0"/>
    <pivotField showAll="0"/>
    <pivotField showAll="0"/>
    <pivotField showAll="0"/>
    <pivotField dataField="1" showAll="0"/>
  </pivotFields>
  <rowFields count="1">
    <field x="7"/>
  </rowFields>
  <dataFields count="1">
    <dataField name="Сумма по полю Назоратчи  %" fld="12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Таблица3" displayName="Таблица3" ref="A2:M279" headerRowCount="1" totalsRowCount="0" totalsRowShown="0">
  <autoFilter ref="A2:M279"/>
  <tableColumns count="13">
    <tableColumn id="1" name="№"/>
    <tableColumn id="2" name="НАИМЕНОВАНИЯ"/>
    <tableColumn id="3" name="ИНН"/>
    <tableColumn id="4" name="НДС"/>
    <tableColumn id="5" name="Бухгалтер"/>
    <tableColumn id="6" name="bank klient"/>
    <tableColumn id="7" name="Столбец7"/>
    <tableColumn id="8" name="Назоратчи"/>
    <tableColumn id="9" name="Столбец10"/>
    <tableColumn id="10" name="% банк клиент"/>
    <tableColumn id="11" name="% бухгалтер"/>
    <tableColumn id="12" name="Ёркиной"/>
    <tableColumn id="13" name="Назоратчи  %"/>
  </tableColumns>
</table>
</file>

<file path=xl/tables/table2.xml><?xml version="1.0" encoding="utf-8"?>
<table xmlns="http://schemas.openxmlformats.org/spreadsheetml/2006/main" id="2" name="Таблица32" displayName="Таблица32" ref="A2:AH269" headerRowCount="1" totalsRowCount="0" totalsRowShown="0">
  <autoFilter ref="A2:AH269"/>
  <tableColumns count="34">
    <tableColumn id="1" name="№"/>
    <tableColumn id="2" name="НАИМЕНОВАНИЯ"/>
    <tableColumn id="3" name="Бухгалтер"/>
    <tableColumn id="4" name="bank klient"/>
    <tableColumn id="5" name="Столбец7"/>
    <tableColumn id="6" name="Назоратчи"/>
    <tableColumn id="7" name="Ishga vaqtida kelish ketish"/>
    <tableColumn id="8" name="Ishga kelish bank klient"/>
    <tableColumn id="9" name="Ishga kelish nazoratchi2"/>
    <tableColumn id="10" name="Gruppa buxgalter"/>
    <tableColumn id="11" name="Gruppa bank klient "/>
    <tableColumn id="12" name="Didox"/>
    <tableColumn id="13" name="xatlar"/>
    <tableColumn id="14" name=" мехнат"/>
    <tableColumn id="15" name="1c"/>
    <tableColumn id="16" name="Avtokameral"/>
    <tableColumn id="17" name="Pul oqimlari"/>
    <tableColumn id="18" name="Chiqadigan soliqlar"/>
    <tableColumn id="19" name="Hisoblangan oylik"/>
    <tableColumn id="20" name="Debitor kreditor"/>
    <tableColumn id="21" name="Foyda va zarar"/>
    <tableColumn id="22" name="Nazoratchi"/>
    <tableColumn id="23" name="Ishga vaqtida kelish nazoratchi"/>
    <tableColumn id="24" name="Ishga vaqtida kelish ketish2"/>
    <tableColumn id="25" name="Ishga kelish bank klient3"/>
    <tableColumn id="26" name="Gruppa buxgalter4"/>
    <tableColumn id="27" name="Gruppa bank klient 2"/>
    <tableColumn id="28" name="1C baza3"/>
    <tableColumn id="29" name="xatlar4"/>
    <tableColumn id="30" name="Belgilangan otchetlar5"/>
    <tableColumn id="31" name="Nazoratchi2"/>
    <tableColumn id="32" name="NazoratchiKPI"/>
    <tableColumn id="33" name="Buxgalter KPI"/>
    <tableColumn id="34" name="Bank klient KPI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.14"/>
    <col collapsed="false" customWidth="true" hidden="false" outlineLevel="0" max="2" min="2" style="0" width="24.57"/>
    <col collapsed="false" customWidth="true" hidden="false" outlineLevel="0" max="3" min="3" style="0" width="19"/>
    <col collapsed="false" customWidth="true" hidden="false" outlineLevel="0" max="4" min="4" style="0" width="42.42"/>
    <col collapsed="false" customWidth="true" hidden="false" outlineLevel="0" max="5" min="5" style="0" width="22.29"/>
  </cols>
  <sheetData>
    <row r="1" customFormat="false" ht="56.25" hidden="false" customHeight="true" outlineLevel="0" collapsed="false">
      <c r="A1" s="1" t="s">
        <v>0</v>
      </c>
      <c r="B1" s="1"/>
      <c r="C1" s="1"/>
      <c r="D1" s="1"/>
      <c r="E1" s="1"/>
    </row>
    <row r="2" customFormat="false" ht="17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2.8" hidden="false" customHeight="false" outlineLevel="0" collapsed="false">
      <c r="A3" s="3" t="s">
        <v>6</v>
      </c>
      <c r="B3" s="4" t="s">
        <v>7</v>
      </c>
      <c r="C3" s="3"/>
      <c r="D3" s="3"/>
      <c r="E3" s="5"/>
    </row>
    <row r="4" customFormat="false" ht="32.8" hidden="false" customHeight="false" outlineLevel="0" collapsed="false">
      <c r="A4" s="3" t="s">
        <v>8</v>
      </c>
      <c r="B4" s="4" t="s">
        <v>9</v>
      </c>
      <c r="C4" s="3"/>
      <c r="D4" s="3"/>
      <c r="E4" s="5"/>
    </row>
    <row r="5" customFormat="false" ht="17.35" hidden="false" customHeight="false" outlineLevel="0" collapsed="false">
      <c r="A5" s="6" t="s">
        <v>10</v>
      </c>
      <c r="B5" s="7" t="s">
        <v>11</v>
      </c>
      <c r="C5" s="6"/>
      <c r="D5" s="6"/>
      <c r="E5" s="5"/>
    </row>
    <row r="6" customFormat="false" ht="32.8" hidden="false" customHeight="false" outlineLevel="0" collapsed="false">
      <c r="A6" s="3" t="s">
        <v>12</v>
      </c>
      <c r="B6" s="7" t="n">
        <v>86830534</v>
      </c>
      <c r="C6" s="3"/>
      <c r="D6" s="3"/>
      <c r="E6" s="5"/>
    </row>
    <row r="7" customFormat="false" ht="17.35" hidden="false" customHeight="false" outlineLevel="0" collapsed="false">
      <c r="A7" s="3" t="s">
        <v>13</v>
      </c>
      <c r="B7" s="4" t="s">
        <v>14</v>
      </c>
      <c r="C7" s="3"/>
      <c r="D7" s="3"/>
      <c r="E7" s="5"/>
    </row>
    <row r="8" customFormat="false" ht="17.35" hidden="false" customHeight="false" outlineLevel="0" collapsed="false">
      <c r="A8" s="6" t="s">
        <v>15</v>
      </c>
      <c r="B8" s="7" t="s">
        <v>16</v>
      </c>
      <c r="C8" s="6"/>
      <c r="D8" s="6"/>
      <c r="E8" s="5"/>
    </row>
    <row r="9" customFormat="false" ht="17.35" hidden="false" customHeight="false" outlineLevel="0" collapsed="false">
      <c r="A9" s="3" t="s">
        <v>17</v>
      </c>
      <c r="B9" s="7" t="n">
        <v>51202266</v>
      </c>
      <c r="C9" s="3"/>
      <c r="D9" s="3"/>
      <c r="E9" s="5"/>
    </row>
    <row r="10" customFormat="false" ht="17.35" hidden="false" customHeight="false" outlineLevel="0" collapsed="false">
      <c r="A10" s="3" t="s">
        <v>18</v>
      </c>
      <c r="B10" s="4" t="s">
        <v>19</v>
      </c>
      <c r="C10" s="3"/>
      <c r="D10" s="3"/>
      <c r="E10" s="5"/>
    </row>
    <row r="11" customFormat="false" ht="17.35" hidden="false" customHeight="false" outlineLevel="0" collapsed="false">
      <c r="A11" s="6" t="s">
        <v>20</v>
      </c>
      <c r="B11" s="7" t="s">
        <v>21</v>
      </c>
      <c r="C11" s="6"/>
      <c r="D11" s="6"/>
      <c r="E11" s="5"/>
    </row>
    <row r="12" customFormat="false" ht="17.35" hidden="false" customHeight="false" outlineLevel="0" collapsed="false">
      <c r="A12" s="3" t="s">
        <v>22</v>
      </c>
      <c r="B12" s="4" t="s">
        <v>23</v>
      </c>
      <c r="C12" s="3"/>
      <c r="D12" s="3"/>
      <c r="E12" s="5"/>
    </row>
    <row r="13" customFormat="false" ht="32.8" hidden="false" customHeight="false" outlineLevel="0" collapsed="false">
      <c r="A13" s="6" t="s">
        <v>24</v>
      </c>
      <c r="B13" s="7" t="s">
        <v>25</v>
      </c>
      <c r="C13" s="6"/>
      <c r="D13" s="6"/>
      <c r="E13" s="5"/>
    </row>
    <row r="14" customFormat="false" ht="32.8" hidden="false" customHeight="false" outlineLevel="0" collapsed="false">
      <c r="A14" s="3" t="s">
        <v>26</v>
      </c>
      <c r="B14" s="4" t="s">
        <v>27</v>
      </c>
      <c r="C14" s="3"/>
      <c r="D14" s="3"/>
      <c r="E14" s="5"/>
    </row>
    <row r="15" customFormat="false" ht="32.8" hidden="false" customHeight="false" outlineLevel="0" collapsed="false">
      <c r="A15" s="6" t="s">
        <v>28</v>
      </c>
      <c r="B15" s="7" t="s">
        <v>29</v>
      </c>
      <c r="C15" s="6"/>
      <c r="D15" s="6"/>
      <c r="E15" s="5"/>
    </row>
    <row r="16" customFormat="false" ht="17.35" hidden="false" customHeight="false" outlineLevel="0" collapsed="false">
      <c r="A16" s="8" t="s">
        <v>30</v>
      </c>
      <c r="B16" s="9" t="n">
        <v>436833879</v>
      </c>
      <c r="C16" s="8"/>
      <c r="D16" s="8"/>
      <c r="E16" s="8"/>
    </row>
    <row r="18" customFormat="false" ht="17.35" hidden="false" customHeight="false" outlineLevel="0" collapsed="false">
      <c r="A18" s="10" t="s">
        <v>31</v>
      </c>
      <c r="B18" s="11" t="s">
        <v>32</v>
      </c>
    </row>
    <row r="19" customFormat="false" ht="15" hidden="false" customHeight="false" outlineLevel="0" collapsed="false">
      <c r="A19" s="12"/>
      <c r="B19" s="12"/>
    </row>
    <row r="20" customFormat="false" ht="17.35" hidden="false" customHeight="false" outlineLevel="0" collapsed="false">
      <c r="A20" s="10" t="s">
        <v>33</v>
      </c>
      <c r="B20" s="11" t="s">
        <v>34</v>
      </c>
    </row>
  </sheetData>
  <mergeCells count="1">
    <mergeCell ref="A1:E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9.1484375" defaultRowHeight="15.75" zeroHeight="false" outlineLevelRow="0" outlineLevelCol="0"/>
  <cols>
    <col collapsed="false" customWidth="true" hidden="false" outlineLevel="0" max="1" min="1" style="13" width="4.57"/>
    <col collapsed="false" customWidth="true" hidden="false" outlineLevel="0" max="2" min="2" style="13" width="57.42"/>
    <col collapsed="false" customWidth="true" hidden="false" outlineLevel="0" max="3" min="3" style="13" width="11.29"/>
    <col collapsed="false" customWidth="false" hidden="false" outlineLevel="0" max="4" min="4" style="13" width="9.14"/>
    <col collapsed="false" customWidth="true" hidden="false" outlineLevel="0" max="5" min="5" style="13" width="13.15"/>
    <col collapsed="false" customWidth="true" hidden="false" outlineLevel="0" max="6" min="6" style="13" width="9.57"/>
    <col collapsed="false" customWidth="true" hidden="false" outlineLevel="0" max="7" min="7" style="13" width="12.15"/>
    <col collapsed="false" customWidth="true" hidden="false" outlineLevel="0" max="8" min="8" style="13" width="12.42"/>
    <col collapsed="false" customWidth="true" hidden="false" outlineLevel="0" max="9" min="9" style="13" width="12"/>
    <col collapsed="false" customWidth="true" hidden="false" outlineLevel="0" max="10" min="10" style="13" width="10.14"/>
    <col collapsed="false" customWidth="true" hidden="false" outlineLevel="0" max="11" min="11" style="13" width="12.71"/>
    <col collapsed="false" customWidth="false" hidden="false" outlineLevel="0" max="16384" min="12" style="13" width="9.14"/>
  </cols>
  <sheetData>
    <row r="1" customFormat="false" ht="15.75" hidden="false" customHeight="false" outlineLevel="0" collapsed="false">
      <c r="A1" s="14" t="s">
        <v>35</v>
      </c>
      <c r="B1" s="15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42</v>
      </c>
      <c r="I1" s="14" t="s">
        <v>43</v>
      </c>
      <c r="J1" s="14" t="s">
        <v>44</v>
      </c>
      <c r="K1" s="14"/>
    </row>
    <row r="2" customFormat="false" ht="15.75" hidden="false" customHeight="false" outlineLevel="0" collapsed="false">
      <c r="A2" s="14" t="n">
        <v>1</v>
      </c>
      <c r="B2" s="16" t="s">
        <v>45</v>
      </c>
      <c r="C2" s="17"/>
      <c r="D2" s="17"/>
      <c r="E2" s="18"/>
      <c r="F2" s="18"/>
      <c r="G2" s="17"/>
      <c r="H2" s="18"/>
      <c r="I2" s="14"/>
      <c r="J2" s="14"/>
      <c r="K2" s="16" t="n">
        <v>36275148</v>
      </c>
    </row>
    <row r="3" customFormat="false" ht="15.75" hidden="false" customHeight="false" outlineLevel="0" collapsed="false">
      <c r="A3" s="14" t="n">
        <v>2</v>
      </c>
      <c r="B3" s="16" t="s">
        <v>46</v>
      </c>
      <c r="C3" s="17"/>
      <c r="D3" s="17"/>
      <c r="E3" s="18"/>
      <c r="F3" s="18"/>
      <c r="G3" s="17"/>
      <c r="H3" s="18"/>
      <c r="I3" s="14"/>
      <c r="J3" s="14"/>
      <c r="K3" s="16" t="n">
        <v>13540974</v>
      </c>
      <c r="L3" s="19" t="s">
        <v>47</v>
      </c>
    </row>
    <row r="4" customFormat="false" ht="15.75" hidden="false" customHeight="false" outlineLevel="0" collapsed="false">
      <c r="A4" s="14" t="n">
        <v>3</v>
      </c>
      <c r="B4" s="16" t="s">
        <v>48</v>
      </c>
      <c r="C4" s="18" t="s">
        <v>49</v>
      </c>
      <c r="D4" s="17"/>
      <c r="E4" s="18"/>
      <c r="F4" s="18"/>
      <c r="G4" s="17"/>
      <c r="H4" s="18"/>
      <c r="I4" s="14"/>
      <c r="J4" s="14"/>
      <c r="K4" s="16" t="n">
        <v>33979629</v>
      </c>
      <c r="L4" s="19" t="s">
        <v>47</v>
      </c>
    </row>
    <row r="5" customFormat="false" ht="15.75" hidden="false" customHeight="false" outlineLevel="0" collapsed="false">
      <c r="A5" s="14" t="n">
        <v>4</v>
      </c>
      <c r="B5" s="16" t="s">
        <v>50</v>
      </c>
      <c r="C5" s="17"/>
      <c r="D5" s="17"/>
      <c r="E5" s="18"/>
      <c r="F5" s="18"/>
      <c r="G5" s="17"/>
      <c r="H5" s="18"/>
      <c r="I5" s="14"/>
      <c r="J5" s="14"/>
      <c r="K5" s="16" t="n">
        <v>72641824</v>
      </c>
      <c r="L5" s="19" t="s">
        <v>47</v>
      </c>
    </row>
    <row r="6" customFormat="false" ht="15.75" hidden="false" customHeight="false" outlineLevel="0" collapsed="false">
      <c r="A6" s="14" t="n">
        <v>5</v>
      </c>
      <c r="B6" s="16" t="s">
        <v>51</v>
      </c>
      <c r="C6" s="17"/>
      <c r="D6" s="17"/>
      <c r="E6" s="18"/>
      <c r="F6" s="18"/>
      <c r="G6" s="17"/>
      <c r="H6" s="18"/>
      <c r="I6" s="14"/>
      <c r="J6" s="14"/>
      <c r="K6" s="16" t="n">
        <v>84564973</v>
      </c>
      <c r="L6" s="19" t="s">
        <v>47</v>
      </c>
    </row>
    <row r="7" customFormat="false" ht="15.75" hidden="false" customHeight="false" outlineLevel="0" collapsed="false">
      <c r="A7" s="14" t="n">
        <v>6</v>
      </c>
      <c r="B7" s="16" t="s">
        <v>52</v>
      </c>
      <c r="C7" s="17"/>
      <c r="D7" s="17"/>
      <c r="E7" s="18"/>
      <c r="F7" s="18"/>
      <c r="G7" s="17"/>
      <c r="H7" s="18"/>
      <c r="I7" s="14"/>
      <c r="J7" s="14"/>
      <c r="K7" s="16" t="n">
        <v>45313285</v>
      </c>
    </row>
    <row r="8" customFormat="false" ht="15.75" hidden="false" customHeight="false" outlineLevel="0" collapsed="false">
      <c r="A8" s="14" t="n">
        <v>7</v>
      </c>
      <c r="B8" s="16" t="s">
        <v>53</v>
      </c>
      <c r="C8" s="17"/>
      <c r="D8" s="17"/>
      <c r="E8" s="18"/>
      <c r="F8" s="18"/>
      <c r="G8" s="17"/>
      <c r="H8" s="18"/>
      <c r="I8" s="14"/>
      <c r="J8" s="14"/>
      <c r="K8" s="16" t="n">
        <v>88700206</v>
      </c>
    </row>
    <row r="9" customFormat="false" ht="15.75" hidden="false" customHeight="false" outlineLevel="0" collapsed="false">
      <c r="A9" s="14" t="n">
        <v>8</v>
      </c>
      <c r="B9" s="16" t="s">
        <v>54</v>
      </c>
      <c r="C9" s="17"/>
      <c r="D9" s="17"/>
      <c r="E9" s="18"/>
      <c r="F9" s="18"/>
      <c r="G9" s="17"/>
      <c r="H9" s="18"/>
      <c r="I9" s="14"/>
      <c r="J9" s="14"/>
      <c r="K9" s="16" t="n">
        <v>86722119</v>
      </c>
    </row>
    <row r="10" customFormat="false" ht="15.75" hidden="false" customHeight="false" outlineLevel="0" collapsed="false">
      <c r="A10" s="14" t="n">
        <v>9</v>
      </c>
      <c r="B10" s="16" t="s">
        <v>55</v>
      </c>
      <c r="C10" s="17"/>
      <c r="D10" s="17"/>
      <c r="E10" s="18"/>
      <c r="F10" s="18"/>
      <c r="G10" s="17"/>
      <c r="H10" s="18"/>
      <c r="I10" s="14"/>
      <c r="J10" s="14"/>
      <c r="K10" s="16" t="n">
        <v>35324962</v>
      </c>
    </row>
    <row r="11" customFormat="false" ht="17.25" hidden="false" customHeight="true" outlineLevel="0" collapsed="false">
      <c r="A11" s="14" t="n">
        <v>10</v>
      </c>
      <c r="B11" s="20" t="s">
        <v>56</v>
      </c>
      <c r="C11" s="17"/>
      <c r="D11" s="17"/>
      <c r="E11" s="18"/>
      <c r="F11" s="18"/>
      <c r="G11" s="17"/>
      <c r="H11" s="18"/>
      <c r="I11" s="14"/>
      <c r="J11" s="14"/>
      <c r="K11" s="16" t="n">
        <v>100186</v>
      </c>
      <c r="L11" s="19" t="s">
        <v>47</v>
      </c>
    </row>
    <row r="12" customFormat="false" ht="15.75" hidden="false" customHeight="false" outlineLevel="0" collapsed="false">
      <c r="A12" s="14" t="n">
        <v>11</v>
      </c>
      <c r="B12" s="16" t="s">
        <v>57</v>
      </c>
      <c r="C12" s="17"/>
      <c r="D12" s="17"/>
      <c r="E12" s="18"/>
      <c r="F12" s="18"/>
      <c r="G12" s="17"/>
      <c r="H12" s="18"/>
      <c r="I12" s="14"/>
      <c r="J12" s="14"/>
      <c r="K12" s="16" t="n">
        <v>50995539</v>
      </c>
    </row>
    <row r="13" customFormat="false" ht="15.75" hidden="false" customHeight="false" outlineLevel="0" collapsed="false">
      <c r="A13" s="14" t="n">
        <v>12</v>
      </c>
      <c r="B13" s="16" t="s">
        <v>58</v>
      </c>
      <c r="C13" s="18" t="s">
        <v>59</v>
      </c>
      <c r="D13" s="17"/>
      <c r="E13" s="18"/>
      <c r="F13" s="18"/>
      <c r="G13" s="17"/>
      <c r="H13" s="18"/>
      <c r="I13" s="14"/>
      <c r="J13" s="14"/>
      <c r="K13" s="16" t="n">
        <v>100186</v>
      </c>
    </row>
    <row r="14" customFormat="false" ht="15.75" hidden="false" customHeight="false" outlineLevel="0" collapsed="false">
      <c r="A14" s="14" t="n">
        <v>13</v>
      </c>
      <c r="B14" s="16" t="s">
        <v>60</v>
      </c>
      <c r="C14" s="17"/>
      <c r="D14" s="17"/>
      <c r="E14" s="18"/>
      <c r="F14" s="18"/>
      <c r="G14" s="17"/>
      <c r="H14" s="18"/>
      <c r="I14" s="14"/>
      <c r="J14" s="14"/>
      <c r="K14" s="16" t="n">
        <v>100186</v>
      </c>
    </row>
    <row r="15" customFormat="false" ht="15.75" hidden="false" customHeight="false" outlineLevel="0" collapsed="false">
      <c r="A15" s="14" t="n">
        <v>14</v>
      </c>
      <c r="B15" s="16" t="s">
        <v>61</v>
      </c>
      <c r="C15" s="17"/>
      <c r="D15" s="17"/>
      <c r="E15" s="18"/>
      <c r="F15" s="18"/>
      <c r="G15" s="17"/>
      <c r="H15" s="18"/>
      <c r="I15" s="14"/>
      <c r="J15" s="14"/>
      <c r="K15" s="16" t="n">
        <v>100186</v>
      </c>
    </row>
    <row r="16" customFormat="false" ht="15.75" hidden="false" customHeight="false" outlineLevel="0" collapsed="false">
      <c r="A16" s="14" t="n">
        <v>15</v>
      </c>
      <c r="B16" s="16" t="s">
        <v>62</v>
      </c>
      <c r="C16" s="18" t="s">
        <v>49</v>
      </c>
      <c r="D16" s="17"/>
      <c r="E16" s="18"/>
      <c r="F16" s="18"/>
      <c r="G16" s="17"/>
      <c r="H16" s="18"/>
      <c r="I16" s="14"/>
      <c r="J16" s="14"/>
      <c r="K16" s="16" t="n">
        <v>34406143</v>
      </c>
    </row>
    <row r="17" customFormat="false" ht="15.75" hidden="false" customHeight="false" outlineLevel="0" collapsed="false">
      <c r="A17" s="14" t="n">
        <v>16</v>
      </c>
      <c r="B17" s="16" t="s">
        <v>63</v>
      </c>
      <c r="C17" s="17"/>
      <c r="D17" s="17"/>
      <c r="E17" s="18"/>
      <c r="F17" s="18"/>
      <c r="G17" s="17"/>
      <c r="H17" s="18"/>
      <c r="I17" s="14"/>
      <c r="J17" s="14"/>
      <c r="K17" s="16" t="n">
        <v>23956654</v>
      </c>
    </row>
    <row r="18" customFormat="false" ht="15.75" hidden="false" customHeight="false" outlineLevel="0" collapsed="false">
      <c r="A18" s="14" t="n">
        <v>17</v>
      </c>
      <c r="B18" s="16" t="s">
        <v>64</v>
      </c>
      <c r="C18" s="18" t="s">
        <v>49</v>
      </c>
      <c r="D18" s="17"/>
      <c r="E18" s="18"/>
      <c r="F18" s="18"/>
      <c r="G18" s="17"/>
      <c r="H18" s="18"/>
      <c r="I18" s="14"/>
      <c r="J18" s="14"/>
      <c r="K18" s="16" t="n">
        <v>100186</v>
      </c>
    </row>
    <row r="19" customFormat="false" ht="15.75" hidden="false" customHeight="false" outlineLevel="0" collapsed="false">
      <c r="A19" s="14" t="n">
        <v>18</v>
      </c>
      <c r="B19" s="16" t="s">
        <v>65</v>
      </c>
      <c r="C19" s="18" t="s">
        <v>49</v>
      </c>
      <c r="D19" s="17"/>
      <c r="E19" s="18"/>
      <c r="F19" s="18"/>
      <c r="G19" s="17"/>
      <c r="H19" s="18"/>
      <c r="I19" s="14"/>
      <c r="J19" s="14"/>
      <c r="K19" s="16" t="n">
        <v>100186</v>
      </c>
    </row>
    <row r="20" customFormat="false" ht="15.75" hidden="false" customHeight="false" outlineLevel="0" collapsed="false">
      <c r="A20" s="14" t="n">
        <v>19</v>
      </c>
      <c r="B20" s="16" t="s">
        <v>66</v>
      </c>
      <c r="C20" s="18" t="s">
        <v>49</v>
      </c>
      <c r="D20" s="17"/>
      <c r="E20" s="18"/>
      <c r="F20" s="18"/>
      <c r="G20" s="17"/>
      <c r="H20" s="18"/>
      <c r="I20" s="14"/>
      <c r="J20" s="14"/>
      <c r="K20" s="16" t="n">
        <v>100186</v>
      </c>
    </row>
    <row r="21" customFormat="false" ht="15.75" hidden="false" customHeight="false" outlineLevel="0" collapsed="false">
      <c r="A21" s="14" t="n">
        <v>20</v>
      </c>
      <c r="B21" s="20" t="s">
        <v>67</v>
      </c>
      <c r="C21" s="18" t="s">
        <v>49</v>
      </c>
      <c r="D21" s="21"/>
      <c r="E21" s="22"/>
      <c r="F21" s="22"/>
      <c r="G21" s="21"/>
      <c r="H21" s="22"/>
      <c r="I21" s="23"/>
      <c r="J21" s="23"/>
      <c r="K21" s="16" t="n">
        <v>100186</v>
      </c>
    </row>
    <row r="22" customFormat="false" ht="15.75" hidden="false" customHeight="false" outlineLevel="0" collapsed="false">
      <c r="A22" s="14" t="n">
        <v>21</v>
      </c>
      <c r="B22" s="16" t="s">
        <v>68</v>
      </c>
      <c r="C22" s="18" t="s">
        <v>69</v>
      </c>
      <c r="D22" s="18"/>
      <c r="E22" s="22"/>
      <c r="F22" s="22"/>
      <c r="G22" s="21"/>
      <c r="H22" s="22"/>
      <c r="I22" s="22"/>
      <c r="J22" s="22"/>
      <c r="K22" s="16" t="n">
        <v>100186</v>
      </c>
    </row>
    <row r="23" customFormat="false" ht="15.75" hidden="false" customHeight="false" outlineLevel="0" collapsed="false">
      <c r="A23" s="14" t="n">
        <v>22</v>
      </c>
      <c r="B23" s="20" t="s">
        <v>70</v>
      </c>
      <c r="C23" s="22"/>
      <c r="D23" s="21"/>
      <c r="E23" s="22"/>
      <c r="F23" s="22"/>
      <c r="G23" s="21"/>
      <c r="H23" s="22"/>
      <c r="I23" s="22"/>
      <c r="J23" s="22"/>
      <c r="K23" s="16" t="n">
        <v>100186</v>
      </c>
    </row>
  </sheetData>
  <mergeCells count="1">
    <mergeCell ref="C22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0" activeCellId="0" sqref="D10"/>
    </sheetView>
  </sheetViews>
  <sheetFormatPr defaultColWidth="9.1484375" defaultRowHeight="15.75" zeroHeight="false" outlineLevelRow="0" outlineLevelCol="0"/>
  <cols>
    <col collapsed="false" customWidth="true" hidden="false" outlineLevel="0" max="1" min="1" style="24" width="4.57"/>
    <col collapsed="false" customWidth="true" hidden="false" outlineLevel="0" max="2" min="2" style="24" width="56.86"/>
    <col collapsed="false" customWidth="false" hidden="false" outlineLevel="0" max="3" min="3" style="24" width="9.14"/>
    <col collapsed="false" customWidth="true" hidden="false" outlineLevel="0" max="4" min="4" style="24" width="24"/>
    <col collapsed="false" customWidth="true" hidden="false" outlineLevel="0" max="5" min="5" style="24" width="12.42"/>
    <col collapsed="false" customWidth="true" hidden="false" outlineLevel="0" max="6" min="6" style="24" width="13.57"/>
    <col collapsed="false" customWidth="true" hidden="false" outlineLevel="0" max="7" min="7" style="24" width="12.86"/>
    <col collapsed="false" customWidth="true" hidden="false" outlineLevel="0" max="8" min="8" style="24" width="13.86"/>
    <col collapsed="false" customWidth="true" hidden="false" outlineLevel="0" max="9" min="9" style="24" width="12.15"/>
    <col collapsed="false" customWidth="true" hidden="false" outlineLevel="0" max="10" min="10" style="24" width="11.14"/>
    <col collapsed="false" customWidth="true" hidden="false" outlineLevel="0" max="11" min="11" style="24" width="10.85"/>
    <col collapsed="false" customWidth="true" hidden="false" outlineLevel="0" max="12" min="12" style="24" width="10.42"/>
    <col collapsed="false" customWidth="false" hidden="false" outlineLevel="0" max="16384" min="13" style="24" width="9.14"/>
  </cols>
  <sheetData>
    <row r="1" customFormat="false" ht="44" hidden="false" customHeight="false" outlineLevel="0" collapsed="false">
      <c r="A1" s="25" t="s">
        <v>35</v>
      </c>
      <c r="B1" s="26" t="s">
        <v>36</v>
      </c>
      <c r="C1" s="25" t="s">
        <v>71</v>
      </c>
      <c r="D1" s="25" t="s">
        <v>72</v>
      </c>
      <c r="E1" s="25" t="s">
        <v>73</v>
      </c>
      <c r="F1" s="25" t="s">
        <v>74</v>
      </c>
      <c r="G1" s="25" t="s">
        <v>75</v>
      </c>
      <c r="H1" s="25" t="s">
        <v>76</v>
      </c>
      <c r="I1" s="25" t="s">
        <v>41</v>
      </c>
      <c r="J1" s="25" t="s">
        <v>42</v>
      </c>
      <c r="K1" s="25" t="s">
        <v>43</v>
      </c>
      <c r="L1" s="25"/>
    </row>
    <row r="2" customFormat="false" ht="15.75" hidden="false" customHeight="false" outlineLevel="0" collapsed="false">
      <c r="A2" s="25" t="n">
        <v>1</v>
      </c>
      <c r="B2" s="27" t="s">
        <v>45</v>
      </c>
      <c r="C2" s="28"/>
      <c r="D2" s="25"/>
      <c r="E2" s="25"/>
      <c r="F2" s="25"/>
      <c r="G2" s="25"/>
      <c r="H2" s="25"/>
      <c r="I2" s="28"/>
      <c r="J2" s="25"/>
      <c r="K2" s="25"/>
      <c r="L2" s="27" t="n">
        <v>36275148</v>
      </c>
    </row>
    <row r="3" customFormat="false" ht="15.75" hidden="false" customHeight="false" outlineLevel="0" collapsed="false">
      <c r="A3" s="25" t="n">
        <v>2</v>
      </c>
      <c r="B3" s="27" t="s">
        <v>46</v>
      </c>
      <c r="C3" s="28"/>
      <c r="D3" s="25"/>
      <c r="E3" s="25"/>
      <c r="F3" s="25"/>
      <c r="G3" s="25"/>
      <c r="H3" s="28"/>
      <c r="I3" s="28"/>
      <c r="J3" s="25"/>
      <c r="K3" s="25"/>
      <c r="L3" s="27" t="n">
        <v>13540974</v>
      </c>
      <c r="M3" s="24" t="s">
        <v>47</v>
      </c>
    </row>
    <row r="4" customFormat="false" ht="15.75" hidden="false" customHeight="false" outlineLevel="0" collapsed="false">
      <c r="A4" s="25" t="n">
        <v>3</v>
      </c>
      <c r="B4" s="27" t="s">
        <v>48</v>
      </c>
      <c r="C4" s="28"/>
      <c r="D4" s="25"/>
      <c r="E4" s="25"/>
      <c r="F4" s="25"/>
      <c r="G4" s="25"/>
      <c r="H4" s="28"/>
      <c r="I4" s="25"/>
      <c r="J4" s="25"/>
      <c r="K4" s="25"/>
      <c r="L4" s="27" t="n">
        <v>33979629</v>
      </c>
      <c r="M4" s="24" t="s">
        <v>47</v>
      </c>
    </row>
    <row r="5" customFormat="false" ht="15.75" hidden="false" customHeight="false" outlineLevel="0" collapsed="false">
      <c r="A5" s="25" t="n">
        <v>4</v>
      </c>
      <c r="B5" s="27" t="s">
        <v>50</v>
      </c>
      <c r="C5" s="28"/>
      <c r="D5" s="25"/>
      <c r="E5" s="25"/>
      <c r="F5" s="25"/>
      <c r="G5" s="25"/>
      <c r="H5" s="28"/>
      <c r="I5" s="28"/>
      <c r="J5" s="25"/>
      <c r="K5" s="25"/>
      <c r="L5" s="27" t="n">
        <v>72641824</v>
      </c>
      <c r="M5" s="24" t="s">
        <v>47</v>
      </c>
    </row>
    <row r="6" customFormat="false" ht="15.75" hidden="false" customHeight="false" outlineLevel="0" collapsed="false">
      <c r="A6" s="25" t="n">
        <v>5</v>
      </c>
      <c r="B6" s="27" t="s">
        <v>51</v>
      </c>
      <c r="C6" s="28"/>
      <c r="D6" s="25"/>
      <c r="E6" s="25"/>
      <c r="F6" s="25"/>
      <c r="G6" s="25"/>
      <c r="H6" s="29"/>
      <c r="I6" s="28"/>
      <c r="J6" s="25"/>
      <c r="K6" s="25"/>
      <c r="L6" s="27" t="n">
        <v>84564973</v>
      </c>
      <c r="M6" s="24" t="s">
        <v>47</v>
      </c>
    </row>
    <row r="7" customFormat="false" ht="15.75" hidden="false" customHeight="false" outlineLevel="0" collapsed="false">
      <c r="A7" s="25" t="n">
        <v>6</v>
      </c>
      <c r="B7" s="27" t="s">
        <v>52</v>
      </c>
      <c r="C7" s="28"/>
      <c r="D7" s="25"/>
      <c r="E7" s="25"/>
      <c r="F7" s="25"/>
      <c r="G7" s="25"/>
      <c r="H7" s="25"/>
      <c r="I7" s="28"/>
      <c r="J7" s="25"/>
      <c r="K7" s="25"/>
      <c r="L7" s="27" t="n">
        <v>45313285</v>
      </c>
    </row>
    <row r="8" customFormat="false" ht="15.75" hidden="false" customHeight="false" outlineLevel="0" collapsed="false">
      <c r="A8" s="25" t="n">
        <v>7</v>
      </c>
      <c r="B8" s="27" t="s">
        <v>53</v>
      </c>
      <c r="C8" s="28"/>
      <c r="D8" s="25"/>
      <c r="E8" s="25"/>
      <c r="F8" s="25"/>
      <c r="G8" s="25"/>
      <c r="H8" s="25"/>
      <c r="I8" s="28"/>
      <c r="J8" s="25"/>
      <c r="K8" s="25"/>
      <c r="L8" s="27" t="n">
        <v>88700206</v>
      </c>
    </row>
    <row r="9" customFormat="false" ht="15" hidden="false" customHeight="true" outlineLevel="0" collapsed="false">
      <c r="A9" s="25" t="n">
        <v>8</v>
      </c>
      <c r="B9" s="27" t="s">
        <v>54</v>
      </c>
      <c r="C9" s="28"/>
      <c r="D9" s="25"/>
      <c r="E9" s="25"/>
      <c r="F9" s="25"/>
      <c r="G9" s="25"/>
      <c r="H9" s="25"/>
      <c r="I9" s="28"/>
      <c r="J9" s="25"/>
      <c r="K9" s="25"/>
      <c r="L9" s="27" t="n">
        <v>86722119</v>
      </c>
    </row>
    <row r="10" customFormat="false" ht="15.75" hidden="false" customHeight="false" outlineLevel="0" collapsed="false">
      <c r="A10" s="25" t="n">
        <v>9</v>
      </c>
      <c r="B10" s="27" t="s">
        <v>55</v>
      </c>
      <c r="C10" s="28"/>
      <c r="D10" s="25"/>
      <c r="E10" s="25"/>
      <c r="F10" s="25"/>
      <c r="G10" s="25"/>
      <c r="H10" s="25"/>
      <c r="I10" s="28"/>
      <c r="J10" s="25"/>
      <c r="K10" s="25"/>
      <c r="L10" s="27" t="n">
        <v>35324962</v>
      </c>
    </row>
    <row r="11" customFormat="false" ht="15.75" hidden="false" customHeight="false" outlineLevel="0" collapsed="false">
      <c r="A11" s="25" t="n">
        <v>10</v>
      </c>
      <c r="B11" s="27" t="s">
        <v>56</v>
      </c>
      <c r="C11" s="28"/>
      <c r="D11" s="25"/>
      <c r="E11" s="25"/>
      <c r="F11" s="25"/>
      <c r="G11" s="25"/>
      <c r="H11" s="28"/>
      <c r="I11" s="28"/>
      <c r="J11" s="25"/>
      <c r="K11" s="25"/>
      <c r="L11" s="27" t="n">
        <v>100186</v>
      </c>
      <c r="M11" s="24" t="s">
        <v>47</v>
      </c>
    </row>
    <row r="12" customFormat="false" ht="15.75" hidden="false" customHeight="false" outlineLevel="0" collapsed="false">
      <c r="A12" s="25" t="n">
        <v>11</v>
      </c>
      <c r="B12" s="27" t="s">
        <v>77</v>
      </c>
      <c r="C12" s="28"/>
      <c r="D12" s="25"/>
      <c r="E12" s="25"/>
      <c r="F12" s="25"/>
      <c r="G12" s="25"/>
      <c r="H12" s="25"/>
      <c r="I12" s="28"/>
      <c r="J12" s="25"/>
      <c r="K12" s="25"/>
      <c r="L12" s="27" t="n">
        <v>100186</v>
      </c>
    </row>
    <row r="13" customFormat="false" ht="15.75" hidden="false" customHeight="false" outlineLevel="0" collapsed="false">
      <c r="A13" s="25" t="n">
        <v>12</v>
      </c>
      <c r="B13" s="27" t="s">
        <v>57</v>
      </c>
      <c r="C13" s="28"/>
      <c r="D13" s="25"/>
      <c r="E13" s="25"/>
      <c r="F13" s="25"/>
      <c r="G13" s="25"/>
      <c r="H13" s="25"/>
      <c r="I13" s="28"/>
      <c r="J13" s="25"/>
      <c r="K13" s="25"/>
      <c r="L13" s="27" t="n">
        <v>50995539</v>
      </c>
    </row>
    <row r="14" customFormat="false" ht="15" hidden="false" customHeight="true" outlineLevel="0" collapsed="false">
      <c r="A14" s="25" t="n">
        <v>13</v>
      </c>
      <c r="B14" s="27" t="s">
        <v>58</v>
      </c>
      <c r="C14" s="28"/>
      <c r="D14" s="25"/>
      <c r="E14" s="25"/>
      <c r="F14" s="25"/>
      <c r="G14" s="25"/>
      <c r="H14" s="25"/>
      <c r="I14" s="28"/>
      <c r="J14" s="25"/>
      <c r="K14" s="25"/>
      <c r="L14" s="27" t="n">
        <v>100186</v>
      </c>
    </row>
    <row r="15" customFormat="false" ht="15.75" hidden="false" customHeight="false" outlineLevel="0" collapsed="false">
      <c r="A15" s="25" t="n">
        <v>14</v>
      </c>
      <c r="B15" s="27" t="s">
        <v>60</v>
      </c>
      <c r="C15" s="28"/>
      <c r="D15" s="25"/>
      <c r="E15" s="25"/>
      <c r="F15" s="25"/>
      <c r="G15" s="25"/>
      <c r="H15" s="25"/>
      <c r="I15" s="28"/>
      <c r="J15" s="25"/>
      <c r="K15" s="25"/>
      <c r="L15" s="27" t="n">
        <v>100186</v>
      </c>
    </row>
    <row r="16" customFormat="false" ht="15.75" hidden="false" customHeight="false" outlineLevel="0" collapsed="false">
      <c r="A16" s="25" t="n">
        <v>15</v>
      </c>
      <c r="B16" s="27" t="s">
        <v>61</v>
      </c>
      <c r="C16" s="28"/>
      <c r="D16" s="25"/>
      <c r="E16" s="25"/>
      <c r="F16" s="25"/>
      <c r="G16" s="25"/>
      <c r="H16" s="25"/>
      <c r="I16" s="28"/>
      <c r="J16" s="25"/>
      <c r="K16" s="25"/>
      <c r="L16" s="27" t="n">
        <v>100186</v>
      </c>
    </row>
    <row r="17" customFormat="false" ht="15.75" hidden="false" customHeight="false" outlineLevel="0" collapsed="false">
      <c r="A17" s="25" t="n">
        <v>16</v>
      </c>
      <c r="B17" s="27" t="s">
        <v>62</v>
      </c>
      <c r="C17" s="28"/>
      <c r="D17" s="25"/>
      <c r="E17" s="25"/>
      <c r="F17" s="25"/>
      <c r="G17" s="25"/>
      <c r="H17" s="25"/>
      <c r="I17" s="28"/>
      <c r="J17" s="25"/>
      <c r="K17" s="25"/>
      <c r="L17" s="27" t="n">
        <v>34406143</v>
      </c>
    </row>
    <row r="18" customFormat="false" ht="15.75" hidden="false" customHeight="false" outlineLevel="0" collapsed="false">
      <c r="A18" s="25" t="n">
        <v>17</v>
      </c>
      <c r="B18" s="27" t="s">
        <v>63</v>
      </c>
      <c r="C18" s="28"/>
      <c r="D18" s="25" t="s">
        <v>78</v>
      </c>
      <c r="E18" s="25"/>
      <c r="F18" s="25" t="s">
        <v>78</v>
      </c>
      <c r="G18" s="25" t="s">
        <v>78</v>
      </c>
      <c r="H18" s="25"/>
      <c r="I18" s="28"/>
      <c r="J18" s="25"/>
      <c r="K18" s="25"/>
      <c r="L18" s="27" t="n">
        <v>23956654</v>
      </c>
    </row>
    <row r="19" customFormat="false" ht="15.75" hidden="false" customHeight="false" outlineLevel="0" collapsed="false">
      <c r="A19" s="25" t="n">
        <v>18</v>
      </c>
      <c r="B19" s="27" t="s">
        <v>68</v>
      </c>
      <c r="C19" s="30"/>
      <c r="D19" s="30"/>
      <c r="E19" s="30"/>
      <c r="F19" s="30"/>
      <c r="G19" s="30"/>
      <c r="H19" s="31"/>
      <c r="I19" s="31"/>
      <c r="J19" s="31"/>
      <c r="K19" s="31"/>
      <c r="L19" s="27" t="n">
        <v>100186</v>
      </c>
    </row>
    <row r="20" customFormat="false" ht="15.75" hidden="false" customHeight="false" outlineLevel="0" collapsed="false">
      <c r="A20" s="25" t="n">
        <v>19</v>
      </c>
      <c r="B20" s="31" t="s">
        <v>79</v>
      </c>
      <c r="C20" s="32"/>
      <c r="D20" s="31"/>
      <c r="E20" s="31"/>
      <c r="F20" s="31"/>
      <c r="G20" s="31"/>
      <c r="H20" s="31"/>
      <c r="I20" s="31"/>
      <c r="J20" s="31"/>
      <c r="K20" s="31"/>
      <c r="L20" s="27" t="n">
        <v>100186</v>
      </c>
    </row>
    <row r="21" customFormat="false" ht="15.75" hidden="false" customHeight="false" outlineLevel="0" collapsed="false">
      <c r="A21" s="25" t="n">
        <v>20</v>
      </c>
      <c r="B21" s="27" t="s">
        <v>80</v>
      </c>
      <c r="C21" s="28"/>
      <c r="D21" s="25"/>
      <c r="E21" s="25"/>
      <c r="F21" s="25"/>
      <c r="G21" s="25"/>
      <c r="H21" s="25"/>
      <c r="I21" s="28"/>
      <c r="J21" s="25"/>
      <c r="K21" s="25"/>
      <c r="L21" s="25" t="n">
        <v>100186</v>
      </c>
    </row>
    <row r="22" customFormat="false" ht="15.75" hidden="false" customHeight="false" outlineLevel="0" collapsed="false">
      <c r="A22" s="25" t="n">
        <v>21</v>
      </c>
      <c r="B22" s="27" t="s">
        <v>81</v>
      </c>
      <c r="C22" s="25"/>
      <c r="D22" s="25"/>
      <c r="E22" s="25"/>
      <c r="F22" s="25"/>
      <c r="G22" s="25"/>
      <c r="H22" s="25"/>
      <c r="I22" s="25"/>
      <c r="J22" s="25"/>
      <c r="K22" s="25"/>
      <c r="L22" s="25" t="n">
        <v>100186</v>
      </c>
    </row>
    <row r="23" customFormat="false" ht="15.75" hidden="false" customHeight="false" outlineLevel="0" collapsed="false">
      <c r="A23" s="24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87" workbookViewId="0">
      <selection pane="topLeft" activeCell="C9" activeCellId="0" sqref="C9"/>
    </sheetView>
  </sheetViews>
  <sheetFormatPr defaultColWidth="9.1484375" defaultRowHeight="15.75" zeroHeight="false" outlineLevelRow="0" outlineLevelCol="0"/>
  <cols>
    <col collapsed="false" customWidth="true" hidden="false" outlineLevel="0" max="1" min="1" style="33" width="4.57"/>
    <col collapsed="false" customWidth="true" hidden="false" outlineLevel="0" max="2" min="2" style="33" width="57.71"/>
    <col collapsed="false" customWidth="true" hidden="false" outlineLevel="0" max="3" min="3" style="33" width="11.29"/>
    <col collapsed="false" customWidth="false" hidden="false" outlineLevel="0" max="4" min="4" style="33" width="9.14"/>
    <col collapsed="false" customWidth="true" hidden="false" outlineLevel="0" max="5" min="5" style="33" width="11.57"/>
    <col collapsed="false" customWidth="true" hidden="false" outlineLevel="0" max="6" min="6" style="33" width="12.42"/>
    <col collapsed="false" customWidth="true" hidden="false" outlineLevel="0" max="7" min="7" style="33" width="13.57"/>
    <col collapsed="false" customWidth="true" hidden="false" outlineLevel="0" max="8" min="8" style="33" width="12.86"/>
    <col collapsed="false" customWidth="true" hidden="false" outlineLevel="0" max="9" min="9" style="33" width="13.15"/>
    <col collapsed="false" customWidth="true" hidden="false" outlineLevel="0" max="10" min="10" style="33" width="9.57"/>
    <col collapsed="false" customWidth="true" hidden="false" outlineLevel="0" max="11" min="11" style="33" width="12.15"/>
    <col collapsed="false" customWidth="true" hidden="false" outlineLevel="0" max="12" min="12" style="33" width="11.14"/>
    <col collapsed="false" customWidth="true" hidden="false" outlineLevel="0" max="13" min="13" style="33" width="10.85"/>
    <col collapsed="false" customWidth="true" hidden="false" outlineLevel="0" max="14" min="14" style="33" width="10.42"/>
    <col collapsed="false" customWidth="false" hidden="false" outlineLevel="0" max="16384" min="15" style="33" width="9.14"/>
  </cols>
  <sheetData>
    <row r="1" customFormat="false" ht="29.85" hidden="false" customHeight="false" outlineLevel="0" collapsed="false">
      <c r="A1" s="34" t="s">
        <v>35</v>
      </c>
      <c r="B1" s="35" t="s">
        <v>36</v>
      </c>
      <c r="C1" s="34" t="s">
        <v>37</v>
      </c>
      <c r="D1" s="34" t="s">
        <v>38</v>
      </c>
      <c r="E1" s="34" t="s">
        <v>72</v>
      </c>
      <c r="F1" s="34" t="s">
        <v>73</v>
      </c>
      <c r="G1" s="34" t="s">
        <v>74</v>
      </c>
      <c r="H1" s="34" t="s">
        <v>75</v>
      </c>
      <c r="I1" s="34" t="s">
        <v>39</v>
      </c>
      <c r="J1" s="34" t="s">
        <v>40</v>
      </c>
      <c r="K1" s="34" t="s">
        <v>41</v>
      </c>
      <c r="L1" s="34" t="s">
        <v>42</v>
      </c>
      <c r="M1" s="34" t="s">
        <v>43</v>
      </c>
      <c r="N1" s="34"/>
    </row>
    <row r="2" s="38" customFormat="true" ht="15.75" hidden="false" customHeight="false" outlineLevel="0" collapsed="false">
      <c r="A2" s="36" t="n">
        <v>1</v>
      </c>
      <c r="B2" s="37" t="s">
        <v>45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7" t="n">
        <v>36275148</v>
      </c>
    </row>
    <row r="3" s="38" customFormat="true" ht="15.75" hidden="false" customHeight="false" outlineLevel="0" collapsed="false">
      <c r="A3" s="36" t="n">
        <v>2</v>
      </c>
      <c r="B3" s="37" t="s">
        <v>46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 t="n">
        <v>13540974</v>
      </c>
      <c r="O3" s="38" t="s">
        <v>47</v>
      </c>
    </row>
    <row r="4" s="38" customFormat="true" ht="15.75" hidden="false" customHeight="false" outlineLevel="0" collapsed="false">
      <c r="A4" s="36" t="n">
        <v>3</v>
      </c>
      <c r="B4" s="37" t="s">
        <v>48</v>
      </c>
      <c r="C4" s="36" t="s">
        <v>49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7" t="n">
        <v>33979629</v>
      </c>
      <c r="O4" s="38" t="s">
        <v>47</v>
      </c>
    </row>
    <row r="5" s="38" customFormat="true" ht="15.75" hidden="false" customHeight="false" outlineLevel="0" collapsed="false">
      <c r="A5" s="36" t="n">
        <v>4</v>
      </c>
      <c r="B5" s="37" t="s">
        <v>50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7" t="n">
        <v>72641824</v>
      </c>
      <c r="O5" s="38" t="s">
        <v>47</v>
      </c>
    </row>
    <row r="6" s="38" customFormat="true" ht="15.75" hidden="false" customHeight="false" outlineLevel="0" collapsed="false">
      <c r="A6" s="36" t="n">
        <v>5</v>
      </c>
      <c r="B6" s="37" t="s">
        <v>51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7" t="n">
        <v>84564973</v>
      </c>
      <c r="O6" s="38" t="s">
        <v>47</v>
      </c>
    </row>
    <row r="7" s="38" customFormat="true" ht="15.75" hidden="false" customHeight="false" outlineLevel="0" collapsed="false">
      <c r="A7" s="36" t="n">
        <v>6</v>
      </c>
      <c r="B7" s="37" t="s">
        <v>52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7" t="n">
        <v>45313285</v>
      </c>
    </row>
    <row r="8" s="38" customFormat="true" ht="15.75" hidden="false" customHeight="false" outlineLevel="0" collapsed="false">
      <c r="A8" s="36" t="n">
        <v>7</v>
      </c>
      <c r="B8" s="37" t="s">
        <v>53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7" t="n">
        <v>88700206</v>
      </c>
    </row>
    <row r="9" s="38" customFormat="true" ht="15.75" hidden="false" customHeight="false" outlineLevel="0" collapsed="false">
      <c r="A9" s="36" t="n">
        <v>8</v>
      </c>
      <c r="B9" s="37" t="s">
        <v>54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 t="n">
        <v>86722119</v>
      </c>
    </row>
    <row r="10" s="38" customFormat="true" ht="15.75" hidden="false" customHeight="false" outlineLevel="0" collapsed="false">
      <c r="A10" s="36" t="n">
        <v>9</v>
      </c>
      <c r="B10" s="37" t="s">
        <v>55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7" t="n">
        <v>35324962</v>
      </c>
    </row>
    <row r="11" s="38" customFormat="true" ht="15.75" hidden="false" customHeight="false" outlineLevel="0" collapsed="false">
      <c r="A11" s="36" t="n">
        <v>10</v>
      </c>
      <c r="B11" s="37" t="s">
        <v>56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7" t="n">
        <v>100186</v>
      </c>
      <c r="O11" s="38" t="s">
        <v>47</v>
      </c>
    </row>
    <row r="12" s="38" customFormat="true" ht="15.75" hidden="false" customHeight="false" outlineLevel="0" collapsed="false">
      <c r="A12" s="36" t="n">
        <v>11</v>
      </c>
      <c r="B12" s="37" t="s">
        <v>57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n">
        <v>50995539</v>
      </c>
    </row>
    <row r="13" s="38" customFormat="true" ht="15.75" hidden="false" customHeight="false" outlineLevel="0" collapsed="false">
      <c r="A13" s="36" t="n">
        <v>12</v>
      </c>
      <c r="B13" s="37" t="s">
        <v>58</v>
      </c>
      <c r="C13" s="36" t="s">
        <v>59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 t="n">
        <v>100186</v>
      </c>
    </row>
    <row r="14" s="38" customFormat="true" ht="15.75" hidden="false" customHeight="false" outlineLevel="0" collapsed="false">
      <c r="A14" s="36" t="n">
        <v>13</v>
      </c>
      <c r="B14" s="37" t="s">
        <v>60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 t="n">
        <v>100186</v>
      </c>
    </row>
    <row r="15" s="38" customFormat="true" ht="15.75" hidden="false" customHeight="false" outlineLevel="0" collapsed="false">
      <c r="A15" s="36" t="n">
        <v>14</v>
      </c>
      <c r="B15" s="37" t="s">
        <v>61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 t="n">
        <v>100186</v>
      </c>
    </row>
    <row r="16" s="38" customFormat="true" ht="15.75" hidden="false" customHeight="false" outlineLevel="0" collapsed="false">
      <c r="A16" s="36" t="n">
        <v>15</v>
      </c>
      <c r="B16" s="37" t="s">
        <v>62</v>
      </c>
      <c r="C16" s="36" t="s">
        <v>49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n">
        <v>34406143</v>
      </c>
    </row>
    <row r="17" s="38" customFormat="true" ht="15.75" hidden="false" customHeight="false" outlineLevel="0" collapsed="false">
      <c r="A17" s="36" t="n">
        <v>16</v>
      </c>
      <c r="B17" s="37" t="s">
        <v>63</v>
      </c>
      <c r="C17" s="36"/>
      <c r="D17" s="36"/>
      <c r="E17" s="36" t="s">
        <v>78</v>
      </c>
      <c r="F17" s="36"/>
      <c r="G17" s="36" t="s">
        <v>78</v>
      </c>
      <c r="H17" s="36" t="s">
        <v>78</v>
      </c>
      <c r="I17" s="36"/>
      <c r="J17" s="36"/>
      <c r="K17" s="36"/>
      <c r="L17" s="36"/>
      <c r="M17" s="36"/>
      <c r="N17" s="37" t="n">
        <v>23956654</v>
      </c>
    </row>
    <row r="18" s="38" customFormat="true" ht="15.75" hidden="false" customHeight="false" outlineLevel="0" collapsed="false">
      <c r="A18" s="36" t="n">
        <v>18</v>
      </c>
      <c r="B18" s="39" t="s">
        <v>79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7" t="n">
        <v>100186</v>
      </c>
    </row>
    <row r="19" s="38" customFormat="true" ht="15.75" hidden="false" customHeight="false" outlineLevel="0" collapsed="false">
      <c r="A19" s="36" t="n">
        <v>19</v>
      </c>
      <c r="B19" s="38" t="s">
        <v>82</v>
      </c>
    </row>
    <row r="20" customFormat="false" ht="15.75" hidden="false" customHeight="true" outlineLevel="0" collapsed="false">
      <c r="A20" s="34" t="n">
        <v>17</v>
      </c>
      <c r="B20" s="20" t="s">
        <v>68</v>
      </c>
      <c r="C20" s="25" t="s">
        <v>69</v>
      </c>
      <c r="D20" s="25"/>
      <c r="E20" s="30"/>
      <c r="F20" s="30"/>
      <c r="G20" s="30"/>
      <c r="H20" s="30"/>
      <c r="I20" s="31"/>
      <c r="J20" s="31"/>
      <c r="K20" s="31"/>
      <c r="L20" s="31"/>
      <c r="M20" s="31"/>
      <c r="N20" s="27" t="n">
        <v>100186</v>
      </c>
    </row>
  </sheetData>
  <mergeCells count="1">
    <mergeCell ref="C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29"/>
    <col collapsed="false" customWidth="true" hidden="false" outlineLevel="0" max="10" min="10" style="0" width="11.29"/>
  </cols>
  <sheetData>
    <row r="1" customFormat="false" ht="38.25" hidden="false" customHeight="true" outlineLevel="0" collapsed="false">
      <c r="A1" s="40"/>
      <c r="B1" s="5" t="s">
        <v>83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5" t="s">
        <v>90</v>
      </c>
      <c r="J1" s="5" t="s">
        <v>91</v>
      </c>
      <c r="K1" s="5" t="s">
        <v>92</v>
      </c>
      <c r="L1" s="5" t="s">
        <v>93</v>
      </c>
      <c r="M1" s="5" t="s">
        <v>94</v>
      </c>
    </row>
    <row r="2" customFormat="false" ht="15" hidden="false" customHeight="false" outlineLevel="0" collapsed="false">
      <c r="A2" s="41" t="s">
        <v>95</v>
      </c>
      <c r="B2" s="42"/>
      <c r="C2" s="42"/>
      <c r="D2" s="42"/>
      <c r="E2" s="42"/>
      <c r="F2" s="43"/>
      <c r="G2" s="43"/>
      <c r="H2" s="43"/>
      <c r="I2" s="43"/>
      <c r="J2" s="43"/>
      <c r="K2" s="43"/>
      <c r="L2" s="43"/>
      <c r="M2" s="43"/>
      <c r="N2" s="44"/>
    </row>
    <row r="3" customFormat="false" ht="15" hidden="false" customHeight="false" outlineLevel="0" collapsed="false">
      <c r="A3" s="41" t="s">
        <v>96</v>
      </c>
      <c r="B3" s="42"/>
      <c r="C3" s="42"/>
      <c r="D3" s="42"/>
      <c r="E3" s="42"/>
      <c r="F3" s="43"/>
      <c r="G3" s="43"/>
      <c r="H3" s="43"/>
      <c r="I3" s="43"/>
      <c r="J3" s="43"/>
      <c r="K3" s="43"/>
      <c r="L3" s="43"/>
      <c r="M3" s="43"/>
      <c r="N3" s="44"/>
    </row>
    <row r="4" customFormat="false" ht="15" hidden="false" customHeight="false" outlineLevel="0" collapsed="false">
      <c r="A4" s="41" t="s">
        <v>97</v>
      </c>
      <c r="B4" s="42"/>
      <c r="C4" s="42"/>
      <c r="D4" s="42"/>
      <c r="E4" s="42"/>
      <c r="F4" s="43"/>
      <c r="G4" s="43"/>
      <c r="H4" s="43"/>
      <c r="I4" s="43"/>
      <c r="J4" s="43"/>
      <c r="K4" s="43"/>
      <c r="L4" s="43"/>
      <c r="M4" s="43"/>
      <c r="N4" s="44"/>
    </row>
    <row r="5" customFormat="false" ht="15" hidden="false" customHeight="false" outlineLevel="0" collapsed="false">
      <c r="A5" s="41" t="s">
        <v>98</v>
      </c>
      <c r="B5" s="42"/>
      <c r="C5" s="42"/>
      <c r="D5" s="42"/>
      <c r="E5" s="42"/>
      <c r="F5" s="43"/>
      <c r="G5" s="43"/>
      <c r="H5" s="43"/>
      <c r="I5" s="43"/>
      <c r="J5" s="43"/>
      <c r="K5" s="43"/>
      <c r="L5" s="43"/>
      <c r="M5" s="43"/>
      <c r="N5" s="44"/>
    </row>
    <row r="8" customFormat="false" ht="15" hidden="false" customHeight="false" outlineLevel="0" collapsed="false">
      <c r="A8" s="45" t="n">
        <v>100186</v>
      </c>
      <c r="B8" s="45"/>
      <c r="C8" s="45"/>
      <c r="D8" s="45"/>
      <c r="E8" s="45"/>
      <c r="F8" s="45"/>
    </row>
    <row r="9" customFormat="false" ht="15" hidden="false" customHeight="false" outlineLevel="0" collapsed="false">
      <c r="A9" s="45"/>
      <c r="B9" s="45"/>
      <c r="C9" s="45"/>
      <c r="D9" s="45"/>
      <c r="E9" s="45"/>
      <c r="F9" s="45"/>
    </row>
    <row r="10" customFormat="false" ht="15" hidden="false" customHeight="false" outlineLevel="0" collapsed="false">
      <c r="A10" s="45"/>
      <c r="B10" s="45"/>
      <c r="C10" s="45"/>
      <c r="D10" s="45"/>
      <c r="E10" s="45"/>
      <c r="F10" s="45"/>
    </row>
    <row r="11" customFormat="false" ht="15" hidden="false" customHeight="false" outlineLevel="0" collapsed="false">
      <c r="A11" s="45"/>
      <c r="B11" s="45"/>
      <c r="C11" s="45"/>
      <c r="D11" s="45"/>
      <c r="E11" s="45"/>
      <c r="F11" s="45"/>
    </row>
  </sheetData>
  <mergeCells count="1">
    <mergeCell ref="A8:F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97"/>
  <sheetViews>
    <sheetView showFormulas="false" showGridLines="true" showRowColHeaders="true" showZeros="true" rightToLeft="false" tabSelected="false" showOutlineSymbols="true" defaultGridColor="true" view="normal" topLeftCell="A68" colorId="64" zoomScale="85" zoomScaleNormal="85" zoomScalePageLayoutView="100" workbookViewId="0">
      <selection pane="topLeft" activeCell="B1" activeCellId="0" sqref="B1"/>
    </sheetView>
  </sheetViews>
  <sheetFormatPr defaultColWidth="9.1484375" defaultRowHeight="18.75" zeroHeight="false" outlineLevelRow="0" outlineLevelCol="0"/>
  <cols>
    <col collapsed="false" customWidth="true" hidden="false" outlineLevel="0" max="1" min="1" style="24" width="6"/>
    <col collapsed="false" customWidth="true" hidden="false" outlineLevel="0" max="2" min="2" style="24" width="46.71"/>
    <col collapsed="false" customWidth="true" hidden="false" outlineLevel="0" max="3" min="3" style="24" width="17.57"/>
    <col collapsed="false" customWidth="true" hidden="false" outlineLevel="0" max="4" min="4" style="46" width="19.57"/>
    <col collapsed="false" customWidth="true" hidden="false" outlineLevel="0" max="5" min="5" style="24" width="23.29"/>
    <col collapsed="false" customWidth="true" hidden="false" outlineLevel="0" max="6" min="6" style="24" width="94.15"/>
    <col collapsed="false" customWidth="true" hidden="false" outlineLevel="0" max="7" min="7" style="24" width="75.29"/>
    <col collapsed="false" customWidth="false" hidden="false" outlineLevel="0" max="16384" min="8" style="24" width="9.14"/>
  </cols>
  <sheetData>
    <row r="1" s="49" customFormat="true" ht="18.75" hidden="false" customHeight="false" outlineLevel="0" collapsed="false">
      <c r="A1" s="47" t="s">
        <v>35</v>
      </c>
      <c r="B1" s="47" t="s">
        <v>36</v>
      </c>
      <c r="C1" s="47" t="s">
        <v>99</v>
      </c>
      <c r="D1" s="48" t="s">
        <v>100</v>
      </c>
      <c r="E1" s="47"/>
      <c r="F1" s="47" t="s">
        <v>101</v>
      </c>
      <c r="G1" s="47"/>
    </row>
    <row r="2" customFormat="false" ht="18.75" hidden="true" customHeight="false" outlineLevel="0" collapsed="false">
      <c r="A2" s="50" t="n">
        <v>1</v>
      </c>
      <c r="B2" s="51" t="s">
        <v>102</v>
      </c>
      <c r="C2" s="51" t="n">
        <v>206155668</v>
      </c>
      <c r="D2" s="52" t="s">
        <v>103</v>
      </c>
      <c r="E2" s="53"/>
      <c r="F2" s="54" t="s">
        <v>104</v>
      </c>
      <c r="G2" s="50"/>
    </row>
    <row r="3" customFormat="false" ht="18.75" hidden="false" customHeight="false" outlineLevel="0" collapsed="false">
      <c r="A3" s="50" t="n">
        <v>2</v>
      </c>
      <c r="B3" s="51" t="s">
        <v>105</v>
      </c>
      <c r="C3" s="51" t="n">
        <v>206450634</v>
      </c>
      <c r="D3" s="52" t="s">
        <v>106</v>
      </c>
      <c r="E3" s="55"/>
      <c r="F3" s="50"/>
      <c r="G3" s="50"/>
    </row>
    <row r="4" customFormat="false" ht="18.75" hidden="false" customHeight="false" outlineLevel="0" collapsed="false">
      <c r="A4" s="50" t="n">
        <v>3</v>
      </c>
      <c r="B4" s="56" t="s">
        <v>107</v>
      </c>
      <c r="C4" s="56" t="n">
        <v>302813323</v>
      </c>
      <c r="D4" s="57" t="s">
        <v>106</v>
      </c>
      <c r="E4" s="50"/>
      <c r="F4" s="50"/>
      <c r="G4" s="50"/>
    </row>
    <row r="5" customFormat="false" ht="18.75" hidden="true" customHeight="false" outlineLevel="0" collapsed="false">
      <c r="A5" s="50" t="n">
        <v>4</v>
      </c>
      <c r="B5" s="51" t="s">
        <v>108</v>
      </c>
      <c r="C5" s="51" t="n">
        <v>303408381</v>
      </c>
      <c r="D5" s="52" t="s">
        <v>103</v>
      </c>
      <c r="E5" s="50"/>
      <c r="F5" s="50"/>
      <c r="G5" s="50"/>
    </row>
    <row r="6" customFormat="false" ht="18.75" hidden="true" customHeight="false" outlineLevel="0" collapsed="false">
      <c r="A6" s="50" t="n">
        <v>5</v>
      </c>
      <c r="B6" s="51" t="s">
        <v>109</v>
      </c>
      <c r="C6" s="51" t="n">
        <v>304107369</v>
      </c>
      <c r="D6" s="52" t="s">
        <v>103</v>
      </c>
      <c r="E6" s="53"/>
      <c r="F6" s="50"/>
      <c r="G6" s="50"/>
    </row>
    <row r="7" customFormat="false" ht="18.75" hidden="false" customHeight="false" outlineLevel="0" collapsed="false">
      <c r="A7" s="50" t="n">
        <v>6</v>
      </c>
      <c r="B7" s="51" t="s">
        <v>110</v>
      </c>
      <c r="C7" s="51" t="n">
        <v>304384359</v>
      </c>
      <c r="D7" s="52" t="s">
        <v>106</v>
      </c>
      <c r="E7" s="53"/>
      <c r="F7" s="58" t="s">
        <v>104</v>
      </c>
      <c r="G7" s="50"/>
    </row>
    <row r="8" customFormat="false" ht="18.75" hidden="false" customHeight="false" outlineLevel="0" collapsed="false">
      <c r="A8" s="50" t="n">
        <v>7</v>
      </c>
      <c r="B8" s="56" t="s">
        <v>111</v>
      </c>
      <c r="C8" s="56" t="n">
        <v>304459144</v>
      </c>
      <c r="D8" s="57" t="s">
        <v>106</v>
      </c>
      <c r="E8" s="53"/>
      <c r="F8" s="59" t="s">
        <v>104</v>
      </c>
      <c r="G8" s="50"/>
      <c r="J8" s="60"/>
    </row>
    <row r="9" customFormat="false" ht="18.75" hidden="true" customHeight="false" outlineLevel="0" collapsed="false">
      <c r="A9" s="50" t="n">
        <v>8</v>
      </c>
      <c r="B9" s="51" t="s">
        <v>112</v>
      </c>
      <c r="C9" s="51" t="n">
        <v>304632864</v>
      </c>
      <c r="D9" s="57" t="s">
        <v>103</v>
      </c>
      <c r="E9" s="53"/>
      <c r="F9" s="61" t="s">
        <v>104</v>
      </c>
      <c r="G9" s="50"/>
    </row>
    <row r="10" customFormat="false" ht="18.75" hidden="true" customHeight="false" outlineLevel="0" collapsed="false">
      <c r="A10" s="50" t="n">
        <v>9</v>
      </c>
      <c r="B10" s="51" t="s">
        <v>113</v>
      </c>
      <c r="C10" s="51" t="n">
        <v>304801376</v>
      </c>
      <c r="D10" s="52" t="s">
        <v>103</v>
      </c>
      <c r="E10" s="55"/>
      <c r="F10" s="50"/>
      <c r="G10" s="50"/>
    </row>
    <row r="11" customFormat="false" ht="18.75" hidden="true" customHeight="false" outlineLevel="0" collapsed="false">
      <c r="A11" s="50" t="n">
        <v>10</v>
      </c>
      <c r="B11" s="51" t="s">
        <v>114</v>
      </c>
      <c r="C11" s="51" t="n">
        <v>304825630</v>
      </c>
      <c r="D11" s="52" t="s">
        <v>103</v>
      </c>
      <c r="E11" s="53"/>
      <c r="F11" s="54" t="s">
        <v>104</v>
      </c>
      <c r="G11" s="50"/>
    </row>
    <row r="12" customFormat="false" ht="18.75" hidden="true" customHeight="false" outlineLevel="0" collapsed="false">
      <c r="A12" s="50" t="n">
        <v>11</v>
      </c>
      <c r="B12" s="51" t="s">
        <v>115</v>
      </c>
      <c r="C12" s="51" t="n">
        <v>305099119</v>
      </c>
      <c r="D12" s="57" t="s">
        <v>103</v>
      </c>
      <c r="E12" s="53"/>
      <c r="F12" s="61" t="s">
        <v>104</v>
      </c>
      <c r="G12" s="50"/>
    </row>
    <row r="13" customFormat="false" ht="18.75" hidden="true" customHeight="false" outlineLevel="0" collapsed="false">
      <c r="A13" s="50" t="n">
        <v>12</v>
      </c>
      <c r="B13" s="51" t="s">
        <v>116</v>
      </c>
      <c r="C13" s="51" t="n">
        <v>305133922</v>
      </c>
      <c r="D13" s="52" t="s">
        <v>103</v>
      </c>
      <c r="E13" s="53"/>
      <c r="F13" s="54" t="s">
        <v>104</v>
      </c>
      <c r="G13" s="50"/>
    </row>
    <row r="14" customFormat="false" ht="18.75" hidden="true" customHeight="false" outlineLevel="0" collapsed="false">
      <c r="A14" s="50" t="n">
        <v>13</v>
      </c>
      <c r="B14" s="51" t="s">
        <v>117</v>
      </c>
      <c r="C14" s="51" t="n">
        <v>305150198</v>
      </c>
      <c r="D14" s="52" t="s">
        <v>103</v>
      </c>
      <c r="E14" s="53"/>
      <c r="F14" s="54" t="s">
        <v>104</v>
      </c>
      <c r="G14" s="50"/>
      <c r="K14" s="60"/>
    </row>
    <row r="15" customFormat="false" ht="18.75" hidden="true" customHeight="false" outlineLevel="0" collapsed="false">
      <c r="A15" s="50" t="n">
        <v>14</v>
      </c>
      <c r="B15" s="51" t="s">
        <v>118</v>
      </c>
      <c r="C15" s="51" t="n">
        <v>305502390</v>
      </c>
      <c r="D15" s="52" t="s">
        <v>103</v>
      </c>
      <c r="E15" s="55"/>
      <c r="F15" s="50"/>
      <c r="G15" s="50"/>
    </row>
    <row r="16" customFormat="false" ht="18.75" hidden="true" customHeight="false" outlineLevel="0" collapsed="false">
      <c r="A16" s="50" t="n">
        <v>15</v>
      </c>
      <c r="B16" s="51" t="s">
        <v>119</v>
      </c>
      <c r="C16" s="51" t="n">
        <v>305610162</v>
      </c>
      <c r="D16" s="52" t="s">
        <v>103</v>
      </c>
      <c r="E16" s="55"/>
      <c r="F16" s="50"/>
      <c r="G16" s="50"/>
    </row>
    <row r="17" customFormat="false" ht="18.75" hidden="false" customHeight="false" outlineLevel="0" collapsed="false">
      <c r="A17" s="50" t="n">
        <v>16</v>
      </c>
      <c r="B17" s="51" t="s">
        <v>120</v>
      </c>
      <c r="C17" s="51" t="n">
        <v>305630035</v>
      </c>
      <c r="D17" s="52" t="s">
        <v>106</v>
      </c>
      <c r="E17" s="53"/>
      <c r="F17" s="54" t="s">
        <v>104</v>
      </c>
      <c r="G17" s="50"/>
    </row>
    <row r="18" customFormat="false" ht="18.75" hidden="true" customHeight="false" outlineLevel="0" collapsed="false">
      <c r="A18" s="50" t="n">
        <v>17</v>
      </c>
      <c r="B18" s="51" t="s">
        <v>121</v>
      </c>
      <c r="C18" s="51" t="n">
        <v>305713761</v>
      </c>
      <c r="D18" s="52" t="s">
        <v>103</v>
      </c>
      <c r="E18" s="53"/>
      <c r="F18" s="54" t="s">
        <v>104</v>
      </c>
      <c r="G18" s="50"/>
    </row>
    <row r="19" customFormat="false" ht="18.75" hidden="true" customHeight="false" outlineLevel="0" collapsed="false">
      <c r="A19" s="50" t="n">
        <v>18</v>
      </c>
      <c r="B19" s="51" t="s">
        <v>122</v>
      </c>
      <c r="C19" s="51" t="n">
        <v>305804094</v>
      </c>
      <c r="D19" s="52" t="s">
        <v>103</v>
      </c>
      <c r="E19" s="55"/>
      <c r="F19" s="50"/>
      <c r="G19" s="50"/>
    </row>
    <row r="20" customFormat="false" ht="18.75" hidden="false" customHeight="false" outlineLevel="0" collapsed="false">
      <c r="A20" s="50" t="n">
        <v>19</v>
      </c>
      <c r="B20" s="62" t="s">
        <v>123</v>
      </c>
      <c r="C20" s="62" t="n">
        <v>305883924</v>
      </c>
      <c r="D20" s="63" t="s">
        <v>106</v>
      </c>
      <c r="E20" s="64"/>
      <c r="F20" s="54" t="s">
        <v>124</v>
      </c>
      <c r="G20" s="50"/>
    </row>
    <row r="21" customFormat="false" ht="18.75" hidden="false" customHeight="false" outlineLevel="0" collapsed="false">
      <c r="A21" s="50" t="n">
        <v>20</v>
      </c>
      <c r="B21" s="51" t="s">
        <v>125</v>
      </c>
      <c r="C21" s="51" t="n">
        <v>305979201</v>
      </c>
      <c r="D21" s="52" t="s">
        <v>106</v>
      </c>
      <c r="E21" s="53"/>
      <c r="F21" s="54" t="s">
        <v>126</v>
      </c>
      <c r="G21" s="50"/>
    </row>
    <row r="22" customFormat="false" ht="18.75" hidden="true" customHeight="false" outlineLevel="0" collapsed="false">
      <c r="A22" s="50" t="n">
        <v>21</v>
      </c>
      <c r="B22" s="51" t="s">
        <v>127</v>
      </c>
      <c r="C22" s="51" t="n">
        <v>306116238</v>
      </c>
      <c r="D22" s="52" t="s">
        <v>103</v>
      </c>
      <c r="E22" s="55"/>
      <c r="F22" s="65"/>
      <c r="G22" s="50"/>
    </row>
    <row r="23" customFormat="false" ht="18.75" hidden="true" customHeight="false" outlineLevel="0" collapsed="false">
      <c r="A23" s="50" t="n">
        <v>22</v>
      </c>
      <c r="B23" s="51" t="s">
        <v>128</v>
      </c>
      <c r="C23" s="51" t="n">
        <v>306166287</v>
      </c>
      <c r="D23" s="52" t="s">
        <v>103</v>
      </c>
      <c r="E23" s="55"/>
      <c r="F23" s="66"/>
      <c r="G23" s="50"/>
    </row>
    <row r="24" customFormat="false" ht="18.75" hidden="true" customHeight="false" outlineLevel="0" collapsed="false">
      <c r="A24" s="50" t="n">
        <v>23</v>
      </c>
      <c r="B24" s="51" t="s">
        <v>129</v>
      </c>
      <c r="C24" s="51" t="n">
        <v>306214227</v>
      </c>
      <c r="D24" s="52" t="s">
        <v>103</v>
      </c>
      <c r="E24" s="67"/>
      <c r="F24" s="68"/>
      <c r="G24" s="50"/>
    </row>
    <row r="25" customFormat="false" ht="18.75" hidden="false" customHeight="false" outlineLevel="0" collapsed="false">
      <c r="A25" s="50" t="n">
        <v>24</v>
      </c>
      <c r="B25" s="51" t="s">
        <v>130</v>
      </c>
      <c r="C25" s="51" t="n">
        <v>306349905</v>
      </c>
      <c r="D25" s="52" t="s">
        <v>106</v>
      </c>
      <c r="E25" s="53"/>
      <c r="F25" s="54" t="s">
        <v>126</v>
      </c>
      <c r="G25" s="50"/>
    </row>
    <row r="26" customFormat="false" ht="18.75" hidden="true" customHeight="false" outlineLevel="0" collapsed="false">
      <c r="A26" s="50" t="n">
        <v>25</v>
      </c>
      <c r="B26" s="51" t="s">
        <v>131</v>
      </c>
      <c r="C26" s="51" t="n">
        <v>306372744</v>
      </c>
      <c r="D26" s="52" t="s">
        <v>103</v>
      </c>
      <c r="E26" s="55"/>
      <c r="F26" s="50"/>
      <c r="G26" s="50"/>
    </row>
    <row r="27" customFormat="false" ht="18.75" hidden="true" customHeight="false" outlineLevel="0" collapsed="false">
      <c r="A27" s="50" t="n">
        <v>26</v>
      </c>
      <c r="B27" s="51" t="s">
        <v>132</v>
      </c>
      <c r="C27" s="51" t="n">
        <v>306382810</v>
      </c>
      <c r="D27" s="52" t="s">
        <v>103</v>
      </c>
      <c r="E27" s="69"/>
      <c r="F27" s="70"/>
      <c r="G27" s="70"/>
    </row>
    <row r="28" customFormat="false" ht="18.75" hidden="false" customHeight="false" outlineLevel="0" collapsed="false">
      <c r="A28" s="50" t="n">
        <v>27</v>
      </c>
      <c r="B28" s="51" t="s">
        <v>133</v>
      </c>
      <c r="C28" s="51" t="n">
        <v>306700191</v>
      </c>
      <c r="D28" s="52" t="s">
        <v>106</v>
      </c>
      <c r="E28" s="71"/>
      <c r="F28" s="72" t="s">
        <v>126</v>
      </c>
      <c r="G28" s="70"/>
    </row>
    <row r="29" customFormat="false" ht="18.75" hidden="true" customHeight="false" outlineLevel="0" collapsed="false">
      <c r="A29" s="50" t="n">
        <v>28</v>
      </c>
      <c r="B29" s="51" t="s">
        <v>134</v>
      </c>
      <c r="C29" s="51" t="n">
        <v>306774385</v>
      </c>
      <c r="D29" s="52" t="s">
        <v>103</v>
      </c>
      <c r="E29" s="55"/>
      <c r="F29" s="50"/>
      <c r="G29" s="50"/>
    </row>
    <row r="30" customFormat="false" ht="18.75" hidden="true" customHeight="false" outlineLevel="0" collapsed="false">
      <c r="A30" s="50" t="n">
        <v>29</v>
      </c>
      <c r="B30" s="56" t="s">
        <v>135</v>
      </c>
      <c r="C30" s="51" t="n">
        <v>306784151</v>
      </c>
      <c r="D30" s="52" t="s">
        <v>103</v>
      </c>
      <c r="E30" s="55"/>
      <c r="F30" s="50"/>
      <c r="G30" s="50"/>
    </row>
    <row r="31" customFormat="false" ht="22.35" hidden="false" customHeight="false" outlineLevel="0" collapsed="false">
      <c r="A31" s="50" t="n">
        <v>30</v>
      </c>
      <c r="B31" s="73" t="s">
        <v>136</v>
      </c>
      <c r="C31" s="51" t="n">
        <v>306865683</v>
      </c>
      <c r="D31" s="52" t="s">
        <v>106</v>
      </c>
      <c r="E31" s="64"/>
      <c r="F31" s="54" t="s">
        <v>137</v>
      </c>
      <c r="G31" s="50"/>
    </row>
    <row r="32" customFormat="false" ht="18.75" hidden="false" customHeight="false" outlineLevel="0" collapsed="false">
      <c r="A32" s="50" t="n">
        <v>31</v>
      </c>
      <c r="B32" s="51" t="s">
        <v>138</v>
      </c>
      <c r="C32" s="51" t="n">
        <v>306911088</v>
      </c>
      <c r="D32" s="52" t="s">
        <v>106</v>
      </c>
      <c r="E32" s="53"/>
      <c r="F32" s="74" t="s">
        <v>126</v>
      </c>
      <c r="G32" s="50"/>
    </row>
    <row r="33" customFormat="false" ht="18.75" hidden="false" customHeight="false" outlineLevel="0" collapsed="false">
      <c r="A33" s="50" t="n">
        <v>32</v>
      </c>
      <c r="B33" s="75" t="s">
        <v>139</v>
      </c>
      <c r="C33" s="51" t="n">
        <v>306924332</v>
      </c>
      <c r="D33" s="52" t="s">
        <v>106</v>
      </c>
      <c r="E33" s="55"/>
      <c r="F33" s="50"/>
      <c r="G33" s="50"/>
    </row>
    <row r="34" customFormat="false" ht="26.85" hidden="false" customHeight="false" outlineLevel="0" collapsed="false">
      <c r="A34" s="50" t="n">
        <v>33</v>
      </c>
      <c r="B34" s="76" t="s">
        <v>140</v>
      </c>
      <c r="C34" s="51" t="n">
        <v>307051200</v>
      </c>
      <c r="D34" s="52" t="s">
        <v>106</v>
      </c>
      <c r="E34" s="53"/>
      <c r="F34" s="74" t="s">
        <v>104</v>
      </c>
      <c r="G34" s="50"/>
    </row>
    <row r="35" customFormat="false" ht="18.75" hidden="true" customHeight="false" outlineLevel="0" collapsed="false">
      <c r="A35" s="50" t="n">
        <v>34</v>
      </c>
      <c r="B35" s="51" t="s">
        <v>141</v>
      </c>
      <c r="C35" s="51" t="n">
        <v>307058508</v>
      </c>
      <c r="D35" s="52" t="s">
        <v>103</v>
      </c>
      <c r="E35" s="53"/>
      <c r="F35" s="54" t="s">
        <v>104</v>
      </c>
      <c r="G35" s="50"/>
    </row>
    <row r="36" customFormat="false" ht="18.75" hidden="true" customHeight="false" outlineLevel="0" collapsed="false">
      <c r="A36" s="50" t="n">
        <v>35</v>
      </c>
      <c r="B36" s="51" t="s">
        <v>142</v>
      </c>
      <c r="C36" s="51" t="n">
        <v>307101819</v>
      </c>
      <c r="D36" s="52" t="s">
        <v>103</v>
      </c>
      <c r="E36" s="55"/>
      <c r="F36" s="50"/>
      <c r="G36" s="50"/>
    </row>
    <row r="37" customFormat="false" ht="18.75" hidden="true" customHeight="false" outlineLevel="0" collapsed="false">
      <c r="A37" s="50" t="n">
        <v>36</v>
      </c>
      <c r="B37" s="51" t="s">
        <v>143</v>
      </c>
      <c r="C37" s="51" t="n">
        <v>307205799</v>
      </c>
      <c r="D37" s="52" t="s">
        <v>103</v>
      </c>
      <c r="E37" s="53"/>
      <c r="F37" s="54" t="s">
        <v>126</v>
      </c>
      <c r="G37" s="50"/>
    </row>
    <row r="38" customFormat="false" ht="18.75" hidden="false" customHeight="false" outlineLevel="0" collapsed="false">
      <c r="A38" s="50" t="n">
        <v>37</v>
      </c>
      <c r="B38" s="51" t="s">
        <v>144</v>
      </c>
      <c r="C38" s="51" t="n">
        <v>307209437</v>
      </c>
      <c r="D38" s="52" t="s">
        <v>106</v>
      </c>
      <c r="E38" s="53"/>
      <c r="F38" s="54" t="s">
        <v>126</v>
      </c>
      <c r="G38" s="50"/>
    </row>
    <row r="39" customFormat="false" ht="18.75" hidden="false" customHeight="false" outlineLevel="0" collapsed="false">
      <c r="A39" s="50" t="n">
        <v>38</v>
      </c>
      <c r="B39" s="51" t="s">
        <v>145</v>
      </c>
      <c r="C39" s="51" t="n">
        <v>307446998</v>
      </c>
      <c r="D39" s="52" t="s">
        <v>106</v>
      </c>
      <c r="E39" s="53"/>
      <c r="F39" s="61" t="s">
        <v>126</v>
      </c>
      <c r="G39" s="50"/>
    </row>
    <row r="40" customFormat="false" ht="18.75" hidden="false" customHeight="false" outlineLevel="0" collapsed="false">
      <c r="A40" s="50" t="n">
        <v>39</v>
      </c>
      <c r="B40" s="75" t="s">
        <v>146</v>
      </c>
      <c r="C40" s="51" t="n">
        <v>307688389</v>
      </c>
      <c r="D40" s="52" t="s">
        <v>106</v>
      </c>
      <c r="E40" s="50"/>
      <c r="F40" s="50"/>
      <c r="G40" s="50"/>
    </row>
    <row r="41" customFormat="false" ht="18.75" hidden="false" customHeight="false" outlineLevel="0" collapsed="false">
      <c r="A41" s="50" t="n">
        <v>40</v>
      </c>
      <c r="B41" s="75" t="s">
        <v>147</v>
      </c>
      <c r="C41" s="51" t="n">
        <v>307821555</v>
      </c>
      <c r="D41" s="52" t="s">
        <v>106</v>
      </c>
      <c r="E41" s="64"/>
      <c r="F41" s="54" t="s">
        <v>124</v>
      </c>
      <c r="G41" s="50"/>
    </row>
    <row r="42" customFormat="false" ht="18.75" hidden="true" customHeight="false" outlineLevel="0" collapsed="false">
      <c r="A42" s="50" t="n">
        <v>41</v>
      </c>
      <c r="B42" s="51" t="s">
        <v>148</v>
      </c>
      <c r="C42" s="51" t="n">
        <v>307829726</v>
      </c>
      <c r="D42" s="52" t="s">
        <v>103</v>
      </c>
      <c r="E42" s="77"/>
      <c r="F42" s="54" t="s">
        <v>104</v>
      </c>
      <c r="G42" s="75"/>
    </row>
    <row r="43" customFormat="false" ht="18.75" hidden="false" customHeight="false" outlineLevel="0" collapsed="false">
      <c r="A43" s="50" t="n">
        <v>42</v>
      </c>
      <c r="B43" s="56" t="s">
        <v>149</v>
      </c>
      <c r="C43" s="51" t="n">
        <v>307947611</v>
      </c>
      <c r="D43" s="52" t="s">
        <v>106</v>
      </c>
      <c r="E43" s="77"/>
      <c r="F43" s="74" t="s">
        <v>126</v>
      </c>
      <c r="G43" s="75"/>
    </row>
    <row r="44" customFormat="false" ht="18.75" hidden="true" customHeight="false" outlineLevel="0" collapsed="false">
      <c r="A44" s="50" t="n">
        <v>43</v>
      </c>
      <c r="B44" s="51" t="s">
        <v>150</v>
      </c>
      <c r="C44" s="51" t="n">
        <v>308041046</v>
      </c>
      <c r="D44" s="52" t="s">
        <v>103</v>
      </c>
      <c r="E44" s="78"/>
      <c r="F44" s="75"/>
      <c r="G44" s="75"/>
    </row>
    <row r="45" customFormat="false" ht="18.75" hidden="true" customHeight="false" outlineLevel="0" collapsed="false">
      <c r="A45" s="50" t="n">
        <v>44</v>
      </c>
      <c r="B45" s="56" t="s">
        <v>151</v>
      </c>
      <c r="C45" s="51" t="n">
        <v>308113192</v>
      </c>
      <c r="D45" s="52" t="s">
        <v>103</v>
      </c>
      <c r="E45" s="77"/>
      <c r="F45" s="79" t="s">
        <v>126</v>
      </c>
      <c r="G45" s="75"/>
    </row>
    <row r="46" customFormat="false" ht="18.75" hidden="true" customHeight="false" outlineLevel="0" collapsed="false">
      <c r="A46" s="50" t="n">
        <v>45</v>
      </c>
      <c r="B46" s="51" t="s">
        <v>152</v>
      </c>
      <c r="C46" s="51" t="n">
        <v>308234589</v>
      </c>
      <c r="D46" s="52" t="s">
        <v>103</v>
      </c>
      <c r="E46" s="77"/>
      <c r="F46" s="54" t="s">
        <v>104</v>
      </c>
      <c r="G46" s="75"/>
    </row>
    <row r="47" customFormat="false" ht="18.75" hidden="false" customHeight="false" outlineLevel="0" collapsed="false">
      <c r="A47" s="50" t="n">
        <v>46</v>
      </c>
      <c r="B47" s="51" t="s">
        <v>153</v>
      </c>
      <c r="C47" s="51" t="n">
        <v>308334321</v>
      </c>
      <c r="D47" s="52" t="s">
        <v>106</v>
      </c>
      <c r="E47" s="77"/>
      <c r="F47" s="54" t="s">
        <v>126</v>
      </c>
      <c r="G47" s="75"/>
    </row>
    <row r="48" customFormat="false" ht="18.75" hidden="true" customHeight="false" outlineLevel="0" collapsed="false">
      <c r="A48" s="50" t="n">
        <v>47</v>
      </c>
      <c r="B48" s="51" t="s">
        <v>154</v>
      </c>
      <c r="C48" s="51" t="n">
        <v>308360630</v>
      </c>
      <c r="D48" s="52" t="s">
        <v>103</v>
      </c>
      <c r="E48" s="78"/>
      <c r="F48" s="75"/>
      <c r="G48" s="75"/>
    </row>
    <row r="49" customFormat="false" ht="18.75" hidden="true" customHeight="false" outlineLevel="0" collapsed="false">
      <c r="A49" s="50" t="n">
        <v>48</v>
      </c>
      <c r="B49" s="51" t="s">
        <v>155</v>
      </c>
      <c r="C49" s="51" t="n">
        <v>308383848</v>
      </c>
      <c r="D49" s="52" t="s">
        <v>103</v>
      </c>
      <c r="E49" s="77"/>
      <c r="F49" s="54" t="s">
        <v>104</v>
      </c>
      <c r="G49" s="75"/>
    </row>
    <row r="50" customFormat="false" ht="18.75" hidden="true" customHeight="false" outlineLevel="0" collapsed="false">
      <c r="A50" s="50" t="n">
        <v>49</v>
      </c>
      <c r="B50" s="51" t="s">
        <v>156</v>
      </c>
      <c r="C50" s="51" t="n">
        <v>308485585</v>
      </c>
      <c r="D50" s="63" t="s">
        <v>103</v>
      </c>
      <c r="E50" s="77"/>
      <c r="F50" s="54" t="s">
        <v>126</v>
      </c>
      <c r="G50" s="75"/>
    </row>
    <row r="51" customFormat="false" ht="18.75" hidden="false" customHeight="false" outlineLevel="0" collapsed="false">
      <c r="A51" s="50" t="n">
        <v>50</v>
      </c>
      <c r="B51" s="51" t="s">
        <v>157</v>
      </c>
      <c r="C51" s="51" t="n">
        <v>308543061</v>
      </c>
      <c r="D51" s="63" t="s">
        <v>106</v>
      </c>
      <c r="E51" s="75"/>
      <c r="F51" s="75"/>
      <c r="G51" s="75"/>
    </row>
    <row r="52" customFormat="false" ht="18.75" hidden="true" customHeight="false" outlineLevel="0" collapsed="false">
      <c r="A52" s="50" t="n">
        <v>51</v>
      </c>
      <c r="B52" s="80" t="s">
        <v>158</v>
      </c>
      <c r="C52" s="80" t="n">
        <v>308551052</v>
      </c>
      <c r="D52" s="81" t="s">
        <v>103</v>
      </c>
      <c r="E52" s="53"/>
      <c r="F52" s="54" t="s">
        <v>104</v>
      </c>
      <c r="G52" s="50"/>
    </row>
    <row r="53" customFormat="false" ht="18.75" hidden="true" customHeight="false" outlineLevel="0" collapsed="false">
      <c r="A53" s="50" t="n">
        <v>52</v>
      </c>
      <c r="B53" s="80" t="s">
        <v>159</v>
      </c>
      <c r="C53" s="82" t="n">
        <v>308678384</v>
      </c>
      <c r="D53" s="81" t="s">
        <v>103</v>
      </c>
      <c r="E53" s="32"/>
      <c r="F53" s="54" t="s">
        <v>126</v>
      </c>
      <c r="G53" s="31"/>
    </row>
    <row r="54" customFormat="false" ht="18.75" hidden="true" customHeight="false" outlineLevel="0" collapsed="false">
      <c r="A54" s="50" t="n">
        <v>53</v>
      </c>
      <c r="B54" s="80" t="s">
        <v>160</v>
      </c>
      <c r="C54" s="82" t="n">
        <v>308746347</v>
      </c>
      <c r="D54" s="81" t="s">
        <v>103</v>
      </c>
      <c r="E54" s="83"/>
      <c r="F54" s="31"/>
      <c r="G54" s="31"/>
    </row>
    <row r="55" customFormat="false" ht="18.75" hidden="false" customHeight="false" outlineLevel="0" collapsed="false">
      <c r="A55" s="50" t="n">
        <v>54</v>
      </c>
      <c r="B55" s="56" t="s">
        <v>161</v>
      </c>
      <c r="C55" s="56" t="n">
        <v>308760584</v>
      </c>
      <c r="D55" s="57" t="s">
        <v>106</v>
      </c>
      <c r="E55" s="84"/>
      <c r="F55" s="74"/>
      <c r="G55" s="54"/>
    </row>
    <row r="56" customFormat="false" ht="18.75" hidden="false" customHeight="false" outlineLevel="0" collapsed="false">
      <c r="A56" s="50" t="n">
        <v>55</v>
      </c>
      <c r="B56" s="56" t="s">
        <v>162</v>
      </c>
      <c r="C56" s="85" t="n">
        <v>308820248</v>
      </c>
      <c r="D56" s="57" t="s">
        <v>106</v>
      </c>
      <c r="E56" s="31"/>
      <c r="F56" s="31"/>
      <c r="G56" s="31"/>
    </row>
    <row r="57" customFormat="false" ht="26.85" hidden="true" customHeight="false" outlineLevel="0" collapsed="false">
      <c r="A57" s="50" t="n">
        <v>56</v>
      </c>
      <c r="B57" s="56" t="s">
        <v>163</v>
      </c>
      <c r="C57" s="85" t="n">
        <v>308836242</v>
      </c>
      <c r="D57" s="57" t="s">
        <v>103</v>
      </c>
      <c r="E57" s="86"/>
      <c r="F57" s="74" t="s">
        <v>164</v>
      </c>
      <c r="G57" s="54" t="s">
        <v>165</v>
      </c>
    </row>
    <row r="58" customFormat="false" ht="35.8" hidden="false" customHeight="false" outlineLevel="0" collapsed="false">
      <c r="A58" s="50" t="n">
        <v>57</v>
      </c>
      <c r="B58" s="56" t="s">
        <v>166</v>
      </c>
      <c r="C58" s="56" t="n">
        <v>308898593</v>
      </c>
      <c r="D58" s="57" t="s">
        <v>106</v>
      </c>
      <c r="E58" s="64"/>
      <c r="F58" s="54" t="s">
        <v>164</v>
      </c>
      <c r="G58" s="54" t="s">
        <v>165</v>
      </c>
    </row>
    <row r="59" customFormat="false" ht="35.8" hidden="true" customHeight="false" outlineLevel="0" collapsed="false">
      <c r="A59" s="50" t="n">
        <v>58</v>
      </c>
      <c r="B59" s="51" t="s">
        <v>167</v>
      </c>
      <c r="C59" s="51" t="n">
        <v>201250775</v>
      </c>
      <c r="D59" s="57" t="s">
        <v>103</v>
      </c>
      <c r="E59" s="50"/>
      <c r="F59" s="50"/>
      <c r="G59" s="50"/>
    </row>
    <row r="60" customFormat="false" ht="18.75" hidden="true" customHeight="false" outlineLevel="0" collapsed="false">
      <c r="A60" s="50" t="n">
        <v>59</v>
      </c>
      <c r="B60" s="51" t="s">
        <v>168</v>
      </c>
      <c r="C60" s="51" t="n">
        <v>207134036</v>
      </c>
      <c r="D60" s="57" t="s">
        <v>103</v>
      </c>
      <c r="E60" s="50"/>
      <c r="F60" s="50"/>
      <c r="G60" s="50"/>
    </row>
    <row r="61" customFormat="false" ht="18.75" hidden="false" customHeight="false" outlineLevel="0" collapsed="false">
      <c r="A61" s="50" t="n">
        <v>60</v>
      </c>
      <c r="B61" s="51" t="s">
        <v>169</v>
      </c>
      <c r="C61" s="51" t="n">
        <v>207189989</v>
      </c>
      <c r="D61" s="57" t="s">
        <v>106</v>
      </c>
      <c r="E61" s="50"/>
      <c r="F61" s="50"/>
      <c r="G61" s="50"/>
    </row>
    <row r="62" customFormat="false" ht="18.75" hidden="false" customHeight="false" outlineLevel="0" collapsed="false">
      <c r="A62" s="50" t="n">
        <v>61</v>
      </c>
      <c r="B62" s="51" t="s">
        <v>170</v>
      </c>
      <c r="C62" s="51" t="n">
        <v>207314302</v>
      </c>
      <c r="D62" s="57" t="s">
        <v>106</v>
      </c>
      <c r="E62" s="50"/>
      <c r="F62" s="50"/>
      <c r="G62" s="50"/>
    </row>
    <row r="63" customFormat="false" ht="18.75" hidden="false" customHeight="false" outlineLevel="0" collapsed="false">
      <c r="A63" s="50" t="n">
        <v>62</v>
      </c>
      <c r="B63" s="87" t="s">
        <v>171</v>
      </c>
      <c r="C63" s="88" t="n">
        <v>207324203</v>
      </c>
      <c r="D63" s="57" t="s">
        <v>106</v>
      </c>
      <c r="E63" s="50"/>
      <c r="F63" s="50"/>
      <c r="G63" s="50"/>
    </row>
    <row r="64" customFormat="false" ht="18.75" hidden="false" customHeight="false" outlineLevel="0" collapsed="false">
      <c r="A64" s="50" t="n">
        <v>63</v>
      </c>
      <c r="B64" s="51" t="s">
        <v>172</v>
      </c>
      <c r="C64" s="51" t="n">
        <v>303451710</v>
      </c>
      <c r="D64" s="57" t="s">
        <v>106</v>
      </c>
      <c r="E64" s="50"/>
      <c r="F64" s="50"/>
      <c r="G64" s="50"/>
    </row>
    <row r="65" customFormat="false" ht="18.75" hidden="false" customHeight="false" outlineLevel="0" collapsed="false">
      <c r="A65" s="50" t="n">
        <v>64</v>
      </c>
      <c r="B65" s="51" t="s">
        <v>173</v>
      </c>
      <c r="C65" s="51" t="n">
        <v>306223936</v>
      </c>
      <c r="D65" s="57" t="s">
        <v>106</v>
      </c>
      <c r="E65" s="50"/>
      <c r="F65" s="50"/>
      <c r="G65" s="50"/>
    </row>
    <row r="66" customFormat="false" ht="18.75" hidden="true" customHeight="false" outlineLevel="0" collapsed="false">
      <c r="A66" s="50" t="n">
        <v>65</v>
      </c>
      <c r="B66" s="51" t="s">
        <v>174</v>
      </c>
      <c r="C66" s="51" t="n">
        <v>306807944</v>
      </c>
      <c r="D66" s="89" t="s">
        <v>103</v>
      </c>
      <c r="E66" s="90"/>
      <c r="F66" s="90"/>
      <c r="G66" s="90"/>
    </row>
    <row r="67" customFormat="false" ht="18.75" hidden="false" customHeight="false" outlineLevel="0" collapsed="false">
      <c r="A67" s="50" t="n">
        <v>66</v>
      </c>
      <c r="B67" s="51" t="s">
        <v>175</v>
      </c>
      <c r="C67" s="51" t="n">
        <v>306918663</v>
      </c>
      <c r="D67" s="89" t="s">
        <v>106</v>
      </c>
      <c r="E67" s="90"/>
      <c r="F67" s="90"/>
      <c r="G67" s="90"/>
    </row>
    <row r="68" customFormat="false" ht="18.75" hidden="false" customHeight="false" outlineLevel="0" collapsed="false">
      <c r="A68" s="50" t="n">
        <v>67</v>
      </c>
      <c r="B68" s="85" t="s">
        <v>176</v>
      </c>
      <c r="C68" s="85" t="n">
        <v>307039973</v>
      </c>
      <c r="D68" s="89" t="s">
        <v>106</v>
      </c>
      <c r="E68" s="31"/>
      <c r="F68" s="31"/>
      <c r="G68" s="31"/>
    </row>
    <row r="69" customFormat="false" ht="18.75" hidden="false" customHeight="false" outlineLevel="0" collapsed="false">
      <c r="A69" s="50" t="n">
        <v>68</v>
      </c>
      <c r="B69" s="88" t="s">
        <v>177</v>
      </c>
      <c r="C69" s="88" t="n">
        <v>307043621</v>
      </c>
      <c r="D69" s="57" t="s">
        <v>106</v>
      </c>
      <c r="E69" s="31"/>
      <c r="F69" s="31"/>
      <c r="G69" s="31"/>
    </row>
    <row r="70" customFormat="false" ht="18.75" hidden="true" customHeight="false" outlineLevel="0" collapsed="false">
      <c r="A70" s="50" t="n">
        <v>69</v>
      </c>
      <c r="B70" s="51" t="s">
        <v>178</v>
      </c>
      <c r="C70" s="51" t="n">
        <v>307053253</v>
      </c>
      <c r="D70" s="89" t="s">
        <v>103</v>
      </c>
      <c r="E70" s="31"/>
      <c r="F70" s="31"/>
      <c r="G70" s="31"/>
    </row>
    <row r="71" customFormat="false" ht="18.75" hidden="false" customHeight="false" outlineLevel="0" collapsed="false">
      <c r="A71" s="50" t="n">
        <v>70</v>
      </c>
      <c r="B71" s="75" t="s">
        <v>179</v>
      </c>
      <c r="C71" s="51" t="n">
        <v>307077420</v>
      </c>
      <c r="D71" s="89" t="s">
        <v>106</v>
      </c>
      <c r="E71" s="31"/>
      <c r="F71" s="31"/>
      <c r="G71" s="31"/>
    </row>
    <row r="72" customFormat="false" ht="18.75" hidden="false" customHeight="false" outlineLevel="0" collapsed="false">
      <c r="A72" s="50" t="n">
        <v>71</v>
      </c>
      <c r="B72" s="91" t="s">
        <v>180</v>
      </c>
      <c r="C72" s="92" t="n">
        <v>307097071</v>
      </c>
      <c r="D72" s="89" t="s">
        <v>106</v>
      </c>
      <c r="E72" s="31"/>
      <c r="F72" s="31"/>
      <c r="G72" s="31"/>
    </row>
    <row r="73" customFormat="false" ht="18.75" hidden="true" customHeight="false" outlineLevel="0" collapsed="false">
      <c r="A73" s="50" t="n">
        <v>72</v>
      </c>
      <c r="B73" s="51" t="s">
        <v>181</v>
      </c>
      <c r="C73" s="88" t="n">
        <v>307159792</v>
      </c>
      <c r="D73" s="89" t="s">
        <v>103</v>
      </c>
      <c r="E73" s="31"/>
      <c r="F73" s="31"/>
      <c r="G73" s="31"/>
    </row>
    <row r="74" customFormat="false" ht="18.75" hidden="false" customHeight="false" outlineLevel="0" collapsed="false">
      <c r="A74" s="50" t="n">
        <v>73</v>
      </c>
      <c r="B74" s="51" t="s">
        <v>182</v>
      </c>
      <c r="C74" s="88" t="n">
        <v>307526709</v>
      </c>
      <c r="D74" s="89" t="s">
        <v>106</v>
      </c>
      <c r="E74" s="31"/>
      <c r="F74" s="31"/>
      <c r="G74" s="31"/>
    </row>
    <row r="75" customFormat="false" ht="18.75" hidden="false" customHeight="false" outlineLevel="0" collapsed="false">
      <c r="A75" s="50" t="n">
        <v>74</v>
      </c>
      <c r="B75" s="51" t="s">
        <v>183</v>
      </c>
      <c r="C75" s="88" t="n">
        <v>307609477</v>
      </c>
      <c r="D75" s="89" t="s">
        <v>106</v>
      </c>
      <c r="E75" s="31"/>
      <c r="F75" s="31"/>
      <c r="G75" s="31"/>
    </row>
    <row r="76" customFormat="false" ht="18.75" hidden="false" customHeight="false" outlineLevel="0" collapsed="false">
      <c r="A76" s="50" t="n">
        <v>75</v>
      </c>
      <c r="B76" s="77" t="s">
        <v>184</v>
      </c>
      <c r="C76" s="92" t="n">
        <v>307972154</v>
      </c>
      <c r="D76" s="89" t="s">
        <v>106</v>
      </c>
      <c r="E76" s="31"/>
      <c r="F76" s="31"/>
      <c r="G76" s="31"/>
    </row>
    <row r="77" customFormat="false" ht="18.75" hidden="true" customHeight="false" outlineLevel="0" collapsed="false">
      <c r="A77" s="50" t="n">
        <v>76</v>
      </c>
      <c r="B77" s="75" t="s">
        <v>185</v>
      </c>
      <c r="C77" s="88" t="n">
        <v>308023653</v>
      </c>
      <c r="D77" s="89" t="s">
        <v>103</v>
      </c>
      <c r="E77" s="31"/>
      <c r="F77" s="31"/>
      <c r="G77" s="31"/>
    </row>
    <row r="78" customFormat="false" ht="18.75" hidden="true" customHeight="false" outlineLevel="0" collapsed="false">
      <c r="A78" s="50" t="n">
        <v>77</v>
      </c>
      <c r="B78" s="75" t="s">
        <v>186</v>
      </c>
      <c r="C78" s="88" t="n">
        <v>308034845</v>
      </c>
      <c r="D78" s="89" t="s">
        <v>103</v>
      </c>
      <c r="E78" s="31"/>
      <c r="F78" s="31"/>
      <c r="G78" s="31"/>
    </row>
    <row r="79" customFormat="false" ht="18.75" hidden="true" customHeight="false" outlineLevel="0" collapsed="false">
      <c r="A79" s="50" t="n">
        <v>78</v>
      </c>
      <c r="B79" s="51" t="s">
        <v>187</v>
      </c>
      <c r="C79" s="88" t="n">
        <v>308038910</v>
      </c>
      <c r="D79" s="89" t="s">
        <v>103</v>
      </c>
      <c r="E79" s="31"/>
      <c r="F79" s="31"/>
      <c r="G79" s="31"/>
    </row>
    <row r="80" customFormat="false" ht="18.75" hidden="true" customHeight="false" outlineLevel="0" collapsed="false">
      <c r="A80" s="50" t="n">
        <v>79</v>
      </c>
      <c r="B80" s="77" t="s">
        <v>188</v>
      </c>
      <c r="C80" s="92" t="n">
        <v>308104393</v>
      </c>
      <c r="D80" s="89" t="s">
        <v>103</v>
      </c>
      <c r="E80" s="31"/>
      <c r="F80" s="31"/>
      <c r="G80" s="31"/>
    </row>
    <row r="81" customFormat="false" ht="18.75" hidden="true" customHeight="false" outlineLevel="0" collapsed="false">
      <c r="A81" s="50" t="n">
        <v>80</v>
      </c>
      <c r="B81" s="51" t="s">
        <v>189</v>
      </c>
      <c r="C81" s="88" t="n">
        <v>308224649</v>
      </c>
      <c r="D81" s="89" t="s">
        <v>103</v>
      </c>
      <c r="E81" s="31"/>
      <c r="F81" s="31"/>
      <c r="G81" s="31"/>
    </row>
    <row r="82" customFormat="false" ht="18.75" hidden="false" customHeight="false" outlineLevel="0" collapsed="false">
      <c r="A82" s="50" t="n">
        <v>81</v>
      </c>
      <c r="B82" s="51" t="s">
        <v>190</v>
      </c>
      <c r="C82" s="88" t="n">
        <v>308435425</v>
      </c>
      <c r="D82" s="57" t="s">
        <v>106</v>
      </c>
      <c r="E82" s="50"/>
      <c r="F82" s="50"/>
      <c r="G82" s="50"/>
    </row>
    <row r="83" customFormat="false" ht="18.75" hidden="true" customHeight="false" outlineLevel="0" collapsed="false">
      <c r="A83" s="50" t="n">
        <v>82</v>
      </c>
      <c r="B83" s="91" t="s">
        <v>191</v>
      </c>
      <c r="C83" s="92" t="n">
        <v>308570489</v>
      </c>
      <c r="D83" s="89" t="s">
        <v>103</v>
      </c>
      <c r="E83" s="31"/>
      <c r="F83" s="31"/>
      <c r="G83" s="31"/>
    </row>
    <row r="84" customFormat="false" ht="18.75" hidden="true" customHeight="false" outlineLevel="0" collapsed="false">
      <c r="A84" s="50" t="n">
        <v>83</v>
      </c>
      <c r="B84" s="51" t="s">
        <v>192</v>
      </c>
      <c r="C84" s="88" t="n">
        <v>308662365</v>
      </c>
      <c r="D84" s="89" t="s">
        <v>103</v>
      </c>
      <c r="E84" s="31"/>
      <c r="F84" s="31"/>
      <c r="G84" s="31"/>
    </row>
    <row r="85" customFormat="false" ht="18.75" hidden="false" customHeight="false" outlineLevel="0" collapsed="false">
      <c r="A85" s="50" t="n">
        <v>84</v>
      </c>
      <c r="B85" s="51" t="s">
        <v>193</v>
      </c>
      <c r="C85" s="88" t="n">
        <v>308763019</v>
      </c>
      <c r="D85" s="89" t="s">
        <v>106</v>
      </c>
      <c r="E85" s="31"/>
      <c r="F85" s="31"/>
      <c r="G85" s="31"/>
    </row>
    <row r="86" customFormat="false" ht="18.75" hidden="false" customHeight="false" outlineLevel="0" collapsed="false">
      <c r="A86" s="50" t="n">
        <v>85</v>
      </c>
      <c r="B86" s="56" t="s">
        <v>194</v>
      </c>
      <c r="C86" s="85" t="n">
        <v>308801967</v>
      </c>
      <c r="D86" s="89" t="s">
        <v>106</v>
      </c>
      <c r="E86" s="31"/>
      <c r="F86" s="31"/>
      <c r="G86" s="31"/>
    </row>
    <row r="87" customFormat="false" ht="18.75" hidden="true" customHeight="false" outlineLevel="0" collapsed="false">
      <c r="A87" s="50" t="n">
        <v>86</v>
      </c>
      <c r="B87" s="56" t="s">
        <v>195</v>
      </c>
      <c r="C87" s="85" t="n">
        <v>308840208</v>
      </c>
      <c r="D87" s="57" t="s">
        <v>103</v>
      </c>
      <c r="E87" s="31"/>
      <c r="F87" s="31"/>
      <c r="G87" s="31"/>
    </row>
    <row r="88" customFormat="false" ht="18.75" hidden="false" customHeight="false" outlineLevel="0" collapsed="false">
      <c r="A88" s="50" t="n">
        <v>87</v>
      </c>
      <c r="B88" s="56" t="s">
        <v>196</v>
      </c>
      <c r="C88" s="85" t="n">
        <v>308982893</v>
      </c>
      <c r="D88" s="57" t="s">
        <v>106</v>
      </c>
      <c r="E88" s="31"/>
      <c r="F88" s="31"/>
      <c r="G88" s="31"/>
    </row>
    <row r="89" customFormat="false" ht="18.75" hidden="false" customHeight="false" outlineLevel="0" collapsed="false">
      <c r="A89" s="50" t="n">
        <v>88</v>
      </c>
      <c r="B89" s="56" t="s">
        <v>197</v>
      </c>
      <c r="C89" s="85" t="n">
        <v>308982901</v>
      </c>
      <c r="D89" s="57" t="s">
        <v>106</v>
      </c>
      <c r="E89" s="31"/>
      <c r="F89" s="31"/>
      <c r="G89" s="31"/>
    </row>
    <row r="90" customFormat="false" ht="18.75" hidden="false" customHeight="false" outlineLevel="0" collapsed="false">
      <c r="A90" s="50" t="n">
        <v>89</v>
      </c>
      <c r="B90" s="56" t="s">
        <v>198</v>
      </c>
      <c r="C90" s="85" t="n">
        <v>308985288</v>
      </c>
      <c r="D90" s="46" t="s">
        <v>106</v>
      </c>
    </row>
    <row r="91" customFormat="false" ht="18.75" hidden="false" customHeight="false" outlineLevel="0" collapsed="false">
      <c r="A91" s="50" t="n">
        <v>90</v>
      </c>
      <c r="B91" s="56" t="s">
        <v>199</v>
      </c>
      <c r="C91" s="85" t="n">
        <v>308985295</v>
      </c>
      <c r="D91" s="46" t="s">
        <v>106</v>
      </c>
    </row>
    <row r="92" customFormat="false" ht="18.75" hidden="false" customHeight="false" outlineLevel="0" collapsed="false">
      <c r="A92" s="50" t="n">
        <v>91</v>
      </c>
      <c r="B92" s="56" t="s">
        <v>200</v>
      </c>
      <c r="C92" s="85" t="n">
        <v>309058141</v>
      </c>
      <c r="D92" s="46" t="s">
        <v>106</v>
      </c>
    </row>
    <row r="93" customFormat="false" ht="18.75" hidden="true" customHeight="false" outlineLevel="0" collapsed="false">
      <c r="A93" s="50" t="n">
        <v>92</v>
      </c>
      <c r="B93" s="56" t="s">
        <v>201</v>
      </c>
      <c r="C93" s="85" t="n">
        <v>309058750</v>
      </c>
      <c r="D93" s="46" t="s">
        <v>103</v>
      </c>
    </row>
    <row r="94" customFormat="false" ht="18.75" hidden="false" customHeight="false" outlineLevel="0" collapsed="false">
      <c r="A94" s="50" t="n">
        <v>93</v>
      </c>
      <c r="B94" s="56" t="s">
        <v>202</v>
      </c>
      <c r="C94" s="85" t="n">
        <v>309073250</v>
      </c>
      <c r="D94" s="46" t="s">
        <v>106</v>
      </c>
    </row>
    <row r="95" customFormat="false" ht="18.75" hidden="true" customHeight="false" outlineLevel="0" collapsed="false">
      <c r="A95" s="50" t="n">
        <v>94</v>
      </c>
      <c r="B95" s="56" t="s">
        <v>203</v>
      </c>
      <c r="C95" s="85" t="n">
        <v>309092362</v>
      </c>
      <c r="D95" s="46" t="s">
        <v>103</v>
      </c>
    </row>
    <row r="96" customFormat="false" ht="18.75" hidden="false" customHeight="false" outlineLevel="0" collapsed="false">
      <c r="A96" s="50" t="n">
        <v>95</v>
      </c>
      <c r="B96" s="56" t="s">
        <v>204</v>
      </c>
      <c r="C96" s="85" t="n">
        <v>309112486</v>
      </c>
      <c r="D96" s="46" t="s">
        <v>106</v>
      </c>
    </row>
    <row r="97" customFormat="false" ht="18.75" hidden="true" customHeight="false" outlineLevel="0" collapsed="false">
      <c r="A97" s="50" t="n">
        <v>96</v>
      </c>
      <c r="B97" s="51" t="s">
        <v>205</v>
      </c>
      <c r="C97" s="51" t="n">
        <v>601611170</v>
      </c>
      <c r="D97" s="46" t="s">
        <v>103</v>
      </c>
    </row>
  </sheetData>
  <autoFilter ref="A1:N97">
    <filterColumn colId="3">
      <filters>
        <filter val="Ёркиной"/>
      </filters>
    </filterColumn>
  </autoFilter>
  <printOptions headings="false" gridLines="false" gridLinesSet="true" horizontalCentered="false" verticalCentered="false"/>
  <pageMargins left="0.315277777777778" right="0.315277777777778" top="0.157638888888889" bottom="0.157638888888889" header="0.511811023622047" footer="0.511811023622047"/>
  <pageSetup paperSize="9" scale="5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27.57"/>
  </cols>
  <sheetData>
    <row r="3" customFormat="false" ht="15" hidden="false" customHeight="false" outlineLevel="0" collapsed="false">
      <c r="A3" s="93" t="s">
        <v>206</v>
      </c>
      <c r="B3" s="94" t="s">
        <v>207</v>
      </c>
    </row>
    <row r="4" customFormat="false" ht="15" hidden="false" customHeight="false" outlineLevel="0" collapsed="false">
      <c r="A4" s="95" t="s">
        <v>208</v>
      </c>
      <c r="B4" s="96" t="n">
        <v>7040000</v>
      </c>
    </row>
    <row r="5" customFormat="false" ht="15" hidden="false" customHeight="false" outlineLevel="0" collapsed="false">
      <c r="A5" s="97" t="s">
        <v>209</v>
      </c>
      <c r="B5" s="98" t="n">
        <v>0</v>
      </c>
    </row>
    <row r="6" customFormat="false" ht="15" hidden="false" customHeight="false" outlineLevel="0" collapsed="false">
      <c r="A6" s="97" t="s">
        <v>210</v>
      </c>
      <c r="B6" s="98" t="n">
        <v>8134000</v>
      </c>
    </row>
    <row r="7" customFormat="false" ht="15" hidden="false" customHeight="false" outlineLevel="0" collapsed="false">
      <c r="A7" s="97" t="s">
        <v>211</v>
      </c>
      <c r="B7" s="98" t="n">
        <v>7320000</v>
      </c>
    </row>
    <row r="8" customFormat="false" ht="15" hidden="false" customHeight="false" outlineLevel="0" collapsed="false">
      <c r="A8" s="97" t="s">
        <v>212</v>
      </c>
      <c r="B8" s="98" t="n">
        <v>5080000</v>
      </c>
    </row>
    <row r="9" customFormat="false" ht="15" hidden="false" customHeight="false" outlineLevel="0" collapsed="false">
      <c r="A9" s="97" t="s">
        <v>213</v>
      </c>
      <c r="B9" s="98" t="n">
        <v>9740000</v>
      </c>
    </row>
    <row r="10" customFormat="false" ht="15" hidden="false" customHeight="false" outlineLevel="0" collapsed="false">
      <c r="A10" s="97" t="s">
        <v>214</v>
      </c>
      <c r="B10" s="98" t="n">
        <v>100000</v>
      </c>
    </row>
    <row r="11" customFormat="false" ht="15" hidden="false" customHeight="false" outlineLevel="0" collapsed="false">
      <c r="A11" s="97" t="s">
        <v>215</v>
      </c>
      <c r="B11" s="98" t="n">
        <v>0</v>
      </c>
    </row>
    <row r="12" customFormat="false" ht="15" hidden="false" customHeight="false" outlineLevel="0" collapsed="false">
      <c r="A12" s="97" t="s">
        <v>216</v>
      </c>
      <c r="B12" s="98" t="n">
        <v>8280000</v>
      </c>
    </row>
    <row r="13" customFormat="false" ht="15" hidden="false" customHeight="false" outlineLevel="0" collapsed="false">
      <c r="A13" s="97" t="s">
        <v>217</v>
      </c>
      <c r="B13" s="98" t="n">
        <v>13210000</v>
      </c>
    </row>
    <row r="14" customFormat="false" ht="15" hidden="false" customHeight="false" outlineLevel="0" collapsed="false">
      <c r="A14" s="97" t="s">
        <v>218</v>
      </c>
      <c r="B14" s="98" t="n">
        <v>7840000</v>
      </c>
    </row>
    <row r="15" customFormat="false" ht="15" hidden="false" customHeight="false" outlineLevel="0" collapsed="false">
      <c r="A15" s="97" t="s">
        <v>219</v>
      </c>
      <c r="B15" s="98" t="n">
        <v>3000000</v>
      </c>
    </row>
    <row r="16" customFormat="false" ht="15" hidden="false" customHeight="false" outlineLevel="0" collapsed="false">
      <c r="A16" s="97" t="s">
        <v>220</v>
      </c>
      <c r="B16" s="98" t="n">
        <v>6900000</v>
      </c>
    </row>
    <row r="17" customFormat="false" ht="15" hidden="false" customHeight="false" outlineLevel="0" collapsed="false">
      <c r="A17" s="97" t="s">
        <v>221</v>
      </c>
      <c r="B17" s="98" t="n">
        <v>1420000</v>
      </c>
    </row>
    <row r="18" customFormat="false" ht="15" hidden="false" customHeight="false" outlineLevel="0" collapsed="false">
      <c r="A18" s="97" t="s">
        <v>222</v>
      </c>
      <c r="B18" s="98" t="n">
        <v>1850000</v>
      </c>
    </row>
    <row r="19" customFormat="false" ht="15" hidden="false" customHeight="false" outlineLevel="0" collapsed="false">
      <c r="A19" s="97" t="s">
        <v>223</v>
      </c>
      <c r="B19" s="98" t="n">
        <v>7140000</v>
      </c>
    </row>
    <row r="20" customFormat="false" ht="15" hidden="false" customHeight="false" outlineLevel="0" collapsed="false">
      <c r="A20" s="97" t="s">
        <v>224</v>
      </c>
      <c r="B20" s="98" t="n">
        <v>1200000</v>
      </c>
    </row>
    <row r="21" customFormat="false" ht="15" hidden="false" customHeight="false" outlineLevel="0" collapsed="false">
      <c r="A21" s="97" t="s">
        <v>225</v>
      </c>
      <c r="B21" s="98" t="n">
        <v>7600000</v>
      </c>
    </row>
    <row r="22" customFormat="false" ht="15" hidden="false" customHeight="false" outlineLevel="0" collapsed="false">
      <c r="A22" s="97" t="s">
        <v>226</v>
      </c>
      <c r="B22" s="98" t="n">
        <v>2645000</v>
      </c>
    </row>
    <row r="23" customFormat="false" ht="15" hidden="false" customHeight="false" outlineLevel="0" collapsed="false">
      <c r="A23" s="97" t="s">
        <v>227</v>
      </c>
      <c r="B23" s="98" t="n">
        <v>2400000</v>
      </c>
    </row>
    <row r="24" customFormat="false" ht="15" hidden="false" customHeight="false" outlineLevel="0" collapsed="false">
      <c r="A24" s="97" t="s">
        <v>228</v>
      </c>
      <c r="B24" s="98" t="n">
        <v>3040000</v>
      </c>
    </row>
    <row r="25" customFormat="false" ht="15" hidden="false" customHeight="false" outlineLevel="0" collapsed="false">
      <c r="A25" s="97" t="s">
        <v>229</v>
      </c>
      <c r="B25" s="98" t="n">
        <v>4400000</v>
      </c>
    </row>
    <row r="26" customFormat="false" ht="15" hidden="false" customHeight="false" outlineLevel="0" collapsed="false">
      <c r="A26" s="97" t="s">
        <v>230</v>
      </c>
      <c r="B26" s="98" t="n">
        <v>1460000</v>
      </c>
    </row>
    <row r="27" customFormat="false" ht="15" hidden="false" customHeight="false" outlineLevel="0" collapsed="false">
      <c r="A27" s="97" t="s">
        <v>231</v>
      </c>
      <c r="B27" s="98" t="n">
        <v>750000</v>
      </c>
    </row>
    <row r="28" customFormat="false" ht="15" hidden="false" customHeight="false" outlineLevel="0" collapsed="false">
      <c r="A28" s="97" t="s">
        <v>232</v>
      </c>
      <c r="B28" s="98" t="n">
        <v>1620000</v>
      </c>
    </row>
    <row r="29" customFormat="false" ht="15" hidden="false" customHeight="false" outlineLevel="0" collapsed="false">
      <c r="A29" s="97" t="s">
        <v>233</v>
      </c>
      <c r="B29" s="98" t="n">
        <v>940000</v>
      </c>
    </row>
    <row r="30" customFormat="false" ht="15" hidden="false" customHeight="false" outlineLevel="0" collapsed="false">
      <c r="A30" s="97" t="s">
        <v>234</v>
      </c>
      <c r="B30" s="99" t="n">
        <v>565000</v>
      </c>
    </row>
    <row r="31" customFormat="false" ht="15" hidden="false" customHeight="false" outlineLevel="0" collapsed="false">
      <c r="A31" s="100" t="s">
        <v>235</v>
      </c>
      <c r="B31" s="101" t="n">
        <v>113674000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29.71"/>
  </cols>
  <sheetData>
    <row r="3" customFormat="false" ht="15" hidden="false" customHeight="false" outlineLevel="0" collapsed="false">
      <c r="A3" s="93" t="s">
        <v>236</v>
      </c>
      <c r="B3" s="94" t="s">
        <v>237</v>
      </c>
    </row>
    <row r="4" customFormat="false" ht="15" hidden="false" customHeight="false" outlineLevel="0" collapsed="false">
      <c r="A4" s="95" t="s">
        <v>238</v>
      </c>
      <c r="B4" s="102" t="n">
        <v>8917500</v>
      </c>
    </row>
    <row r="5" customFormat="false" ht="15" hidden="false" customHeight="false" outlineLevel="0" collapsed="false">
      <c r="A5" s="97" t="s">
        <v>215</v>
      </c>
      <c r="B5" s="103" t="n">
        <v>0</v>
      </c>
    </row>
    <row r="6" customFormat="false" ht="15" hidden="false" customHeight="false" outlineLevel="0" collapsed="false">
      <c r="A6" s="97" t="s">
        <v>239</v>
      </c>
      <c r="B6" s="103" t="n">
        <v>2750000</v>
      </c>
    </row>
    <row r="7" customFormat="false" ht="15" hidden="false" customHeight="false" outlineLevel="0" collapsed="false">
      <c r="A7" s="97" t="s">
        <v>224</v>
      </c>
      <c r="B7" s="103" t="n">
        <v>6257500</v>
      </c>
    </row>
    <row r="8" customFormat="false" ht="15" hidden="false" customHeight="false" outlineLevel="0" collapsed="false">
      <c r="A8" s="97" t="s">
        <v>240</v>
      </c>
      <c r="B8" s="104" t="n">
        <v>2030000</v>
      </c>
    </row>
    <row r="9" customFormat="false" ht="15" hidden="false" customHeight="false" outlineLevel="0" collapsed="false">
      <c r="A9" s="100" t="s">
        <v>235</v>
      </c>
      <c r="B9" s="105" t="n">
        <v>19955000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28.29"/>
  </cols>
  <sheetData>
    <row r="3" customFormat="false" ht="15" hidden="false" customHeight="false" outlineLevel="0" collapsed="false">
      <c r="A3" s="93" t="s">
        <v>241</v>
      </c>
      <c r="B3" s="94" t="s">
        <v>242</v>
      </c>
    </row>
    <row r="4" customFormat="false" ht="15" hidden="false" customHeight="false" outlineLevel="0" collapsed="false">
      <c r="A4" s="95" t="s">
        <v>210</v>
      </c>
      <c r="B4" s="96" t="n">
        <v>19322500</v>
      </c>
    </row>
    <row r="5" customFormat="false" ht="15" hidden="false" customHeight="false" outlineLevel="0" collapsed="false">
      <c r="A5" s="97" t="s">
        <v>215</v>
      </c>
      <c r="B5" s="98" t="n">
        <v>0</v>
      </c>
    </row>
    <row r="6" customFormat="false" ht="15" hidden="false" customHeight="false" outlineLevel="0" collapsed="false">
      <c r="A6" s="97" t="s">
        <v>213</v>
      </c>
      <c r="B6" s="98" t="n">
        <v>7696000</v>
      </c>
    </row>
    <row r="7" customFormat="false" ht="15" hidden="false" customHeight="false" outlineLevel="0" collapsed="false">
      <c r="A7" s="97" t="s">
        <v>217</v>
      </c>
      <c r="B7" s="98" t="n">
        <v>2585000</v>
      </c>
    </row>
    <row r="8" customFormat="false" ht="15" hidden="false" customHeight="false" outlineLevel="0" collapsed="false">
      <c r="A8" s="97" t="s">
        <v>216</v>
      </c>
      <c r="B8" s="99" t="n">
        <v>187500</v>
      </c>
    </row>
    <row r="9" customFormat="false" ht="15" hidden="false" customHeight="false" outlineLevel="0" collapsed="false">
      <c r="A9" s="100" t="s">
        <v>235</v>
      </c>
      <c r="B9" s="101" t="n">
        <v>29791000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52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151" activeCellId="0" sqref="H15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38"/>
    <col collapsed="false" customWidth="true" hidden="false" outlineLevel="0" max="3" min="3" style="0" width="23.29"/>
    <col collapsed="false" customWidth="true" hidden="false" outlineLevel="0" max="4" min="4" style="0" width="19.57"/>
    <col collapsed="false" customWidth="true" hidden="false" outlineLevel="0" max="6" min="5" style="0" width="21.43"/>
    <col collapsed="false" customWidth="true" hidden="false" outlineLevel="0" max="7" min="7" style="0" width="21.14"/>
    <col collapsed="false" customWidth="true" hidden="false" outlineLevel="0" max="8" min="8" style="0" width="21"/>
    <col collapsed="false" customWidth="true" hidden="false" outlineLevel="0" max="9" min="9" style="0" width="21.85"/>
    <col collapsed="false" customWidth="true" hidden="false" outlineLevel="0" max="10" min="10" style="0" width="20.85"/>
    <col collapsed="false" customWidth="true" hidden="false" outlineLevel="0" max="11" min="11" style="0" width="20.29"/>
    <col collapsed="false" customWidth="true" hidden="false" outlineLevel="0" max="13" min="12" style="0" width="20.42"/>
  </cols>
  <sheetData>
    <row r="2" customFormat="false" ht="17.35" hidden="false" customHeight="false" outlineLevel="0" collapsed="false">
      <c r="A2" s="106" t="s">
        <v>35</v>
      </c>
      <c r="B2" s="107" t="s">
        <v>36</v>
      </c>
      <c r="C2" s="107" t="s">
        <v>99</v>
      </c>
      <c r="D2" s="48" t="s">
        <v>47</v>
      </c>
      <c r="E2" s="48" t="s">
        <v>206</v>
      </c>
      <c r="F2" s="107" t="s">
        <v>236</v>
      </c>
      <c r="G2" s="108" t="s">
        <v>243</v>
      </c>
      <c r="H2" s="108" t="s">
        <v>241</v>
      </c>
      <c r="I2" s="108" t="s">
        <v>244</v>
      </c>
      <c r="J2" s="109" t="s">
        <v>245</v>
      </c>
      <c r="K2" s="48" t="s">
        <v>246</v>
      </c>
      <c r="L2" s="110" t="s">
        <v>106</v>
      </c>
      <c r="M2" s="111" t="s">
        <v>247</v>
      </c>
    </row>
    <row r="3" customFormat="false" ht="32.8" hidden="false" customHeight="false" outlineLevel="0" collapsed="false">
      <c r="A3" s="112" t="n">
        <v>1</v>
      </c>
      <c r="B3" s="113" t="s">
        <v>248</v>
      </c>
      <c r="C3" s="113" t="n">
        <v>306033555</v>
      </c>
      <c r="D3" s="52" t="s">
        <v>47</v>
      </c>
      <c r="E3" s="114" t="s">
        <v>231</v>
      </c>
      <c r="F3" s="113" t="s">
        <v>238</v>
      </c>
      <c r="G3" s="115" t="n">
        <v>500000</v>
      </c>
      <c r="H3" s="116" t="s">
        <v>216</v>
      </c>
      <c r="I3" s="117" t="n">
        <v>20</v>
      </c>
      <c r="J3" s="117" t="n">
        <f aca="false">G3*5%</f>
        <v>25000</v>
      </c>
      <c r="K3" s="118" t="n">
        <f aca="false">G3*I3%</f>
        <v>100000</v>
      </c>
      <c r="L3" s="114" t="n">
        <f aca="false">G3*7%</f>
        <v>35000</v>
      </c>
      <c r="M3" s="114" t="n">
        <f aca="false">G3*5%</f>
        <v>25000</v>
      </c>
    </row>
    <row r="4" customFormat="false" ht="17.35" hidden="false" customHeight="false" outlineLevel="0" collapsed="false">
      <c r="A4" s="112" t="n">
        <v>2</v>
      </c>
      <c r="B4" s="113" t="s">
        <v>249</v>
      </c>
      <c r="C4" s="113" t="n">
        <v>302672452</v>
      </c>
      <c r="D4" s="114"/>
      <c r="E4" s="113" t="s">
        <v>224</v>
      </c>
      <c r="F4" s="113" t="s">
        <v>224</v>
      </c>
      <c r="G4" s="115" t="n">
        <v>700000</v>
      </c>
      <c r="H4" s="113" t="s">
        <v>210</v>
      </c>
      <c r="I4" s="117" t="n">
        <v>20</v>
      </c>
      <c r="J4" s="117" t="n">
        <f aca="false">G4*5%</f>
        <v>35000</v>
      </c>
      <c r="K4" s="118" t="n">
        <f aca="false">G4*I4%</f>
        <v>140000</v>
      </c>
      <c r="L4" s="114" t="n">
        <f aca="false">G4*7%</f>
        <v>49000</v>
      </c>
      <c r="M4" s="114" t="n">
        <f aca="false">G4*5%</f>
        <v>35000</v>
      </c>
    </row>
    <row r="5" customFormat="false" ht="17.35" hidden="false" customHeight="false" outlineLevel="0" collapsed="false">
      <c r="A5" s="112" t="n">
        <v>3</v>
      </c>
      <c r="B5" s="113" t="s">
        <v>174</v>
      </c>
      <c r="C5" s="113" t="n">
        <v>306807944</v>
      </c>
      <c r="D5" s="114"/>
      <c r="E5" s="113" t="s">
        <v>208</v>
      </c>
      <c r="F5" s="113" t="s">
        <v>224</v>
      </c>
      <c r="G5" s="119" t="n">
        <v>700000</v>
      </c>
      <c r="H5" s="113" t="s">
        <v>210</v>
      </c>
      <c r="I5" s="117" t="n">
        <v>20</v>
      </c>
      <c r="J5" s="117" t="n">
        <f aca="false">G5*5%</f>
        <v>35000</v>
      </c>
      <c r="K5" s="118" t="n">
        <f aca="false">G5*I5%</f>
        <v>140000</v>
      </c>
      <c r="L5" s="114" t="n">
        <f aca="false">G5*7%</f>
        <v>49000</v>
      </c>
      <c r="M5" s="114" t="n">
        <f aca="false">G5*5%</f>
        <v>35000</v>
      </c>
    </row>
    <row r="6" customFormat="false" ht="17.35" hidden="false" customHeight="false" outlineLevel="0" collapsed="false">
      <c r="A6" s="112" t="n">
        <v>4</v>
      </c>
      <c r="B6" s="113" t="s">
        <v>175</v>
      </c>
      <c r="C6" s="113" t="n">
        <v>306918663</v>
      </c>
      <c r="D6" s="114"/>
      <c r="E6" s="113" t="s">
        <v>224</v>
      </c>
      <c r="F6" s="113" t="s">
        <v>224</v>
      </c>
      <c r="G6" s="115" t="n">
        <v>700000</v>
      </c>
      <c r="H6" s="113" t="s">
        <v>210</v>
      </c>
      <c r="I6" s="117" t="n">
        <v>20</v>
      </c>
      <c r="J6" s="117" t="n">
        <f aca="false">G6*5%</f>
        <v>35000</v>
      </c>
      <c r="K6" s="118" t="n">
        <f aca="false">G6*I6%</f>
        <v>140000</v>
      </c>
      <c r="L6" s="114" t="n">
        <f aca="false">G6*7%</f>
        <v>49000</v>
      </c>
      <c r="M6" s="114" t="n">
        <f aca="false">G6*5%</f>
        <v>35000</v>
      </c>
    </row>
    <row r="7" customFormat="false" ht="17.35" hidden="false" customHeight="false" outlineLevel="0" collapsed="false">
      <c r="A7" s="112" t="n">
        <v>5</v>
      </c>
      <c r="B7" s="113" t="s">
        <v>178</v>
      </c>
      <c r="C7" s="113" t="n">
        <v>307053253</v>
      </c>
      <c r="D7" s="114"/>
      <c r="E7" s="113" t="s">
        <v>210</v>
      </c>
      <c r="F7" s="113"/>
      <c r="G7" s="115" t="n">
        <v>0</v>
      </c>
      <c r="H7" s="113" t="s">
        <v>213</v>
      </c>
      <c r="I7" s="117" t="n">
        <v>20</v>
      </c>
      <c r="J7" s="117" t="n">
        <v>0</v>
      </c>
      <c r="K7" s="118" t="n">
        <f aca="false">G7*I7%</f>
        <v>0</v>
      </c>
      <c r="L7" s="114" t="n">
        <f aca="false">G7*7%</f>
        <v>0</v>
      </c>
      <c r="M7" s="114" t="n">
        <f aca="false">G7*5%</f>
        <v>0</v>
      </c>
    </row>
    <row r="8" customFormat="false" ht="17.35" hidden="false" customHeight="false" outlineLevel="0" collapsed="false">
      <c r="A8" s="112" t="n">
        <v>6</v>
      </c>
      <c r="B8" s="120" t="s">
        <v>184</v>
      </c>
      <c r="C8" s="113" t="n">
        <v>307972154</v>
      </c>
      <c r="D8" s="114"/>
      <c r="E8" s="113" t="s">
        <v>233</v>
      </c>
      <c r="F8" s="113" t="s">
        <v>224</v>
      </c>
      <c r="G8" s="119" t="n">
        <v>700000</v>
      </c>
      <c r="H8" s="113" t="s">
        <v>217</v>
      </c>
      <c r="I8" s="117" t="n">
        <v>20</v>
      </c>
      <c r="J8" s="117" t="n">
        <f aca="false">G8*5%</f>
        <v>35000</v>
      </c>
      <c r="K8" s="118" t="n">
        <f aca="false">G8*I8%</f>
        <v>140000</v>
      </c>
      <c r="L8" s="114" t="n">
        <f aca="false">G8*7%</f>
        <v>49000</v>
      </c>
      <c r="M8" s="114" t="n">
        <f aca="false">G8*5%</f>
        <v>35000</v>
      </c>
    </row>
    <row r="9" customFormat="false" ht="17.35" hidden="false" customHeight="false" outlineLevel="0" collapsed="false">
      <c r="A9" s="112" t="n">
        <v>7</v>
      </c>
      <c r="B9" s="113" t="s">
        <v>190</v>
      </c>
      <c r="C9" s="113" t="n">
        <v>308435425</v>
      </c>
      <c r="D9" s="114"/>
      <c r="E9" s="113" t="s">
        <v>224</v>
      </c>
      <c r="F9" s="113" t="s">
        <v>224</v>
      </c>
      <c r="G9" s="115" t="n">
        <v>700000</v>
      </c>
      <c r="H9" s="113" t="s">
        <v>210</v>
      </c>
      <c r="I9" s="117" t="n">
        <v>20</v>
      </c>
      <c r="J9" s="117" t="n">
        <f aca="false">G9*5%</f>
        <v>35000</v>
      </c>
      <c r="K9" s="118" t="n">
        <f aca="false">G9*I9%</f>
        <v>140000</v>
      </c>
      <c r="L9" s="114" t="n">
        <f aca="false">G9*7%</f>
        <v>49000</v>
      </c>
      <c r="M9" s="114" t="n">
        <f aca="false">G9*5%</f>
        <v>35000</v>
      </c>
    </row>
    <row r="10" customFormat="false" ht="17.35" hidden="false" customHeight="false" outlineLevel="0" collapsed="false">
      <c r="A10" s="112" t="n">
        <v>8</v>
      </c>
      <c r="B10" s="113" t="s">
        <v>114</v>
      </c>
      <c r="C10" s="113" t="n">
        <v>304825630</v>
      </c>
      <c r="D10" s="118" t="s">
        <v>47</v>
      </c>
      <c r="E10" s="113" t="s">
        <v>208</v>
      </c>
      <c r="F10" s="113" t="s">
        <v>224</v>
      </c>
      <c r="G10" s="115" t="n">
        <v>2000000</v>
      </c>
      <c r="H10" s="113" t="s">
        <v>210</v>
      </c>
      <c r="I10" s="117" t="n">
        <v>20</v>
      </c>
      <c r="J10" s="117" t="n">
        <f aca="false">G10*5%</f>
        <v>100000</v>
      </c>
      <c r="K10" s="118" t="n">
        <f aca="false">G10*I10%</f>
        <v>400000</v>
      </c>
      <c r="L10" s="114" t="n">
        <f aca="false">G10*7%</f>
        <v>140000</v>
      </c>
      <c r="M10" s="114" t="n">
        <f aca="false">G10*5%</f>
        <v>100000</v>
      </c>
    </row>
    <row r="11" customFormat="false" ht="17.35" hidden="false" customHeight="false" outlineLevel="0" collapsed="false">
      <c r="A11" s="112" t="n">
        <v>9</v>
      </c>
      <c r="B11" s="121" t="s">
        <v>250</v>
      </c>
      <c r="C11" s="121" t="n">
        <v>309899654</v>
      </c>
      <c r="D11" s="52"/>
      <c r="E11" s="113" t="s">
        <v>211</v>
      </c>
      <c r="F11" s="113" t="s">
        <v>238</v>
      </c>
      <c r="G11" s="115" t="n">
        <v>6000000</v>
      </c>
      <c r="H11" s="113" t="s">
        <v>210</v>
      </c>
      <c r="I11" s="117" t="n">
        <v>20</v>
      </c>
      <c r="J11" s="117" t="n">
        <f aca="false">G11*5%</f>
        <v>300000</v>
      </c>
      <c r="K11" s="118" t="n">
        <f aca="false">G11*I11%</f>
        <v>1200000</v>
      </c>
      <c r="L11" s="114" t="n">
        <f aca="false">G11*7%</f>
        <v>420000</v>
      </c>
      <c r="M11" s="114" t="n">
        <f aca="false">G11*5%</f>
        <v>300000</v>
      </c>
    </row>
    <row r="12" customFormat="false" ht="17.35" hidden="false" customHeight="false" outlineLevel="0" collapsed="false">
      <c r="A12" s="112" t="n">
        <v>10</v>
      </c>
      <c r="B12" s="113" t="s">
        <v>185</v>
      </c>
      <c r="C12" s="113" t="n">
        <v>308023653</v>
      </c>
      <c r="D12" s="52" t="s">
        <v>47</v>
      </c>
      <c r="E12" s="113" t="s">
        <v>213</v>
      </c>
      <c r="F12" s="113" t="s">
        <v>238</v>
      </c>
      <c r="G12" s="115" t="n">
        <v>2500000</v>
      </c>
      <c r="H12" s="113" t="s">
        <v>210</v>
      </c>
      <c r="I12" s="117" t="n">
        <v>20</v>
      </c>
      <c r="J12" s="117" t="n">
        <f aca="false">G12*5%</f>
        <v>125000</v>
      </c>
      <c r="K12" s="118" t="n">
        <f aca="false">G12*I12%</f>
        <v>500000</v>
      </c>
      <c r="L12" s="114" t="n">
        <f aca="false">G12*7%</f>
        <v>175000</v>
      </c>
      <c r="M12" s="114" t="n">
        <f aca="false">G12*5%</f>
        <v>125000</v>
      </c>
    </row>
    <row r="13" customFormat="false" ht="17.35" hidden="false" customHeight="false" outlineLevel="0" collapsed="false">
      <c r="A13" s="112" t="n">
        <v>11</v>
      </c>
      <c r="B13" s="113" t="s">
        <v>251</v>
      </c>
      <c r="C13" s="113" t="n">
        <v>308820248</v>
      </c>
      <c r="D13" s="52" t="s">
        <v>47</v>
      </c>
      <c r="E13" s="113" t="s">
        <v>213</v>
      </c>
      <c r="F13" s="113" t="s">
        <v>238</v>
      </c>
      <c r="G13" s="115" t="n">
        <v>7000000</v>
      </c>
      <c r="H13" s="113" t="s">
        <v>210</v>
      </c>
      <c r="I13" s="117" t="n">
        <v>20</v>
      </c>
      <c r="J13" s="117" t="n">
        <f aca="false">G13*5%</f>
        <v>350000</v>
      </c>
      <c r="K13" s="118" t="n">
        <f aca="false">G13*I13%</f>
        <v>1400000</v>
      </c>
      <c r="L13" s="114" t="n">
        <f aca="false">G13*7%</f>
        <v>490000</v>
      </c>
      <c r="M13" s="114" t="n">
        <f aca="false">G13*5%</f>
        <v>350000</v>
      </c>
    </row>
    <row r="14" customFormat="false" ht="17.35" hidden="false" customHeight="false" outlineLevel="0" collapsed="false">
      <c r="A14" s="112" t="n">
        <v>12</v>
      </c>
      <c r="B14" s="113" t="s">
        <v>252</v>
      </c>
      <c r="C14" s="113" t="n">
        <v>310055812</v>
      </c>
      <c r="D14" s="52" t="s">
        <v>47</v>
      </c>
      <c r="E14" s="114" t="s">
        <v>212</v>
      </c>
      <c r="F14" s="113" t="s">
        <v>224</v>
      </c>
      <c r="G14" s="115" t="n">
        <v>4000000</v>
      </c>
      <c r="H14" s="113" t="s">
        <v>213</v>
      </c>
      <c r="I14" s="117" t="n">
        <v>20</v>
      </c>
      <c r="J14" s="117" t="n">
        <f aca="false">G14*5%</f>
        <v>200000</v>
      </c>
      <c r="K14" s="118" t="n">
        <f aca="false">G14*I14%</f>
        <v>800000</v>
      </c>
      <c r="L14" s="114" t="n">
        <f aca="false">G14*7%</f>
        <v>280000</v>
      </c>
      <c r="M14" s="114" t="n">
        <f aca="false">G14*5%</f>
        <v>200000</v>
      </c>
    </row>
    <row r="15" customFormat="false" ht="17.35" hidden="false" customHeight="false" outlineLevel="0" collapsed="false">
      <c r="A15" s="112" t="n">
        <v>13</v>
      </c>
      <c r="B15" s="113" t="s">
        <v>253</v>
      </c>
      <c r="C15" s="113" t="n">
        <v>202536307</v>
      </c>
      <c r="D15" s="52" t="s">
        <v>47</v>
      </c>
      <c r="E15" s="113" t="s">
        <v>210</v>
      </c>
      <c r="F15" s="113"/>
      <c r="G15" s="115" t="n">
        <v>2000000</v>
      </c>
      <c r="H15" s="113" t="s">
        <v>213</v>
      </c>
      <c r="I15" s="117" t="n">
        <v>25</v>
      </c>
      <c r="J15" s="117" t="n">
        <v>0</v>
      </c>
      <c r="K15" s="118" t="n">
        <f aca="false">G15*I15%</f>
        <v>500000</v>
      </c>
      <c r="L15" s="114" t="n">
        <f aca="false">G15*7%</f>
        <v>140000</v>
      </c>
      <c r="M15" s="114" t="n">
        <f aca="false">G15*5%</f>
        <v>100000</v>
      </c>
    </row>
    <row r="16" customFormat="false" ht="17.35" hidden="false" customHeight="false" outlineLevel="0" collapsed="false">
      <c r="A16" s="112" t="n">
        <v>14</v>
      </c>
      <c r="B16" s="113" t="s">
        <v>254</v>
      </c>
      <c r="C16" s="113" t="n">
        <v>304940229</v>
      </c>
      <c r="D16" s="52" t="s">
        <v>47</v>
      </c>
      <c r="E16" s="113" t="s">
        <v>210</v>
      </c>
      <c r="F16" s="113"/>
      <c r="G16" s="115" t="n">
        <v>0</v>
      </c>
      <c r="H16" s="113" t="s">
        <v>213</v>
      </c>
      <c r="I16" s="117" t="n">
        <v>20</v>
      </c>
      <c r="J16" s="117" t="n">
        <v>0</v>
      </c>
      <c r="K16" s="118" t="n">
        <f aca="false">G16*I16%</f>
        <v>0</v>
      </c>
      <c r="L16" s="114" t="n">
        <f aca="false">G16*7%</f>
        <v>0</v>
      </c>
      <c r="M16" s="114" t="n">
        <f aca="false">G16*5%</f>
        <v>0</v>
      </c>
    </row>
    <row r="17" customFormat="false" ht="17.35" hidden="false" customHeight="false" outlineLevel="0" collapsed="false">
      <c r="A17" s="112" t="n">
        <v>15</v>
      </c>
      <c r="B17" s="113" t="s">
        <v>121</v>
      </c>
      <c r="C17" s="113" t="n">
        <v>305713761</v>
      </c>
      <c r="D17" s="118" t="s">
        <v>47</v>
      </c>
      <c r="E17" s="113" t="s">
        <v>223</v>
      </c>
      <c r="F17" s="113" t="s">
        <v>238</v>
      </c>
      <c r="G17" s="115" t="n">
        <v>3000000</v>
      </c>
      <c r="H17" s="113" t="s">
        <v>213</v>
      </c>
      <c r="I17" s="117" t="n">
        <v>20</v>
      </c>
      <c r="J17" s="117" t="n">
        <f aca="false">G17*5%</f>
        <v>150000</v>
      </c>
      <c r="K17" s="118" t="n">
        <f aca="false">G17*I17%</f>
        <v>600000</v>
      </c>
      <c r="L17" s="114" t="n">
        <f aca="false">G17*7%</f>
        <v>210000</v>
      </c>
      <c r="M17" s="114" t="n">
        <f aca="false">G17*5%</f>
        <v>150000</v>
      </c>
    </row>
    <row r="18" customFormat="false" ht="17.35" hidden="false" customHeight="false" outlineLevel="0" collapsed="false">
      <c r="A18" s="112" t="n">
        <v>16</v>
      </c>
      <c r="B18" s="113" t="s">
        <v>135</v>
      </c>
      <c r="C18" s="113" t="n">
        <v>306784151</v>
      </c>
      <c r="D18" s="122" t="s">
        <v>47</v>
      </c>
      <c r="E18" s="113" t="s">
        <v>217</v>
      </c>
      <c r="F18" s="113" t="s">
        <v>238</v>
      </c>
      <c r="G18" s="115" t="n">
        <v>3500000</v>
      </c>
      <c r="H18" s="113" t="s">
        <v>210</v>
      </c>
      <c r="I18" s="117" t="n">
        <v>20</v>
      </c>
      <c r="J18" s="117" t="n">
        <f aca="false">G18*5%</f>
        <v>175000</v>
      </c>
      <c r="K18" s="118" t="n">
        <f aca="false">G18*I18%</f>
        <v>700000</v>
      </c>
      <c r="L18" s="114" t="n">
        <f aca="false">G18*7%</f>
        <v>245000</v>
      </c>
      <c r="M18" s="114" t="n">
        <f aca="false">G18*5%</f>
        <v>175000</v>
      </c>
    </row>
    <row r="19" customFormat="false" ht="17.35" hidden="false" customHeight="false" outlineLevel="0" collapsed="false">
      <c r="A19" s="112" t="n">
        <v>17</v>
      </c>
      <c r="B19" s="113" t="s">
        <v>141</v>
      </c>
      <c r="C19" s="113" t="n">
        <v>307058508</v>
      </c>
      <c r="D19" s="122" t="s">
        <v>47</v>
      </c>
      <c r="E19" s="113" t="s">
        <v>210</v>
      </c>
      <c r="F19" s="113" t="s">
        <v>238</v>
      </c>
      <c r="G19" s="115" t="n">
        <v>25000000</v>
      </c>
      <c r="H19" s="113" t="s">
        <v>213</v>
      </c>
      <c r="I19" s="117" t="n">
        <v>20</v>
      </c>
      <c r="J19" s="117" t="n">
        <f aca="false">G19*5%</f>
        <v>1250000</v>
      </c>
      <c r="K19" s="118" t="n">
        <f aca="false">G19*I19%</f>
        <v>5000000</v>
      </c>
      <c r="L19" s="114" t="n">
        <f aca="false">G19*7%</f>
        <v>1750000</v>
      </c>
      <c r="M19" s="114" t="n">
        <f aca="false">G19*5%</f>
        <v>1250000</v>
      </c>
    </row>
    <row r="20" customFormat="false" ht="17.35" hidden="false" customHeight="false" outlineLevel="0" collapsed="false">
      <c r="A20" s="112" t="n">
        <v>18</v>
      </c>
      <c r="B20" s="113" t="s">
        <v>146</v>
      </c>
      <c r="C20" s="113" t="n">
        <v>307688389</v>
      </c>
      <c r="D20" s="52" t="s">
        <v>47</v>
      </c>
      <c r="E20" s="113" t="s">
        <v>233</v>
      </c>
      <c r="F20" s="113" t="s">
        <v>224</v>
      </c>
      <c r="G20" s="115" t="n">
        <v>1000000</v>
      </c>
      <c r="H20" s="113" t="s">
        <v>217</v>
      </c>
      <c r="I20" s="117" t="n">
        <v>20</v>
      </c>
      <c r="J20" s="117" t="n">
        <f aca="false">G20*5%</f>
        <v>50000</v>
      </c>
      <c r="K20" s="118" t="n">
        <f aca="false">G20*I20%</f>
        <v>200000</v>
      </c>
      <c r="L20" s="114" t="n">
        <f aca="false">G20*7%</f>
        <v>70000</v>
      </c>
      <c r="M20" s="114" t="n">
        <f aca="false">G20*5%</f>
        <v>50000</v>
      </c>
    </row>
    <row r="21" customFormat="false" ht="32.8" hidden="false" customHeight="false" outlineLevel="0" collapsed="false">
      <c r="A21" s="112" t="n">
        <v>19</v>
      </c>
      <c r="B21" s="113" t="s">
        <v>167</v>
      </c>
      <c r="C21" s="113" t="n">
        <v>201250775</v>
      </c>
      <c r="D21" s="114"/>
      <c r="E21" s="114" t="s">
        <v>231</v>
      </c>
      <c r="F21" s="113"/>
      <c r="G21" s="115" t="n">
        <v>500000</v>
      </c>
      <c r="H21" s="116" t="s">
        <v>216</v>
      </c>
      <c r="I21" s="117" t="n">
        <v>20</v>
      </c>
      <c r="J21" s="117" t="n">
        <v>0</v>
      </c>
      <c r="K21" s="118" t="n">
        <f aca="false">G21*I21%</f>
        <v>100000</v>
      </c>
      <c r="L21" s="114" t="n">
        <f aca="false">G21*7%</f>
        <v>35000</v>
      </c>
      <c r="M21" s="114" t="n">
        <f aca="false">G21*5%</f>
        <v>25000</v>
      </c>
    </row>
    <row r="22" customFormat="false" ht="17.35" hidden="false" customHeight="false" outlineLevel="0" collapsed="false">
      <c r="A22" s="112" t="n">
        <v>20</v>
      </c>
      <c r="B22" s="113" t="s">
        <v>255</v>
      </c>
      <c r="C22" s="113"/>
      <c r="D22" s="114"/>
      <c r="E22" s="113" t="s">
        <v>218</v>
      </c>
      <c r="F22" s="113" t="s">
        <v>238</v>
      </c>
      <c r="G22" s="115" t="n">
        <v>1000000</v>
      </c>
      <c r="H22" s="113" t="s">
        <v>210</v>
      </c>
      <c r="I22" s="117" t="n">
        <v>20</v>
      </c>
      <c r="J22" s="117" t="n">
        <f aca="false">G22*5%</f>
        <v>50000</v>
      </c>
      <c r="K22" s="118" t="n">
        <f aca="false">G22*I22%</f>
        <v>200000</v>
      </c>
      <c r="L22" s="114" t="n">
        <f aca="false">G22*7%</f>
        <v>70000</v>
      </c>
      <c r="M22" s="114" t="n">
        <f aca="false">G22*5%</f>
        <v>50000</v>
      </c>
    </row>
    <row r="23" customFormat="false" ht="32.8" hidden="false" customHeight="false" outlineLevel="0" collapsed="false">
      <c r="A23" s="112" t="n">
        <v>21</v>
      </c>
      <c r="B23" s="113" t="s">
        <v>177</v>
      </c>
      <c r="C23" s="113" t="n">
        <v>307043621</v>
      </c>
      <c r="D23" s="114"/>
      <c r="E23" s="113" t="s">
        <v>232</v>
      </c>
      <c r="F23" s="113" t="s">
        <v>224</v>
      </c>
      <c r="G23" s="115" t="n">
        <v>1000000</v>
      </c>
      <c r="H23" s="113" t="s">
        <v>213</v>
      </c>
      <c r="I23" s="117" t="n">
        <v>20</v>
      </c>
      <c r="J23" s="117" t="n">
        <f aca="false">G23*5%</f>
        <v>50000</v>
      </c>
      <c r="K23" s="118" t="n">
        <f aca="false">G23*I23%</f>
        <v>200000</v>
      </c>
      <c r="L23" s="114" t="n">
        <f aca="false">G23*7%</f>
        <v>70000</v>
      </c>
      <c r="M23" s="114" t="n">
        <f aca="false">G23*5%</f>
        <v>50000</v>
      </c>
    </row>
    <row r="24" customFormat="false" ht="17.35" hidden="false" customHeight="false" outlineLevel="0" collapsed="false">
      <c r="A24" s="112" t="n">
        <v>22</v>
      </c>
      <c r="B24" s="113" t="s">
        <v>256</v>
      </c>
      <c r="C24" s="113"/>
      <c r="D24" s="114"/>
      <c r="E24" s="113"/>
      <c r="F24" s="113"/>
      <c r="G24" s="115" t="n">
        <v>50000000</v>
      </c>
      <c r="H24" s="113"/>
      <c r="I24" s="117"/>
      <c r="J24" s="117"/>
      <c r="K24" s="118" t="n">
        <f aca="false">G24*I24%</f>
        <v>0</v>
      </c>
      <c r="L24" s="123" t="n">
        <f aca="false">G24*5%</f>
        <v>2500000</v>
      </c>
      <c r="M24" s="114" t="n">
        <v>0</v>
      </c>
    </row>
    <row r="25" customFormat="false" ht="17.35" hidden="false" customHeight="false" outlineLevel="0" collapsed="false">
      <c r="A25" s="112" t="n">
        <v>23</v>
      </c>
      <c r="B25" s="113" t="s">
        <v>117</v>
      </c>
      <c r="C25" s="113" t="n">
        <v>305150198</v>
      </c>
      <c r="D25" s="118" t="s">
        <v>47</v>
      </c>
      <c r="E25" s="114" t="s">
        <v>231</v>
      </c>
      <c r="F25" s="113" t="s">
        <v>224</v>
      </c>
      <c r="G25" s="115" t="n">
        <v>500000</v>
      </c>
      <c r="H25" s="116" t="s">
        <v>216</v>
      </c>
      <c r="I25" s="117" t="n">
        <v>20</v>
      </c>
      <c r="J25" s="117" t="n">
        <f aca="false">G25*5%</f>
        <v>25000</v>
      </c>
      <c r="K25" s="118" t="n">
        <f aca="false">G25*I25%</f>
        <v>100000</v>
      </c>
      <c r="L25" s="114" t="n">
        <f aca="false">G25*7%</f>
        <v>35000</v>
      </c>
      <c r="M25" s="114" t="n">
        <f aca="false">G25*5%</f>
        <v>25000</v>
      </c>
    </row>
    <row r="26" customFormat="false" ht="17.35" hidden="false" customHeight="false" outlineLevel="0" collapsed="false">
      <c r="A26" s="112" t="n">
        <v>24</v>
      </c>
      <c r="B26" s="113" t="s">
        <v>148</v>
      </c>
      <c r="C26" s="113" t="n">
        <v>307829726</v>
      </c>
      <c r="D26" s="118" t="s">
        <v>47</v>
      </c>
      <c r="E26" s="114" t="s">
        <v>231</v>
      </c>
      <c r="F26" s="113" t="s">
        <v>224</v>
      </c>
      <c r="G26" s="115" t="n">
        <v>500000</v>
      </c>
      <c r="H26" s="116" t="s">
        <v>216</v>
      </c>
      <c r="I26" s="117" t="n">
        <v>20</v>
      </c>
      <c r="J26" s="117" t="n">
        <f aca="false">G26*5%</f>
        <v>25000</v>
      </c>
      <c r="K26" s="118" t="n">
        <f aca="false">G26*I26%</f>
        <v>100000</v>
      </c>
      <c r="L26" s="114" t="n">
        <f aca="false">G26*7%</f>
        <v>35000</v>
      </c>
      <c r="M26" s="114" t="n">
        <f aca="false">G26*5%</f>
        <v>25000</v>
      </c>
    </row>
    <row r="27" customFormat="false" ht="17.35" hidden="false" customHeight="false" outlineLevel="0" collapsed="false">
      <c r="A27" s="112" t="n">
        <v>25</v>
      </c>
      <c r="B27" s="113" t="s">
        <v>127</v>
      </c>
      <c r="C27" s="113" t="n">
        <v>306116238</v>
      </c>
      <c r="D27" s="118" t="s">
        <v>47</v>
      </c>
      <c r="E27" s="113" t="s">
        <v>211</v>
      </c>
      <c r="F27" s="113" t="s">
        <v>224</v>
      </c>
      <c r="G27" s="115" t="n">
        <v>2300000</v>
      </c>
      <c r="H27" s="113" t="s">
        <v>210</v>
      </c>
      <c r="I27" s="117" t="n">
        <v>20</v>
      </c>
      <c r="J27" s="117" t="n">
        <f aca="false">G27*5%</f>
        <v>115000</v>
      </c>
      <c r="K27" s="118" t="n">
        <f aca="false">G27*I27%</f>
        <v>460000</v>
      </c>
      <c r="L27" s="114" t="n">
        <f aca="false">G27*7%</f>
        <v>161000</v>
      </c>
      <c r="M27" s="114" t="n">
        <f aca="false">G27*5%</f>
        <v>115000</v>
      </c>
    </row>
    <row r="28" customFormat="false" ht="17.35" hidden="false" customHeight="false" outlineLevel="0" collapsed="false">
      <c r="A28" s="112" t="n">
        <v>27</v>
      </c>
      <c r="B28" s="113" t="s">
        <v>257</v>
      </c>
      <c r="C28" s="113"/>
      <c r="D28" s="52"/>
      <c r="E28" s="113" t="s">
        <v>216</v>
      </c>
      <c r="F28" s="113" t="s">
        <v>238</v>
      </c>
      <c r="G28" s="115" t="n">
        <v>2500000</v>
      </c>
      <c r="H28" s="113" t="s">
        <v>210</v>
      </c>
      <c r="I28" s="117" t="n">
        <v>20</v>
      </c>
      <c r="J28" s="117" t="n">
        <f aca="false">G28*5%</f>
        <v>125000</v>
      </c>
      <c r="K28" s="118" t="n">
        <f aca="false">G28*I28%</f>
        <v>500000</v>
      </c>
      <c r="L28" s="114" t="n">
        <f aca="false">G28*7%</f>
        <v>175000</v>
      </c>
      <c r="M28" s="114" t="n">
        <f aca="false">G28*5%</f>
        <v>125000</v>
      </c>
    </row>
    <row r="29" customFormat="false" ht="25.5" hidden="false" customHeight="true" outlineLevel="0" collapsed="false">
      <c r="A29" s="112" t="n">
        <v>28</v>
      </c>
      <c r="B29" s="120" t="s">
        <v>258</v>
      </c>
      <c r="C29" s="120" t="n">
        <v>309706846</v>
      </c>
      <c r="D29" s="124" t="s">
        <v>47</v>
      </c>
      <c r="E29" s="113" t="s">
        <v>212</v>
      </c>
      <c r="F29" s="120"/>
      <c r="G29" s="115"/>
      <c r="H29" s="113" t="s">
        <v>213</v>
      </c>
      <c r="I29" s="117" t="n">
        <v>20</v>
      </c>
      <c r="J29" s="117" t="n">
        <v>0</v>
      </c>
      <c r="K29" s="118" t="n">
        <f aca="false">G29*I29%</f>
        <v>0</v>
      </c>
      <c r="L29" s="114" t="n">
        <f aca="false">G29*7%</f>
        <v>0</v>
      </c>
      <c r="M29" s="114" t="n">
        <f aca="false">G29*5%</f>
        <v>0</v>
      </c>
    </row>
    <row r="30" customFormat="false" ht="17.35" hidden="false" customHeight="false" outlineLevel="0" collapsed="false">
      <c r="A30" s="112" t="n">
        <v>29</v>
      </c>
      <c r="B30" s="113" t="s">
        <v>259</v>
      </c>
      <c r="C30" s="113"/>
      <c r="D30" s="118"/>
      <c r="E30" s="113" t="s">
        <v>212</v>
      </c>
      <c r="F30" s="113"/>
      <c r="G30" s="115"/>
      <c r="H30" s="113" t="s">
        <v>213</v>
      </c>
      <c r="I30" s="117" t="n">
        <v>20</v>
      </c>
      <c r="J30" s="117" t="n">
        <v>0</v>
      </c>
      <c r="K30" s="118" t="n">
        <f aca="false">G30*I30%</f>
        <v>0</v>
      </c>
      <c r="L30" s="114" t="n">
        <f aca="false">G30*7%</f>
        <v>0</v>
      </c>
      <c r="M30" s="114" t="n">
        <f aca="false">G30*5%</f>
        <v>0</v>
      </c>
    </row>
    <row r="31" customFormat="false" ht="17.35" hidden="false" customHeight="false" outlineLevel="0" collapsed="false">
      <c r="A31" s="112" t="n">
        <v>30</v>
      </c>
      <c r="B31" s="113" t="s">
        <v>187</v>
      </c>
      <c r="C31" s="113" t="n">
        <v>308038910</v>
      </c>
      <c r="D31" s="114"/>
      <c r="E31" s="120" t="s">
        <v>212</v>
      </c>
      <c r="F31" s="113" t="s">
        <v>238</v>
      </c>
      <c r="G31" s="115" t="n">
        <v>1000000</v>
      </c>
      <c r="H31" s="113" t="s">
        <v>213</v>
      </c>
      <c r="I31" s="117" t="n">
        <v>20</v>
      </c>
      <c r="J31" s="117" t="n">
        <f aca="false">G31*5%</f>
        <v>50000</v>
      </c>
      <c r="K31" s="118" t="n">
        <f aca="false">G31*I31%</f>
        <v>200000</v>
      </c>
      <c r="L31" s="114" t="n">
        <f aca="false">G31*7%</f>
        <v>70000</v>
      </c>
      <c r="M31" s="114" t="n">
        <f aca="false">G31*5%</f>
        <v>50000</v>
      </c>
    </row>
    <row r="32" customFormat="false" ht="17.35" hidden="false" customHeight="false" outlineLevel="0" collapsed="false">
      <c r="A32" s="112" t="n">
        <v>31</v>
      </c>
      <c r="B32" s="120" t="s">
        <v>260</v>
      </c>
      <c r="C32" s="113"/>
      <c r="D32" s="52"/>
      <c r="E32" s="113" t="s">
        <v>212</v>
      </c>
      <c r="F32" s="113" t="s">
        <v>224</v>
      </c>
      <c r="G32" s="115" t="n">
        <v>2000000</v>
      </c>
      <c r="H32" s="113" t="s">
        <v>213</v>
      </c>
      <c r="I32" s="117" t="n">
        <v>20</v>
      </c>
      <c r="J32" s="117" t="n">
        <f aca="false">G32*5%</f>
        <v>100000</v>
      </c>
      <c r="K32" s="118" t="n">
        <f aca="false">G32*I32%</f>
        <v>400000</v>
      </c>
      <c r="L32" s="114" t="n">
        <f aca="false">G32*7%</f>
        <v>140000</v>
      </c>
      <c r="M32" s="114" t="n">
        <v>0</v>
      </c>
    </row>
    <row r="33" customFormat="false" ht="17.35" hidden="false" customHeight="false" outlineLevel="0" collapsed="false">
      <c r="A33" s="112" t="n">
        <v>32</v>
      </c>
      <c r="B33" s="113" t="s">
        <v>102</v>
      </c>
      <c r="C33" s="113" t="n">
        <v>206155668</v>
      </c>
      <c r="D33" s="118" t="s">
        <v>47</v>
      </c>
      <c r="E33" s="113" t="s">
        <v>218</v>
      </c>
      <c r="F33" s="113" t="s">
        <v>238</v>
      </c>
      <c r="G33" s="115" t="n">
        <v>0</v>
      </c>
      <c r="H33" s="113" t="s">
        <v>210</v>
      </c>
      <c r="I33" s="117" t="n">
        <v>20</v>
      </c>
      <c r="J33" s="117" t="n">
        <f aca="false">G33*3%</f>
        <v>0</v>
      </c>
      <c r="K33" s="118" t="n">
        <f aca="false">G33*I33%</f>
        <v>0</v>
      </c>
      <c r="L33" s="114" t="n">
        <f aca="false">G33*7%</f>
        <v>0</v>
      </c>
      <c r="M33" s="114" t="n">
        <f aca="false">G33*5%</f>
        <v>0</v>
      </c>
    </row>
    <row r="34" customFormat="false" ht="32.8" hidden="false" customHeight="false" outlineLevel="0" collapsed="false">
      <c r="A34" s="112" t="n">
        <v>33</v>
      </c>
      <c r="B34" s="113" t="s">
        <v>169</v>
      </c>
      <c r="C34" s="113" t="n">
        <v>207189989</v>
      </c>
      <c r="D34" s="52" t="s">
        <v>47</v>
      </c>
      <c r="E34" s="113" t="s">
        <v>218</v>
      </c>
      <c r="F34" s="113" t="s">
        <v>224</v>
      </c>
      <c r="G34" s="115" t="n">
        <v>3500000</v>
      </c>
      <c r="H34" s="113" t="s">
        <v>210</v>
      </c>
      <c r="I34" s="117" t="n">
        <v>20</v>
      </c>
      <c r="J34" s="117" t="n">
        <f aca="false">G34*5%</f>
        <v>175000</v>
      </c>
      <c r="K34" s="118" t="n">
        <f aca="false">G34*I34%</f>
        <v>700000</v>
      </c>
      <c r="L34" s="114" t="n">
        <f aca="false">G34*7%</f>
        <v>245000</v>
      </c>
      <c r="M34" s="114" t="n">
        <f aca="false">G34*5%</f>
        <v>175000</v>
      </c>
    </row>
    <row r="35" customFormat="false" ht="32.8" hidden="false" customHeight="false" outlineLevel="0" collapsed="false">
      <c r="A35" s="112" t="n">
        <v>34</v>
      </c>
      <c r="B35" s="113" t="s">
        <v>107</v>
      </c>
      <c r="C35" s="113" t="n">
        <v>302813323</v>
      </c>
      <c r="D35" s="52" t="s">
        <v>47</v>
      </c>
      <c r="E35" s="113" t="s">
        <v>217</v>
      </c>
      <c r="F35" s="113"/>
      <c r="G35" s="115" t="n">
        <v>0</v>
      </c>
      <c r="H35" s="113" t="s">
        <v>210</v>
      </c>
      <c r="I35" s="117" t="n">
        <v>20</v>
      </c>
      <c r="J35" s="117" t="n">
        <f aca="false">G35*3%</f>
        <v>0</v>
      </c>
      <c r="K35" s="118" t="n">
        <f aca="false">G35*I35%</f>
        <v>0</v>
      </c>
      <c r="L35" s="114" t="n">
        <f aca="false">G35*7%</f>
        <v>0</v>
      </c>
      <c r="M35" s="114" t="n">
        <f aca="false">G35*5%</f>
        <v>0</v>
      </c>
    </row>
    <row r="36" customFormat="false" ht="17.35" hidden="false" customHeight="false" outlineLevel="0" collapsed="false">
      <c r="A36" s="112" t="n">
        <v>35</v>
      </c>
      <c r="B36" s="113" t="s">
        <v>261</v>
      </c>
      <c r="C36" s="113"/>
      <c r="D36" s="52"/>
      <c r="E36" s="113" t="s">
        <v>208</v>
      </c>
      <c r="F36" s="113" t="s">
        <v>238</v>
      </c>
      <c r="G36" s="115" t="n">
        <v>1500000</v>
      </c>
      <c r="H36" s="113" t="s">
        <v>210</v>
      </c>
      <c r="I36" s="117" t="n">
        <v>20</v>
      </c>
      <c r="J36" s="117" t="n">
        <f aca="false">G36*5%</f>
        <v>75000</v>
      </c>
      <c r="K36" s="118" t="n">
        <f aca="false">G36*I36%</f>
        <v>300000</v>
      </c>
      <c r="L36" s="114" t="n">
        <f aca="false">G36*7%</f>
        <v>105000</v>
      </c>
      <c r="M36" s="114" t="n">
        <f aca="false">G36*5%</f>
        <v>75000</v>
      </c>
    </row>
    <row r="37" customFormat="false" ht="17.35" hidden="false" customHeight="false" outlineLevel="0" collapsed="false">
      <c r="A37" s="112" t="n">
        <v>36</v>
      </c>
      <c r="B37" s="113" t="s">
        <v>262</v>
      </c>
      <c r="C37" s="113"/>
      <c r="D37" s="122"/>
      <c r="E37" s="113" t="s">
        <v>212</v>
      </c>
      <c r="F37" s="113" t="s">
        <v>238</v>
      </c>
      <c r="G37" s="115" t="n">
        <v>2000000</v>
      </c>
      <c r="H37" s="113" t="s">
        <v>213</v>
      </c>
      <c r="I37" s="117" t="n">
        <v>20</v>
      </c>
      <c r="J37" s="117" t="n">
        <f aca="false">G37*5%</f>
        <v>100000</v>
      </c>
      <c r="K37" s="118" t="n">
        <f aca="false">G37*I37%</f>
        <v>400000</v>
      </c>
      <c r="L37" s="114" t="n">
        <f aca="false">G37*7%</f>
        <v>140000</v>
      </c>
      <c r="M37" s="114" t="n">
        <f aca="false">G37*5%</f>
        <v>100000</v>
      </c>
    </row>
    <row r="38" customFormat="false" ht="32.8" hidden="false" customHeight="false" outlineLevel="0" collapsed="false">
      <c r="A38" s="112" t="n">
        <v>37</v>
      </c>
      <c r="B38" s="113" t="s">
        <v>143</v>
      </c>
      <c r="C38" s="113" t="n">
        <v>307205799</v>
      </c>
      <c r="D38" s="118" t="s">
        <v>47</v>
      </c>
      <c r="E38" s="114" t="s">
        <v>226</v>
      </c>
      <c r="F38" s="113" t="s">
        <v>224</v>
      </c>
      <c r="G38" s="115" t="n">
        <v>700000</v>
      </c>
      <c r="H38" s="113" t="s">
        <v>213</v>
      </c>
      <c r="I38" s="117" t="n">
        <v>20</v>
      </c>
      <c r="J38" s="117" t="n">
        <f aca="false">G38*5%</f>
        <v>35000</v>
      </c>
      <c r="K38" s="118" t="n">
        <f aca="false">G38*I38%</f>
        <v>140000</v>
      </c>
      <c r="L38" s="114" t="n">
        <f aca="false">G38*7%</f>
        <v>49000</v>
      </c>
      <c r="M38" s="114" t="n">
        <f aca="false">G38*5%</f>
        <v>35000</v>
      </c>
    </row>
    <row r="39" customFormat="false" ht="17.35" hidden="false" customHeight="false" outlineLevel="0" collapsed="false">
      <c r="A39" s="112" t="n">
        <v>38</v>
      </c>
      <c r="B39" s="113" t="s">
        <v>149</v>
      </c>
      <c r="C39" s="113" t="n">
        <v>307947611</v>
      </c>
      <c r="D39" s="52" t="s">
        <v>47</v>
      </c>
      <c r="E39" s="113" t="s">
        <v>234</v>
      </c>
      <c r="F39" s="113" t="s">
        <v>224</v>
      </c>
      <c r="G39" s="115" t="n">
        <v>500000</v>
      </c>
      <c r="H39" s="113" t="s">
        <v>217</v>
      </c>
      <c r="I39" s="117" t="n">
        <v>20</v>
      </c>
      <c r="J39" s="117" t="n">
        <f aca="false">G39*5%</f>
        <v>25000</v>
      </c>
      <c r="K39" s="118" t="n">
        <f aca="false">G39*I39%</f>
        <v>100000</v>
      </c>
      <c r="L39" s="114" t="n">
        <f aca="false">G39*7%</f>
        <v>35000</v>
      </c>
      <c r="M39" s="114" t="n">
        <f aca="false">G39*5%</f>
        <v>25000</v>
      </c>
    </row>
    <row r="40" customFormat="false" ht="32.8" hidden="false" customHeight="false" outlineLevel="0" collapsed="false">
      <c r="A40" s="112" t="n">
        <v>39</v>
      </c>
      <c r="B40" s="113" t="s">
        <v>263</v>
      </c>
      <c r="C40" s="113" t="n">
        <v>309238352</v>
      </c>
      <c r="D40" s="114"/>
      <c r="E40" s="120" t="s">
        <v>221</v>
      </c>
      <c r="F40" s="113" t="s">
        <v>238</v>
      </c>
      <c r="G40" s="115" t="n">
        <v>1000000</v>
      </c>
      <c r="H40" s="113" t="s">
        <v>210</v>
      </c>
      <c r="I40" s="117" t="n">
        <v>20</v>
      </c>
      <c r="J40" s="117" t="n">
        <f aca="false">G40*5%</f>
        <v>50000</v>
      </c>
      <c r="K40" s="118" t="n">
        <f aca="false">G40*I40%</f>
        <v>200000</v>
      </c>
      <c r="L40" s="114" t="n">
        <f aca="false">G40*7%</f>
        <v>70000</v>
      </c>
      <c r="M40" s="114" t="n">
        <f aca="false">G40*5%</f>
        <v>50000</v>
      </c>
    </row>
    <row r="41" customFormat="false" ht="41.25" hidden="false" customHeight="true" outlineLevel="0" collapsed="false">
      <c r="A41" s="112" t="n">
        <v>40</v>
      </c>
      <c r="B41" s="113" t="s">
        <v>170</v>
      </c>
      <c r="C41" s="113" t="n">
        <v>207314302</v>
      </c>
      <c r="D41" s="114"/>
      <c r="E41" s="113" t="s">
        <v>211</v>
      </c>
      <c r="F41" s="113" t="s">
        <v>238</v>
      </c>
      <c r="G41" s="115" t="n">
        <v>800000</v>
      </c>
      <c r="H41" s="113" t="s">
        <v>210</v>
      </c>
      <c r="I41" s="117" t="n">
        <v>20</v>
      </c>
      <c r="J41" s="117" t="n">
        <f aca="false">G41*5%</f>
        <v>40000</v>
      </c>
      <c r="K41" s="118" t="n">
        <f aca="false">G41*I41%</f>
        <v>160000</v>
      </c>
      <c r="L41" s="114" t="n">
        <f aca="false">G41*7%</f>
        <v>56000</v>
      </c>
      <c r="M41" s="114" t="n">
        <f aca="false">G41*5%</f>
        <v>40000</v>
      </c>
    </row>
    <row r="42" customFormat="false" ht="32.8" hidden="false" customHeight="false" outlineLevel="0" collapsed="false">
      <c r="A42" s="112" t="n">
        <v>41</v>
      </c>
      <c r="B42" s="113" t="s">
        <v>171</v>
      </c>
      <c r="C42" s="113" t="n">
        <v>207324203</v>
      </c>
      <c r="D42" s="114"/>
      <c r="E42" s="113" t="s">
        <v>211</v>
      </c>
      <c r="F42" s="113" t="s">
        <v>238</v>
      </c>
      <c r="G42" s="115" t="n">
        <v>500000</v>
      </c>
      <c r="H42" s="113" t="s">
        <v>210</v>
      </c>
      <c r="I42" s="117" t="n">
        <v>20</v>
      </c>
      <c r="J42" s="117" t="n">
        <f aca="false">G42*5%</f>
        <v>25000</v>
      </c>
      <c r="K42" s="118" t="n">
        <f aca="false">G42*I42%</f>
        <v>100000</v>
      </c>
      <c r="L42" s="114" t="n">
        <f aca="false">G42*7%</f>
        <v>35000</v>
      </c>
      <c r="M42" s="114" t="n">
        <f aca="false">G42*5%</f>
        <v>25000</v>
      </c>
    </row>
    <row r="43" customFormat="false" ht="17.35" hidden="false" customHeight="false" outlineLevel="0" collapsed="false">
      <c r="A43" s="112" t="n">
        <v>42</v>
      </c>
      <c r="B43" s="113" t="s">
        <v>172</v>
      </c>
      <c r="C43" s="113" t="n">
        <v>303451710</v>
      </c>
      <c r="D43" s="114"/>
      <c r="E43" s="113" t="s">
        <v>226</v>
      </c>
      <c r="F43" s="113" t="s">
        <v>224</v>
      </c>
      <c r="G43" s="115" t="n">
        <v>1500000</v>
      </c>
      <c r="H43" s="113" t="s">
        <v>213</v>
      </c>
      <c r="I43" s="117" t="n">
        <v>20</v>
      </c>
      <c r="J43" s="117" t="n">
        <f aca="false">G43*5%</f>
        <v>75000</v>
      </c>
      <c r="K43" s="118" t="n">
        <f aca="false">G43*I43%</f>
        <v>300000</v>
      </c>
      <c r="L43" s="114" t="n">
        <f aca="false">G43*7%</f>
        <v>105000</v>
      </c>
      <c r="M43" s="114" t="n">
        <f aca="false">G43*5%</f>
        <v>75000</v>
      </c>
    </row>
    <row r="44" customFormat="false" ht="17.35" hidden="false" customHeight="false" outlineLevel="0" collapsed="false">
      <c r="A44" s="112" t="n">
        <v>43</v>
      </c>
      <c r="B44" s="120" t="s">
        <v>179</v>
      </c>
      <c r="C44" s="113" t="n">
        <v>307077420</v>
      </c>
      <c r="D44" s="114"/>
      <c r="E44" s="113" t="s">
        <v>224</v>
      </c>
      <c r="F44" s="113" t="s">
        <v>224</v>
      </c>
      <c r="G44" s="115" t="n">
        <v>400000</v>
      </c>
      <c r="H44" s="113" t="s">
        <v>210</v>
      </c>
      <c r="I44" s="117" t="n">
        <v>20</v>
      </c>
      <c r="J44" s="117" t="n">
        <f aca="false">G44*5%</f>
        <v>20000</v>
      </c>
      <c r="K44" s="118" t="n">
        <f aca="false">G44*I44%</f>
        <v>80000</v>
      </c>
      <c r="L44" s="114" t="n">
        <f aca="false">G44*7%</f>
        <v>28000</v>
      </c>
      <c r="M44" s="114" t="n">
        <f aca="false">G44*5%</f>
        <v>20000</v>
      </c>
    </row>
    <row r="45" customFormat="false" ht="17.35" hidden="false" customHeight="false" outlineLevel="0" collapsed="false">
      <c r="A45" s="112" t="n">
        <v>44</v>
      </c>
      <c r="B45" s="113" t="s">
        <v>181</v>
      </c>
      <c r="C45" s="113" t="n">
        <v>307159792</v>
      </c>
      <c r="D45" s="114"/>
      <c r="E45" s="113" t="s">
        <v>211</v>
      </c>
      <c r="F45" s="113" t="s">
        <v>238</v>
      </c>
      <c r="G45" s="115" t="n">
        <v>2000000</v>
      </c>
      <c r="H45" s="113" t="s">
        <v>210</v>
      </c>
      <c r="I45" s="117" t="n">
        <v>20</v>
      </c>
      <c r="J45" s="117" t="n">
        <f aca="false">G45*5%</f>
        <v>100000</v>
      </c>
      <c r="K45" s="118" t="n">
        <f aca="false">G45*I45%</f>
        <v>400000</v>
      </c>
      <c r="L45" s="114" t="n">
        <f aca="false">G45*7%</f>
        <v>140000</v>
      </c>
      <c r="M45" s="114" t="n">
        <f aca="false">G45*5%</f>
        <v>100000</v>
      </c>
    </row>
    <row r="46" customFormat="false" ht="32.8" hidden="false" customHeight="false" outlineLevel="0" collapsed="false">
      <c r="A46" s="112" t="n">
        <v>45</v>
      </c>
      <c r="B46" s="125" t="s">
        <v>264</v>
      </c>
      <c r="C46" s="125" t="n">
        <v>303328933</v>
      </c>
      <c r="D46" s="81" t="s">
        <v>47</v>
      </c>
      <c r="E46" s="62" t="s">
        <v>216</v>
      </c>
      <c r="F46" s="125"/>
      <c r="G46" s="119" t="n">
        <v>4000000</v>
      </c>
      <c r="H46" s="113" t="s">
        <v>210</v>
      </c>
      <c r="I46" s="126" t="n">
        <v>20</v>
      </c>
      <c r="J46" s="117" t="n">
        <v>0</v>
      </c>
      <c r="K46" s="118" t="n">
        <f aca="false">G46*I46%</f>
        <v>800000</v>
      </c>
      <c r="L46" s="114" t="n">
        <f aca="false">G46*7%</f>
        <v>280000</v>
      </c>
      <c r="M46" s="114" t="n">
        <f aca="false">G46*5%</f>
        <v>200000</v>
      </c>
    </row>
    <row r="47" customFormat="false" ht="32.8" hidden="false" customHeight="false" outlineLevel="0" collapsed="false">
      <c r="A47" s="112" t="n">
        <v>46</v>
      </c>
      <c r="B47" s="113" t="s">
        <v>265</v>
      </c>
      <c r="C47" s="113" t="n">
        <v>309188899</v>
      </c>
      <c r="D47" s="114"/>
      <c r="E47" s="113" t="s">
        <v>221</v>
      </c>
      <c r="F47" s="113" t="s">
        <v>238</v>
      </c>
      <c r="G47" s="115" t="n">
        <v>700000</v>
      </c>
      <c r="H47" s="113" t="s">
        <v>210</v>
      </c>
      <c r="I47" s="117" t="n">
        <v>20</v>
      </c>
      <c r="J47" s="117" t="n">
        <f aca="false">G47*5%</f>
        <v>35000</v>
      </c>
      <c r="K47" s="118" t="n">
        <f aca="false">G47*I47%</f>
        <v>140000</v>
      </c>
      <c r="L47" s="114" t="n">
        <f aca="false">G47*7%</f>
        <v>49000</v>
      </c>
      <c r="M47" s="114" t="n">
        <f aca="false">G47*5%</f>
        <v>35000</v>
      </c>
    </row>
    <row r="48" customFormat="false" ht="17.35" hidden="false" customHeight="false" outlineLevel="0" collapsed="false">
      <c r="A48" s="112" t="n">
        <v>47</v>
      </c>
      <c r="B48" s="125" t="s">
        <v>266</v>
      </c>
      <c r="C48" s="125" t="n">
        <v>309610674</v>
      </c>
      <c r="D48" s="127"/>
      <c r="E48" s="62" t="s">
        <v>221</v>
      </c>
      <c r="F48" s="125" t="s">
        <v>238</v>
      </c>
      <c r="G48" s="119" t="n">
        <v>1000000</v>
      </c>
      <c r="H48" s="113" t="s">
        <v>210</v>
      </c>
      <c r="I48" s="117" t="n">
        <v>20</v>
      </c>
      <c r="J48" s="117" t="n">
        <f aca="false">G48*5%</f>
        <v>50000</v>
      </c>
      <c r="K48" s="118" t="n">
        <f aca="false">G48*I48%</f>
        <v>200000</v>
      </c>
      <c r="L48" s="114" t="n">
        <f aca="false">G48*7%</f>
        <v>70000</v>
      </c>
      <c r="M48" s="114" t="n">
        <f aca="false">G48*5%</f>
        <v>50000</v>
      </c>
    </row>
    <row r="49" customFormat="false" ht="17.35" hidden="false" customHeight="false" outlineLevel="0" collapsed="false">
      <c r="A49" s="112" t="n">
        <v>48</v>
      </c>
      <c r="B49" s="113" t="s">
        <v>145</v>
      </c>
      <c r="C49" s="113" t="n">
        <v>307446998</v>
      </c>
      <c r="D49" s="52" t="s">
        <v>47</v>
      </c>
      <c r="E49" s="113" t="s">
        <v>211</v>
      </c>
      <c r="F49" s="113"/>
      <c r="G49" s="115" t="n">
        <v>3000000</v>
      </c>
      <c r="H49" s="113" t="s">
        <v>210</v>
      </c>
      <c r="I49" s="117" t="n">
        <v>20</v>
      </c>
      <c r="J49" s="117" t="n">
        <v>0</v>
      </c>
      <c r="K49" s="118" t="n">
        <f aca="false">G49*I49%</f>
        <v>600000</v>
      </c>
      <c r="L49" s="114" t="n">
        <f aca="false">G49*7%</f>
        <v>210000</v>
      </c>
      <c r="M49" s="114" t="n">
        <f aca="false">G49*5%</f>
        <v>150000</v>
      </c>
    </row>
    <row r="50" customFormat="false" ht="32.8" hidden="false" customHeight="false" outlineLevel="0" collapsed="false">
      <c r="A50" s="112" t="n">
        <v>49</v>
      </c>
      <c r="B50" s="113" t="s">
        <v>193</v>
      </c>
      <c r="C50" s="113" t="n">
        <v>308763019</v>
      </c>
      <c r="D50" s="114"/>
      <c r="E50" s="113" t="s">
        <v>218</v>
      </c>
      <c r="F50" s="113" t="s">
        <v>238</v>
      </c>
      <c r="G50" s="115" t="n">
        <v>1000000</v>
      </c>
      <c r="H50" s="113" t="s">
        <v>210</v>
      </c>
      <c r="I50" s="117" t="n">
        <v>20</v>
      </c>
      <c r="J50" s="117" t="n">
        <f aca="false">G50*5%</f>
        <v>50000</v>
      </c>
      <c r="K50" s="118" t="n">
        <f aca="false">G50*I50%</f>
        <v>200000</v>
      </c>
      <c r="L50" s="114" t="n">
        <f aca="false">G50*7%</f>
        <v>70000</v>
      </c>
      <c r="M50" s="114" t="n">
        <f aca="false">G50*5%</f>
        <v>50000</v>
      </c>
    </row>
    <row r="51" customFormat="false" ht="32.8" hidden="false" customHeight="false" outlineLevel="0" collapsed="false">
      <c r="A51" s="112" t="n">
        <v>50</v>
      </c>
      <c r="B51" s="113" t="s">
        <v>109</v>
      </c>
      <c r="C51" s="113" t="n">
        <v>304107369</v>
      </c>
      <c r="D51" s="118" t="s">
        <v>47</v>
      </c>
      <c r="E51" s="113" t="s">
        <v>218</v>
      </c>
      <c r="F51" s="113" t="s">
        <v>224</v>
      </c>
      <c r="G51" s="115" t="n">
        <v>2000000</v>
      </c>
      <c r="H51" s="113" t="s">
        <v>210</v>
      </c>
      <c r="I51" s="117" t="n">
        <v>20</v>
      </c>
      <c r="J51" s="117" t="n">
        <f aca="false">G51*5%</f>
        <v>100000</v>
      </c>
      <c r="K51" s="118" t="n">
        <f aca="false">G51*I51%</f>
        <v>400000</v>
      </c>
      <c r="L51" s="114" t="n">
        <f aca="false">G51*7%</f>
        <v>140000</v>
      </c>
      <c r="M51" s="114" t="n">
        <f aca="false">G51*5%</f>
        <v>100000</v>
      </c>
    </row>
    <row r="52" customFormat="false" ht="17.35" hidden="false" customHeight="false" outlineLevel="0" collapsed="false">
      <c r="A52" s="112" t="n">
        <v>51</v>
      </c>
      <c r="B52" s="113" t="s">
        <v>267</v>
      </c>
      <c r="C52" s="113" t="n">
        <v>305610162</v>
      </c>
      <c r="D52" s="118" t="s">
        <v>47</v>
      </c>
      <c r="E52" s="114" t="s">
        <v>223</v>
      </c>
      <c r="F52" s="113" t="s">
        <v>238</v>
      </c>
      <c r="G52" s="115" t="n">
        <v>2500000</v>
      </c>
      <c r="H52" s="113" t="s">
        <v>210</v>
      </c>
      <c r="I52" s="117" t="n">
        <v>20</v>
      </c>
      <c r="J52" s="117" t="n">
        <f aca="false">G52*5%</f>
        <v>125000</v>
      </c>
      <c r="K52" s="118" t="n">
        <f aca="false">G52*I52%</f>
        <v>500000</v>
      </c>
      <c r="L52" s="114" t="n">
        <f aca="false">G52*7%</f>
        <v>175000</v>
      </c>
      <c r="M52" s="114" t="n">
        <f aca="false">G52*5%</f>
        <v>125000</v>
      </c>
    </row>
    <row r="53" customFormat="false" ht="17.35" hidden="false" customHeight="false" outlineLevel="0" collapsed="false">
      <c r="A53" s="112" t="n">
        <v>52</v>
      </c>
      <c r="B53" s="113" t="s">
        <v>268</v>
      </c>
      <c r="C53" s="113"/>
      <c r="D53" s="118"/>
      <c r="E53" s="113" t="s">
        <v>212</v>
      </c>
      <c r="F53" s="113" t="s">
        <v>238</v>
      </c>
      <c r="G53" s="115" t="n">
        <v>1000000</v>
      </c>
      <c r="H53" s="113" t="s">
        <v>213</v>
      </c>
      <c r="I53" s="117" t="n">
        <v>20</v>
      </c>
      <c r="J53" s="117" t="n">
        <f aca="false">G53*5%</f>
        <v>50000</v>
      </c>
      <c r="K53" s="118" t="n">
        <f aca="false">G53*I53%</f>
        <v>200000</v>
      </c>
      <c r="L53" s="114" t="n">
        <f aca="false">G53*7%</f>
        <v>70000</v>
      </c>
      <c r="M53" s="114" t="n">
        <f aca="false">G53*5%</f>
        <v>50000</v>
      </c>
    </row>
    <row r="54" customFormat="false" ht="17.35" hidden="false" customHeight="false" outlineLevel="0" collapsed="false">
      <c r="A54" s="112" t="n">
        <v>53</v>
      </c>
      <c r="B54" s="113" t="s">
        <v>269</v>
      </c>
      <c r="C54" s="113" t="n">
        <v>308836242</v>
      </c>
      <c r="D54" s="118" t="s">
        <v>47</v>
      </c>
      <c r="E54" s="113" t="s">
        <v>217</v>
      </c>
      <c r="F54" s="113" t="s">
        <v>238</v>
      </c>
      <c r="G54" s="115" t="n">
        <v>1500000</v>
      </c>
      <c r="H54" s="113" t="s">
        <v>210</v>
      </c>
      <c r="I54" s="117" t="n">
        <v>20</v>
      </c>
      <c r="J54" s="117" t="n">
        <f aca="false">G54*5%</f>
        <v>75000</v>
      </c>
      <c r="K54" s="118" t="n">
        <f aca="false">G54*I54%</f>
        <v>300000</v>
      </c>
      <c r="L54" s="114" t="n">
        <f aca="false">G54*7%</f>
        <v>105000</v>
      </c>
      <c r="M54" s="114" t="n">
        <f aca="false">G54*5%</f>
        <v>75000</v>
      </c>
    </row>
    <row r="55" customFormat="false" ht="17.35" hidden="false" customHeight="false" outlineLevel="0" collapsed="false">
      <c r="A55" s="112" t="n">
        <v>54</v>
      </c>
      <c r="B55" s="120" t="s">
        <v>270</v>
      </c>
      <c r="C55" s="120"/>
      <c r="D55" s="57"/>
      <c r="E55" s="120" t="s">
        <v>210</v>
      </c>
      <c r="F55" s="113" t="s">
        <v>238</v>
      </c>
      <c r="G55" s="115" t="n">
        <v>1000000</v>
      </c>
      <c r="H55" s="113" t="s">
        <v>213</v>
      </c>
      <c r="I55" s="117" t="n">
        <v>20</v>
      </c>
      <c r="J55" s="117" t="n">
        <f aca="false">G55*5%</f>
        <v>50000</v>
      </c>
      <c r="K55" s="118" t="n">
        <f aca="false">G55*I55%</f>
        <v>200000</v>
      </c>
      <c r="L55" s="114" t="n">
        <f aca="false">G55*7%</f>
        <v>70000</v>
      </c>
      <c r="M55" s="114" t="n">
        <f aca="false">G55*5%</f>
        <v>50000</v>
      </c>
    </row>
    <row r="56" customFormat="false" ht="17.35" hidden="false" customHeight="false" outlineLevel="0" collapsed="false">
      <c r="A56" s="112" t="n">
        <v>55</v>
      </c>
      <c r="B56" s="113" t="s">
        <v>271</v>
      </c>
      <c r="C56" s="113" t="n">
        <v>307409092</v>
      </c>
      <c r="D56" s="52"/>
      <c r="E56" s="113" t="s">
        <v>212</v>
      </c>
      <c r="F56" s="113" t="s">
        <v>224</v>
      </c>
      <c r="G56" s="115" t="n">
        <v>1500000</v>
      </c>
      <c r="H56" s="113" t="s">
        <v>213</v>
      </c>
      <c r="I56" s="117" t="n">
        <v>20</v>
      </c>
      <c r="J56" s="117" t="n">
        <f aca="false">G56*5%</f>
        <v>75000</v>
      </c>
      <c r="K56" s="118" t="n">
        <f aca="false">G56*I56%</f>
        <v>300000</v>
      </c>
      <c r="L56" s="114" t="n">
        <f aca="false">G56*7%</f>
        <v>105000</v>
      </c>
      <c r="M56" s="114" t="n">
        <f aca="false">G56*5%</f>
        <v>75000</v>
      </c>
    </row>
    <row r="57" customFormat="false" ht="17.35" hidden="false" customHeight="false" outlineLevel="0" collapsed="false">
      <c r="A57" s="112" t="n">
        <v>56</v>
      </c>
      <c r="B57" s="113" t="s">
        <v>108</v>
      </c>
      <c r="C57" s="113" t="n">
        <v>303408381</v>
      </c>
      <c r="D57" s="118" t="s">
        <v>47</v>
      </c>
      <c r="E57" s="113" t="s">
        <v>223</v>
      </c>
      <c r="F57" s="113" t="s">
        <v>238</v>
      </c>
      <c r="G57" s="115" t="n">
        <v>4000000</v>
      </c>
      <c r="H57" s="113" t="s">
        <v>213</v>
      </c>
      <c r="I57" s="117" t="n">
        <v>20</v>
      </c>
      <c r="J57" s="117" t="n">
        <f aca="false">G57*5%</f>
        <v>200000</v>
      </c>
      <c r="K57" s="118" t="n">
        <f aca="false">G57*I57%</f>
        <v>800000</v>
      </c>
      <c r="L57" s="114" t="n">
        <f aca="false">G57*7%</f>
        <v>280000</v>
      </c>
      <c r="M57" s="114" t="n">
        <f aca="false">G57*5%</f>
        <v>200000</v>
      </c>
    </row>
    <row r="58" customFormat="false" ht="17.35" hidden="false" customHeight="false" outlineLevel="0" collapsed="false">
      <c r="A58" s="112" t="n">
        <v>57</v>
      </c>
      <c r="B58" s="113" t="s">
        <v>125</v>
      </c>
      <c r="C58" s="113" t="n">
        <v>305979201</v>
      </c>
      <c r="D58" s="52" t="s">
        <v>47</v>
      </c>
      <c r="E58" s="113" t="s">
        <v>223</v>
      </c>
      <c r="F58" s="113" t="s">
        <v>238</v>
      </c>
      <c r="G58" s="119" t="n">
        <v>2500000</v>
      </c>
      <c r="H58" s="113" t="s">
        <v>210</v>
      </c>
      <c r="I58" s="117" t="n">
        <v>20</v>
      </c>
      <c r="J58" s="117" t="n">
        <f aca="false">G58*5%</f>
        <v>125000</v>
      </c>
      <c r="K58" s="124" t="n">
        <f aca="false">G58*I58%</f>
        <v>500000</v>
      </c>
      <c r="L58" s="114" t="n">
        <f aca="false">G58*7%</f>
        <v>175000</v>
      </c>
      <c r="M58" s="114" t="n">
        <f aca="false">G58*5%</f>
        <v>125000</v>
      </c>
    </row>
    <row r="59" customFormat="false" ht="32.8" hidden="false" customHeight="false" outlineLevel="0" collapsed="false">
      <c r="A59" s="112" t="n">
        <v>58</v>
      </c>
      <c r="B59" s="113" t="s">
        <v>272</v>
      </c>
      <c r="C59" s="113" t="n">
        <v>306672520</v>
      </c>
      <c r="D59" s="52" t="s">
        <v>47</v>
      </c>
      <c r="E59" s="113" t="s">
        <v>213</v>
      </c>
      <c r="F59" s="113"/>
      <c r="G59" s="115" t="n">
        <v>4000000</v>
      </c>
      <c r="H59" s="113" t="s">
        <v>210</v>
      </c>
      <c r="I59" s="117" t="n">
        <v>20</v>
      </c>
      <c r="J59" s="117" t="n">
        <v>0</v>
      </c>
      <c r="K59" s="124" t="n">
        <f aca="false">G59*I59%</f>
        <v>800000</v>
      </c>
      <c r="L59" s="114" t="n">
        <f aca="false">G59*7%</f>
        <v>280000</v>
      </c>
      <c r="M59" s="114" t="n">
        <f aca="false">G59*5%</f>
        <v>200000</v>
      </c>
    </row>
    <row r="60" customFormat="false" ht="17.35" hidden="false" customHeight="false" outlineLevel="0" collapsed="false">
      <c r="A60" s="112" t="n">
        <v>59</v>
      </c>
      <c r="B60" s="113" t="s">
        <v>152</v>
      </c>
      <c r="C60" s="113" t="n">
        <v>308234589</v>
      </c>
      <c r="D60" s="118" t="s">
        <v>47</v>
      </c>
      <c r="E60" s="113" t="s">
        <v>218</v>
      </c>
      <c r="F60" s="113" t="s">
        <v>224</v>
      </c>
      <c r="G60" s="115" t="n">
        <v>700000</v>
      </c>
      <c r="H60" s="113" t="s">
        <v>210</v>
      </c>
      <c r="I60" s="117" t="n">
        <v>20</v>
      </c>
      <c r="J60" s="117" t="n">
        <f aca="false">G60*5%</f>
        <v>35000</v>
      </c>
      <c r="K60" s="118" t="n">
        <f aca="false">G60*I60%</f>
        <v>140000</v>
      </c>
      <c r="L60" s="114" t="n">
        <f aca="false">G60*7%</f>
        <v>49000</v>
      </c>
      <c r="M60" s="114" t="n">
        <f aca="false">G60*5%</f>
        <v>35000</v>
      </c>
    </row>
    <row r="61" customFormat="false" ht="17.35" hidden="false" customHeight="false" outlineLevel="0" collapsed="false">
      <c r="A61" s="112" t="n">
        <v>60</v>
      </c>
      <c r="B61" s="113" t="s">
        <v>273</v>
      </c>
      <c r="C61" s="113" t="n">
        <v>306774385</v>
      </c>
      <c r="D61" s="122" t="s">
        <v>47</v>
      </c>
      <c r="E61" s="113" t="s">
        <v>217</v>
      </c>
      <c r="F61" s="113" t="s">
        <v>238</v>
      </c>
      <c r="G61" s="115" t="n">
        <v>4350000</v>
      </c>
      <c r="H61" s="113" t="s">
        <v>210</v>
      </c>
      <c r="I61" s="117" t="n">
        <v>20</v>
      </c>
      <c r="J61" s="117" t="n">
        <f aca="false">G61*5%</f>
        <v>217500</v>
      </c>
      <c r="K61" s="118" t="n">
        <f aca="false">G61*I61%</f>
        <v>870000</v>
      </c>
      <c r="L61" s="114" t="n">
        <f aca="false">G61*7%</f>
        <v>304500</v>
      </c>
      <c r="M61" s="114" t="n">
        <f aca="false">G61*5%</f>
        <v>217500</v>
      </c>
    </row>
    <row r="62" customFormat="false" ht="17.35" hidden="false" customHeight="false" outlineLevel="0" collapsed="false">
      <c r="A62" s="112" t="n">
        <v>61</v>
      </c>
      <c r="B62" s="128" t="s">
        <v>274</v>
      </c>
      <c r="C62" s="128" t="n">
        <v>309695560</v>
      </c>
      <c r="D62" s="52"/>
      <c r="E62" s="113" t="s">
        <v>223</v>
      </c>
      <c r="F62" s="113" t="s">
        <v>224</v>
      </c>
      <c r="G62" s="115" t="n">
        <v>0</v>
      </c>
      <c r="H62" s="113" t="s">
        <v>210</v>
      </c>
      <c r="I62" s="117" t="n">
        <v>20</v>
      </c>
      <c r="J62" s="117" t="n">
        <f aca="false">G62*5%</f>
        <v>0</v>
      </c>
      <c r="K62" s="118" t="n">
        <f aca="false">G62*I62%</f>
        <v>0</v>
      </c>
      <c r="L62" s="114" t="n">
        <f aca="false">G62*7%</f>
        <v>0</v>
      </c>
      <c r="M62" s="114" t="n">
        <f aca="false">G62*5%</f>
        <v>0</v>
      </c>
    </row>
    <row r="63" customFormat="false" ht="17.35" hidden="false" customHeight="false" outlineLevel="0" collapsed="false">
      <c r="A63" s="112" t="n">
        <v>62</v>
      </c>
      <c r="B63" s="113" t="s">
        <v>275</v>
      </c>
      <c r="C63" s="113"/>
      <c r="D63" s="52" t="s">
        <v>47</v>
      </c>
      <c r="E63" s="113" t="s">
        <v>216</v>
      </c>
      <c r="F63" s="113"/>
      <c r="G63" s="115" t="n">
        <v>5000000</v>
      </c>
      <c r="H63" s="113" t="s">
        <v>210</v>
      </c>
      <c r="I63" s="117" t="n">
        <v>20</v>
      </c>
      <c r="J63" s="117" t="n">
        <v>0</v>
      </c>
      <c r="K63" s="124" t="n">
        <f aca="false">G63*I63%</f>
        <v>1000000</v>
      </c>
      <c r="L63" s="114" t="n">
        <f aca="false">G63*7%</f>
        <v>350000</v>
      </c>
      <c r="M63" s="114" t="n">
        <f aca="false">G63*5%</f>
        <v>250000</v>
      </c>
    </row>
    <row r="64" customFormat="false" ht="17.35" hidden="false" customHeight="false" outlineLevel="0" collapsed="false">
      <c r="A64" s="112" t="n">
        <v>63</v>
      </c>
      <c r="B64" s="120" t="s">
        <v>276</v>
      </c>
      <c r="C64" s="120"/>
      <c r="D64" s="124"/>
      <c r="E64" s="114" t="s">
        <v>230</v>
      </c>
      <c r="F64" s="120" t="s">
        <v>238</v>
      </c>
      <c r="G64" s="115" t="n">
        <v>1000000</v>
      </c>
      <c r="H64" s="113" t="s">
        <v>213</v>
      </c>
      <c r="I64" s="117" t="n">
        <v>20</v>
      </c>
      <c r="J64" s="117" t="n">
        <f aca="false">G64*5%</f>
        <v>50000</v>
      </c>
      <c r="K64" s="118" t="n">
        <f aca="false">G64*I64%</f>
        <v>200000</v>
      </c>
      <c r="L64" s="114" t="n">
        <f aca="false">G64*7%</f>
        <v>70000</v>
      </c>
      <c r="M64" s="114" t="n">
        <f aca="false">G64*5%</f>
        <v>50000</v>
      </c>
    </row>
    <row r="65" customFormat="false" ht="32.8" hidden="false" customHeight="false" outlineLevel="0" collapsed="false">
      <c r="A65" s="112" t="n">
        <v>64</v>
      </c>
      <c r="B65" s="113" t="s">
        <v>105</v>
      </c>
      <c r="C65" s="113" t="n">
        <v>206450634</v>
      </c>
      <c r="D65" s="52" t="s">
        <v>47</v>
      </c>
      <c r="E65" s="113" t="s">
        <v>217</v>
      </c>
      <c r="F65" s="113" t="s">
        <v>224</v>
      </c>
      <c r="G65" s="115" t="n">
        <v>2500000</v>
      </c>
      <c r="H65" s="113" t="s">
        <v>210</v>
      </c>
      <c r="I65" s="117" t="n">
        <v>20</v>
      </c>
      <c r="J65" s="117" t="n">
        <f aca="false">G65*5%</f>
        <v>125000</v>
      </c>
      <c r="K65" s="118" t="n">
        <f aca="false">G65*I65%</f>
        <v>500000</v>
      </c>
      <c r="L65" s="114" t="n">
        <f aca="false">G65*7%</f>
        <v>175000</v>
      </c>
      <c r="M65" s="114" t="n">
        <f aca="false">G65*5%</f>
        <v>125000</v>
      </c>
    </row>
    <row r="66" customFormat="false" ht="17.35" hidden="false" customHeight="false" outlineLevel="0" collapsed="false">
      <c r="A66" s="112" t="n">
        <v>65</v>
      </c>
      <c r="B66" s="125" t="s">
        <v>277</v>
      </c>
      <c r="C66" s="125" t="n">
        <v>308241991</v>
      </c>
      <c r="D66" s="122" t="s">
        <v>47</v>
      </c>
      <c r="E66" s="62" t="s">
        <v>208</v>
      </c>
      <c r="F66" s="125" t="s">
        <v>238</v>
      </c>
      <c r="G66" s="119" t="n">
        <v>0</v>
      </c>
      <c r="H66" s="113" t="s">
        <v>210</v>
      </c>
      <c r="I66" s="126"/>
      <c r="J66" s="117" t="n">
        <f aca="false">G66*5%</f>
        <v>0</v>
      </c>
      <c r="K66" s="118" t="n">
        <f aca="false">G66*I66%</f>
        <v>0</v>
      </c>
      <c r="L66" s="114"/>
      <c r="M66" s="114" t="n">
        <f aca="false">G66*5%</f>
        <v>0</v>
      </c>
    </row>
    <row r="67" customFormat="false" ht="17.35" hidden="false" customHeight="false" outlineLevel="0" collapsed="false">
      <c r="A67" s="112" t="n">
        <v>66</v>
      </c>
      <c r="B67" s="125" t="s">
        <v>278</v>
      </c>
      <c r="C67" s="125" t="n">
        <v>309680747</v>
      </c>
      <c r="D67" s="81" t="s">
        <v>47</v>
      </c>
      <c r="E67" s="125" t="s">
        <v>226</v>
      </c>
      <c r="F67" s="125" t="s">
        <v>238</v>
      </c>
      <c r="G67" s="119" t="n">
        <v>4000000</v>
      </c>
      <c r="H67" s="117" t="s">
        <v>213</v>
      </c>
      <c r="I67" s="117" t="n">
        <v>20</v>
      </c>
      <c r="J67" s="117" t="n">
        <f aca="false">G67*5%</f>
        <v>200000</v>
      </c>
      <c r="K67" s="118" t="n">
        <f aca="false">G67*I67%</f>
        <v>800000</v>
      </c>
      <c r="L67" s="114" t="n">
        <f aca="false">G67*7%</f>
        <v>280000</v>
      </c>
      <c r="M67" s="114" t="n">
        <f aca="false">G67*5%</f>
        <v>200000</v>
      </c>
    </row>
    <row r="68" customFormat="false" ht="17.35" hidden="false" customHeight="false" outlineLevel="0" collapsed="false">
      <c r="A68" s="112" t="n">
        <v>67</v>
      </c>
      <c r="B68" s="114" t="s">
        <v>279</v>
      </c>
      <c r="C68" s="114"/>
      <c r="D68" s="114"/>
      <c r="E68" s="120" t="s">
        <v>222</v>
      </c>
      <c r="F68" s="113" t="s">
        <v>224</v>
      </c>
      <c r="G68" s="129" t="n">
        <v>3000000</v>
      </c>
      <c r="H68" s="113" t="s">
        <v>213</v>
      </c>
      <c r="I68" s="117" t="n">
        <v>20</v>
      </c>
      <c r="J68" s="117" t="n">
        <f aca="false">G68*5%</f>
        <v>150000</v>
      </c>
      <c r="K68" s="118" t="n">
        <f aca="false">G68*I68%</f>
        <v>600000</v>
      </c>
      <c r="L68" s="114" t="n">
        <f aca="false">G68*7%</f>
        <v>210000</v>
      </c>
      <c r="M68" s="114" t="n">
        <f aca="false">G68*5%</f>
        <v>150000</v>
      </c>
    </row>
    <row r="69" customFormat="false" ht="17.35" hidden="false" customHeight="false" outlineLevel="0" collapsed="false">
      <c r="A69" s="112" t="n">
        <v>68</v>
      </c>
      <c r="B69" s="125" t="s">
        <v>280</v>
      </c>
      <c r="C69" s="125" t="n">
        <v>309291123</v>
      </c>
      <c r="D69" s="81" t="s">
        <v>47</v>
      </c>
      <c r="E69" s="125" t="s">
        <v>212</v>
      </c>
      <c r="F69" s="125" t="s">
        <v>238</v>
      </c>
      <c r="G69" s="119" t="n">
        <v>1500000</v>
      </c>
      <c r="H69" s="117" t="s">
        <v>213</v>
      </c>
      <c r="I69" s="126" t="n">
        <v>20</v>
      </c>
      <c r="J69" s="117" t="n">
        <f aca="false">G69*5%</f>
        <v>75000</v>
      </c>
      <c r="K69" s="118" t="n">
        <f aca="false">G69*I69%</f>
        <v>300000</v>
      </c>
      <c r="L69" s="114" t="n">
        <f aca="false">G69*7%</f>
        <v>105000</v>
      </c>
      <c r="M69" s="114" t="n">
        <f aca="false">G69*5%</f>
        <v>75000</v>
      </c>
    </row>
    <row r="70" customFormat="false" ht="17.35" hidden="false" customHeight="false" outlineLevel="0" collapsed="false">
      <c r="A70" s="112" t="n">
        <v>69</v>
      </c>
      <c r="B70" s="113" t="s">
        <v>281</v>
      </c>
      <c r="C70" s="113" t="n">
        <v>305218618</v>
      </c>
      <c r="D70" s="118" t="s">
        <v>47</v>
      </c>
      <c r="E70" s="113"/>
      <c r="F70" s="113"/>
      <c r="G70" s="115" t="n">
        <v>20000000</v>
      </c>
      <c r="H70" s="113"/>
      <c r="I70" s="117" t="n">
        <v>25</v>
      </c>
      <c r="J70" s="117" t="n">
        <v>0</v>
      </c>
      <c r="K70" s="118"/>
      <c r="L70" s="114" t="n">
        <f aca="false">G70*7%</f>
        <v>1400000</v>
      </c>
      <c r="M70" s="114"/>
    </row>
    <row r="71" customFormat="false" ht="17.35" hidden="false" customHeight="false" outlineLevel="0" collapsed="false">
      <c r="A71" s="112" t="n">
        <v>70</v>
      </c>
      <c r="B71" s="114" t="s">
        <v>282</v>
      </c>
      <c r="C71" s="114"/>
      <c r="D71" s="114"/>
      <c r="E71" s="113" t="s">
        <v>223</v>
      </c>
      <c r="F71" s="114"/>
      <c r="G71" s="115" t="n">
        <v>200000</v>
      </c>
      <c r="H71" s="113" t="s">
        <v>210</v>
      </c>
      <c r="I71" s="117" t="n">
        <v>20</v>
      </c>
      <c r="J71" s="130"/>
      <c r="K71" s="118" t="n">
        <f aca="false">G71*I71%</f>
        <v>40000</v>
      </c>
      <c r="L71" s="114" t="n">
        <f aca="false">G71*7%</f>
        <v>14000</v>
      </c>
      <c r="M71" s="114" t="n">
        <f aca="false">G71*5%</f>
        <v>10000</v>
      </c>
    </row>
    <row r="72" customFormat="false" ht="17.35" hidden="false" customHeight="false" outlineLevel="0" collapsed="false">
      <c r="A72" s="112" t="n">
        <v>71</v>
      </c>
      <c r="B72" s="113" t="s">
        <v>283</v>
      </c>
      <c r="C72" s="113" t="n">
        <v>309918004</v>
      </c>
      <c r="D72" s="52"/>
      <c r="E72" s="113" t="s">
        <v>208</v>
      </c>
      <c r="F72" s="113"/>
      <c r="G72" s="115" t="n">
        <v>1000000</v>
      </c>
      <c r="H72" s="113" t="s">
        <v>210</v>
      </c>
      <c r="I72" s="117" t="n">
        <v>20</v>
      </c>
      <c r="J72" s="117" t="n">
        <v>0</v>
      </c>
      <c r="K72" s="118" t="n">
        <f aca="false">G72*I72%</f>
        <v>200000</v>
      </c>
      <c r="L72" s="114" t="n">
        <f aca="false">G72*7%</f>
        <v>70000</v>
      </c>
      <c r="M72" s="114" t="n">
        <f aca="false">G72*5%</f>
        <v>50000</v>
      </c>
    </row>
    <row r="73" customFormat="false" ht="17.35" hidden="false" customHeight="false" outlineLevel="0" collapsed="false">
      <c r="A73" s="112" t="n">
        <v>72</v>
      </c>
      <c r="B73" s="113" t="s">
        <v>284</v>
      </c>
      <c r="C73" s="113"/>
      <c r="D73" s="52"/>
      <c r="E73" s="113" t="s">
        <v>209</v>
      </c>
      <c r="F73" s="113" t="s">
        <v>224</v>
      </c>
      <c r="G73" s="115" t="n">
        <v>11000000</v>
      </c>
      <c r="H73" s="113" t="s">
        <v>213</v>
      </c>
      <c r="I73" s="117" t="n">
        <v>20</v>
      </c>
      <c r="J73" s="117" t="n">
        <f aca="false">4000000*5%</f>
        <v>200000</v>
      </c>
      <c r="K73" s="118" t="n">
        <v>0</v>
      </c>
      <c r="L73" s="114" t="n">
        <f aca="false">G73*7%</f>
        <v>770000</v>
      </c>
      <c r="M73" s="114" t="n">
        <f aca="false">G73*5%</f>
        <v>550000</v>
      </c>
    </row>
    <row r="74" customFormat="false" ht="17.35" hidden="false" customHeight="false" outlineLevel="0" collapsed="false">
      <c r="A74" s="112" t="n">
        <v>73</v>
      </c>
      <c r="B74" s="113" t="s">
        <v>285</v>
      </c>
      <c r="C74" s="113"/>
      <c r="D74" s="118"/>
      <c r="E74" s="113" t="s">
        <v>212</v>
      </c>
      <c r="F74" s="113" t="s">
        <v>238</v>
      </c>
      <c r="G74" s="115" t="n">
        <v>1000000</v>
      </c>
      <c r="H74" s="113" t="s">
        <v>213</v>
      </c>
      <c r="I74" s="117" t="n">
        <v>20</v>
      </c>
      <c r="J74" s="117" t="n">
        <f aca="false">G74*5%</f>
        <v>50000</v>
      </c>
      <c r="K74" s="118" t="n">
        <f aca="false">G74*I74%</f>
        <v>200000</v>
      </c>
      <c r="L74" s="114" t="n">
        <f aca="false">G74*7%</f>
        <v>70000</v>
      </c>
      <c r="M74" s="114" t="n">
        <f aca="false">G74*5%</f>
        <v>50000</v>
      </c>
    </row>
    <row r="75" customFormat="false" ht="17.35" hidden="false" customHeight="false" outlineLevel="0" collapsed="false">
      <c r="A75" s="112" t="n">
        <v>74</v>
      </c>
      <c r="B75" s="114" t="s">
        <v>286</v>
      </c>
      <c r="C75" s="114"/>
      <c r="D75" s="114"/>
      <c r="E75" s="113" t="s">
        <v>213</v>
      </c>
      <c r="F75" s="113" t="s">
        <v>224</v>
      </c>
      <c r="G75" s="115" t="n">
        <v>2500000</v>
      </c>
      <c r="H75" s="113" t="s">
        <v>210</v>
      </c>
      <c r="I75" s="117" t="n">
        <v>20</v>
      </c>
      <c r="J75" s="117" t="n">
        <f aca="false">G75*5%</f>
        <v>125000</v>
      </c>
      <c r="K75" s="118" t="n">
        <f aca="false">G75*I75%</f>
        <v>500000</v>
      </c>
      <c r="L75" s="114" t="n">
        <f aca="false">G75*7%</f>
        <v>175000</v>
      </c>
      <c r="M75" s="114" t="n">
        <f aca="false">G75*5%</f>
        <v>125000</v>
      </c>
    </row>
    <row r="76" customFormat="false" ht="17.35" hidden="false" customHeight="false" outlineLevel="0" collapsed="false">
      <c r="A76" s="112" t="n">
        <v>75</v>
      </c>
      <c r="B76" s="113" t="s">
        <v>287</v>
      </c>
      <c r="C76" s="113" t="n">
        <v>310310683</v>
      </c>
      <c r="D76" s="114"/>
      <c r="E76" s="113" t="s">
        <v>213</v>
      </c>
      <c r="F76" s="114" t="s">
        <v>238</v>
      </c>
      <c r="G76" s="115" t="n">
        <v>700000</v>
      </c>
      <c r="H76" s="113" t="s">
        <v>210</v>
      </c>
      <c r="I76" s="117" t="n">
        <v>20</v>
      </c>
      <c r="J76" s="117" t="n">
        <f aca="false">G76*5%</f>
        <v>35000</v>
      </c>
      <c r="K76" s="118" t="n">
        <f aca="false">G76*I76%</f>
        <v>140000</v>
      </c>
      <c r="L76" s="114" t="n">
        <f aca="false">G76*7%</f>
        <v>49000</v>
      </c>
      <c r="M76" s="114" t="n">
        <f aca="false">G76*5%</f>
        <v>35000</v>
      </c>
    </row>
    <row r="77" customFormat="false" ht="17.35" hidden="false" customHeight="false" outlineLevel="0" collapsed="false">
      <c r="A77" s="112" t="n">
        <v>76</v>
      </c>
      <c r="B77" s="113" t="s">
        <v>288</v>
      </c>
      <c r="C77" s="113"/>
      <c r="D77" s="52"/>
      <c r="E77" s="113" t="s">
        <v>210</v>
      </c>
      <c r="F77" s="113"/>
      <c r="G77" s="129" t="n">
        <v>170000</v>
      </c>
      <c r="H77" s="113" t="s">
        <v>213</v>
      </c>
      <c r="I77" s="117" t="n">
        <v>20</v>
      </c>
      <c r="J77" s="130"/>
      <c r="K77" s="118" t="n">
        <f aca="false">G77*I77%</f>
        <v>34000</v>
      </c>
      <c r="L77" s="114" t="n">
        <f aca="false">G77*7%</f>
        <v>11900</v>
      </c>
      <c r="M77" s="114" t="n">
        <f aca="false">G77*5%</f>
        <v>8500</v>
      </c>
    </row>
    <row r="78" customFormat="false" ht="17.35" hidden="false" customHeight="false" outlineLevel="0" collapsed="false">
      <c r="A78" s="112" t="n">
        <v>77</v>
      </c>
      <c r="B78" s="125" t="s">
        <v>289</v>
      </c>
      <c r="C78" s="125"/>
      <c r="D78" s="114"/>
      <c r="E78" s="113" t="s">
        <v>218</v>
      </c>
      <c r="F78" s="113" t="s">
        <v>238</v>
      </c>
      <c r="G78" s="115" t="n">
        <v>1000000</v>
      </c>
      <c r="H78" s="113" t="s">
        <v>210</v>
      </c>
      <c r="I78" s="117" t="n">
        <v>20</v>
      </c>
      <c r="J78" s="117" t="n">
        <f aca="false">G78*5%</f>
        <v>50000</v>
      </c>
      <c r="K78" s="118" t="n">
        <f aca="false">G78*I78%</f>
        <v>200000</v>
      </c>
      <c r="L78" s="114" t="n">
        <f aca="false">G78*7%</f>
        <v>70000</v>
      </c>
      <c r="M78" s="114" t="n">
        <f aca="false">G78*5%</f>
        <v>50000</v>
      </c>
    </row>
    <row r="79" customFormat="false" ht="17.35" hidden="false" customHeight="false" outlineLevel="0" collapsed="false">
      <c r="A79" s="112" t="n">
        <v>78</v>
      </c>
      <c r="B79" s="114" t="s">
        <v>290</v>
      </c>
      <c r="C79" s="114"/>
      <c r="D79" s="114"/>
      <c r="E79" s="113" t="s">
        <v>218</v>
      </c>
      <c r="F79" s="114"/>
      <c r="G79" s="115" t="n">
        <v>10000000</v>
      </c>
      <c r="H79" s="113" t="s">
        <v>210</v>
      </c>
      <c r="I79" s="117" t="n">
        <v>20</v>
      </c>
      <c r="J79" s="130"/>
      <c r="K79" s="118" t="n">
        <f aca="false">G79*I79%</f>
        <v>2000000</v>
      </c>
      <c r="L79" s="114" t="n">
        <f aca="false">G79*7%</f>
        <v>700000</v>
      </c>
      <c r="M79" s="114" t="n">
        <f aca="false">G79*5%</f>
        <v>500000</v>
      </c>
    </row>
    <row r="80" customFormat="false" ht="17.35" hidden="false" customHeight="false" outlineLevel="0" collapsed="false">
      <c r="A80" s="112" t="n">
        <v>80</v>
      </c>
      <c r="B80" s="114" t="s">
        <v>291</v>
      </c>
      <c r="C80" s="114"/>
      <c r="D80" s="114"/>
      <c r="E80" s="113" t="s">
        <v>213</v>
      </c>
      <c r="F80" s="114" t="s">
        <v>238</v>
      </c>
      <c r="G80" s="115" t="n">
        <v>1500000</v>
      </c>
      <c r="H80" s="113" t="s">
        <v>210</v>
      </c>
      <c r="I80" s="117" t="n">
        <v>20</v>
      </c>
      <c r="J80" s="117" t="n">
        <f aca="false">G80*5%</f>
        <v>75000</v>
      </c>
      <c r="K80" s="118" t="n">
        <f aca="false">G80*I80%</f>
        <v>300000</v>
      </c>
      <c r="L80" s="114" t="n">
        <f aca="false">G80*7%</f>
        <v>105000</v>
      </c>
      <c r="M80" s="114" t="n">
        <f aca="false">G80*5%</f>
        <v>75000</v>
      </c>
    </row>
    <row r="81" customFormat="false" ht="17.35" hidden="false" customHeight="false" outlineLevel="0" collapsed="false">
      <c r="A81" s="112" t="n">
        <v>81</v>
      </c>
      <c r="B81" s="114" t="s">
        <v>292</v>
      </c>
      <c r="C81" s="114"/>
      <c r="D81" s="114"/>
      <c r="E81" s="113" t="s">
        <v>218</v>
      </c>
      <c r="F81" s="114" t="s">
        <v>238</v>
      </c>
      <c r="G81" s="115" t="n">
        <v>0</v>
      </c>
      <c r="H81" s="113" t="s">
        <v>210</v>
      </c>
      <c r="I81" s="117" t="n">
        <v>20</v>
      </c>
      <c r="J81" s="117" t="n">
        <f aca="false">G81*5%</f>
        <v>0</v>
      </c>
      <c r="K81" s="118" t="n">
        <f aca="false">G81*I81%</f>
        <v>0</v>
      </c>
      <c r="L81" s="114" t="n">
        <f aca="false">G81*7%</f>
        <v>0</v>
      </c>
      <c r="M81" s="114" t="n">
        <f aca="false">G81*5%</f>
        <v>0</v>
      </c>
    </row>
    <row r="82" customFormat="false" ht="17.35" hidden="false" customHeight="false" outlineLevel="0" collapsed="false">
      <c r="A82" s="112" t="n">
        <v>82</v>
      </c>
      <c r="B82" s="114" t="s">
        <v>293</v>
      </c>
      <c r="C82" s="114"/>
      <c r="D82" s="114"/>
      <c r="E82" s="131" t="s">
        <v>226</v>
      </c>
      <c r="F82" s="114" t="s">
        <v>238</v>
      </c>
      <c r="G82" s="115" t="n">
        <v>800000</v>
      </c>
      <c r="H82" s="113" t="s">
        <v>213</v>
      </c>
      <c r="I82" s="117" t="n">
        <v>20</v>
      </c>
      <c r="J82" s="117" t="n">
        <f aca="false">G82*5%</f>
        <v>40000</v>
      </c>
      <c r="K82" s="118" t="n">
        <f aca="false">G82*I82%</f>
        <v>160000</v>
      </c>
      <c r="L82" s="114" t="n">
        <f aca="false">G82*7%</f>
        <v>56000</v>
      </c>
      <c r="M82" s="114" t="n">
        <f aca="false">G82*5%</f>
        <v>40000</v>
      </c>
    </row>
    <row r="83" customFormat="false" ht="17.35" hidden="false" customHeight="false" outlineLevel="0" collapsed="false">
      <c r="A83" s="112" t="n">
        <v>83</v>
      </c>
      <c r="B83" s="114" t="s">
        <v>294</v>
      </c>
      <c r="C83" s="114"/>
      <c r="D83" s="114"/>
      <c r="E83" s="113" t="s">
        <v>219</v>
      </c>
      <c r="F83" s="113" t="s">
        <v>239</v>
      </c>
      <c r="G83" s="115" t="n">
        <v>15000000</v>
      </c>
      <c r="H83" s="113" t="s">
        <v>210</v>
      </c>
      <c r="I83" s="117" t="n">
        <v>20</v>
      </c>
      <c r="J83" s="117" t="n">
        <f aca="false">G83*5%</f>
        <v>750000</v>
      </c>
      <c r="K83" s="118" t="n">
        <f aca="false">Таблица3[[#This Row],[Столбец7]]*Таблица3[[#This Row],[Столбец10]]%</f>
        <v>3000000</v>
      </c>
      <c r="L83" s="114" t="n">
        <f aca="false">G83*7%</f>
        <v>1050000</v>
      </c>
      <c r="M83" s="114" t="n">
        <f aca="false">G83*10%</f>
        <v>1500000</v>
      </c>
    </row>
    <row r="84" customFormat="false" ht="17.35" hidden="false" customHeight="false" outlineLevel="0" collapsed="false">
      <c r="A84" s="112" t="n">
        <v>84</v>
      </c>
      <c r="B84" s="114" t="s">
        <v>295</v>
      </c>
      <c r="C84" s="114"/>
      <c r="D84" s="114"/>
      <c r="E84" s="113" t="s">
        <v>212</v>
      </c>
      <c r="F84" s="114" t="s">
        <v>238</v>
      </c>
      <c r="G84" s="115" t="n">
        <v>1000000</v>
      </c>
      <c r="H84" s="113" t="s">
        <v>213</v>
      </c>
      <c r="I84" s="117" t="n">
        <v>20</v>
      </c>
      <c r="J84" s="117" t="n">
        <f aca="false">G84*5%</f>
        <v>50000</v>
      </c>
      <c r="K84" s="118" t="n">
        <f aca="false">G84*I84%</f>
        <v>200000</v>
      </c>
      <c r="L84" s="114" t="n">
        <f aca="false">G84*7%</f>
        <v>70000</v>
      </c>
      <c r="M84" s="114" t="n">
        <f aca="false">G84*5%</f>
        <v>50000</v>
      </c>
    </row>
    <row r="85" customFormat="false" ht="17.35" hidden="false" customHeight="false" outlineLevel="0" collapsed="false">
      <c r="A85" s="112" t="n">
        <v>85</v>
      </c>
      <c r="B85" s="114" t="s">
        <v>296</v>
      </c>
      <c r="C85" s="114"/>
      <c r="D85" s="114"/>
      <c r="E85" s="113" t="s">
        <v>224</v>
      </c>
      <c r="F85" s="113" t="s">
        <v>224</v>
      </c>
      <c r="G85" s="115" t="n">
        <v>700000</v>
      </c>
      <c r="H85" s="113" t="s">
        <v>210</v>
      </c>
      <c r="I85" s="117" t="n">
        <v>20</v>
      </c>
      <c r="J85" s="117" t="n">
        <f aca="false">G85*5%</f>
        <v>35000</v>
      </c>
      <c r="K85" s="118" t="n">
        <f aca="false">G85*I85%</f>
        <v>140000</v>
      </c>
      <c r="L85" s="114" t="n">
        <f aca="false">G85*7%</f>
        <v>49000</v>
      </c>
      <c r="M85" s="114" t="n">
        <f aca="false">G85*5%</f>
        <v>35000</v>
      </c>
    </row>
    <row r="86" customFormat="false" ht="17.35" hidden="false" customHeight="false" outlineLevel="0" collapsed="false">
      <c r="A86" s="112" t="n">
        <v>86</v>
      </c>
      <c r="B86" s="114" t="s">
        <v>297</v>
      </c>
      <c r="C86" s="114"/>
      <c r="D86" s="114"/>
      <c r="E86" s="113" t="s">
        <v>208</v>
      </c>
      <c r="F86" s="113" t="s">
        <v>224</v>
      </c>
      <c r="G86" s="132" t="n">
        <v>1000000</v>
      </c>
      <c r="H86" s="113" t="s">
        <v>210</v>
      </c>
      <c r="I86" s="117" t="n">
        <v>20</v>
      </c>
      <c r="J86" s="117" t="n">
        <f aca="false">G86*5%</f>
        <v>50000</v>
      </c>
      <c r="K86" s="118" t="n">
        <f aca="false">G86*I86%</f>
        <v>200000</v>
      </c>
      <c r="L86" s="114" t="n">
        <f aca="false">G86*7%</f>
        <v>70000</v>
      </c>
      <c r="M86" s="114" t="n">
        <f aca="false">G86*5%</f>
        <v>50000</v>
      </c>
    </row>
    <row r="87" customFormat="false" ht="17.35" hidden="false" customHeight="false" outlineLevel="0" collapsed="false">
      <c r="A87" s="112" t="n">
        <v>87</v>
      </c>
      <c r="B87" s="114" t="s">
        <v>298</v>
      </c>
      <c r="C87" s="114"/>
      <c r="D87" s="114"/>
      <c r="E87" s="113" t="s">
        <v>224</v>
      </c>
      <c r="F87" s="113" t="s">
        <v>224</v>
      </c>
      <c r="G87" s="129" t="n">
        <v>700000</v>
      </c>
      <c r="H87" s="113" t="s">
        <v>210</v>
      </c>
      <c r="I87" s="117" t="n">
        <v>20</v>
      </c>
      <c r="J87" s="117" t="n">
        <f aca="false">G87*5%</f>
        <v>35000</v>
      </c>
      <c r="K87" s="118" t="n">
        <f aca="false">G87*I87%</f>
        <v>140000</v>
      </c>
      <c r="L87" s="114" t="n">
        <f aca="false">G87*7%</f>
        <v>49000</v>
      </c>
      <c r="M87" s="114" t="n">
        <f aca="false">G87*5%</f>
        <v>35000</v>
      </c>
    </row>
    <row r="88" customFormat="false" ht="17.35" hidden="false" customHeight="false" outlineLevel="0" collapsed="false">
      <c r="A88" s="112" t="n">
        <v>88</v>
      </c>
      <c r="B88" s="114" t="s">
        <v>299</v>
      </c>
      <c r="C88" s="114"/>
      <c r="D88" s="114"/>
      <c r="E88" s="62" t="s">
        <v>208</v>
      </c>
      <c r="F88" s="114" t="s">
        <v>238</v>
      </c>
      <c r="G88" s="129" t="n">
        <v>3000000</v>
      </c>
      <c r="H88" s="113" t="s">
        <v>210</v>
      </c>
      <c r="I88" s="117" t="n">
        <v>20</v>
      </c>
      <c r="J88" s="117" t="n">
        <f aca="false">G88*5%</f>
        <v>150000</v>
      </c>
      <c r="K88" s="118" t="n">
        <v>0</v>
      </c>
      <c r="L88" s="114" t="n">
        <f aca="false">G88*7%+300000</f>
        <v>510000</v>
      </c>
      <c r="M88" s="114" t="n">
        <f aca="false">G88*5%</f>
        <v>150000</v>
      </c>
    </row>
    <row r="89" customFormat="false" ht="17.35" hidden="false" customHeight="false" outlineLevel="0" collapsed="false">
      <c r="A89" s="112" t="n">
        <v>89</v>
      </c>
      <c r="B89" s="114" t="s">
        <v>300</v>
      </c>
      <c r="C89" s="114"/>
      <c r="D89" s="114"/>
      <c r="E89" s="113" t="s">
        <v>223</v>
      </c>
      <c r="F89" s="114" t="s">
        <v>224</v>
      </c>
      <c r="G89" s="129" t="n">
        <v>3000000</v>
      </c>
      <c r="H89" s="113" t="s">
        <v>210</v>
      </c>
      <c r="I89" s="117" t="n">
        <v>20</v>
      </c>
      <c r="J89" s="117" t="n">
        <f aca="false">G89*5%</f>
        <v>150000</v>
      </c>
      <c r="K89" s="118" t="n">
        <f aca="false">G89*I89%</f>
        <v>600000</v>
      </c>
      <c r="L89" s="114" t="n">
        <f aca="false">G89*7%</f>
        <v>210000</v>
      </c>
      <c r="M89" s="114" t="n">
        <f aca="false">G89*5%</f>
        <v>150000</v>
      </c>
    </row>
    <row r="90" customFormat="false" ht="17.35" hidden="false" customHeight="false" outlineLevel="0" collapsed="false">
      <c r="A90" s="112" t="n">
        <v>90</v>
      </c>
      <c r="B90" s="114" t="s">
        <v>301</v>
      </c>
      <c r="C90" s="114"/>
      <c r="D90" s="114"/>
      <c r="E90" s="113" t="s">
        <v>234</v>
      </c>
      <c r="F90" s="113" t="s">
        <v>224</v>
      </c>
      <c r="G90" s="129" t="n">
        <v>500000</v>
      </c>
      <c r="H90" s="113" t="s">
        <v>217</v>
      </c>
      <c r="I90" s="117" t="n">
        <v>25</v>
      </c>
      <c r="J90" s="117" t="n">
        <f aca="false">G90*5%</f>
        <v>25000</v>
      </c>
      <c r="K90" s="118" t="n">
        <f aca="false">G90*I90%</f>
        <v>125000</v>
      </c>
      <c r="L90" s="114" t="n">
        <f aca="false">G90*7%</f>
        <v>35000</v>
      </c>
      <c r="M90" s="114" t="n">
        <f aca="false">G90*5%</f>
        <v>25000</v>
      </c>
    </row>
    <row r="91" customFormat="false" ht="17.35" hidden="false" customHeight="false" outlineLevel="0" collapsed="false">
      <c r="A91" s="112" t="n">
        <v>91</v>
      </c>
      <c r="B91" s="114" t="s">
        <v>302</v>
      </c>
      <c r="C91" s="114"/>
      <c r="D91" s="114"/>
      <c r="E91" s="120" t="s">
        <v>217</v>
      </c>
      <c r="F91" s="114"/>
      <c r="G91" s="129" t="n">
        <v>2500000</v>
      </c>
      <c r="H91" s="113" t="s">
        <v>210</v>
      </c>
      <c r="I91" s="117" t="n">
        <v>20</v>
      </c>
      <c r="J91" s="117" t="n">
        <v>0</v>
      </c>
      <c r="K91" s="118" t="n">
        <f aca="false">G91*I91%</f>
        <v>500000</v>
      </c>
      <c r="L91" s="114" t="n">
        <f aca="false">G91*7%</f>
        <v>175000</v>
      </c>
      <c r="M91" s="114" t="n">
        <f aca="false">G91*5%</f>
        <v>125000</v>
      </c>
    </row>
    <row r="92" customFormat="false" ht="17.35" hidden="false" customHeight="false" outlineLevel="0" collapsed="false">
      <c r="A92" s="112" t="n">
        <v>92</v>
      </c>
      <c r="B92" s="114" t="s">
        <v>303</v>
      </c>
      <c r="C92" s="114"/>
      <c r="D92" s="114"/>
      <c r="E92" s="113" t="s">
        <v>218</v>
      </c>
      <c r="F92" s="114" t="s">
        <v>238</v>
      </c>
      <c r="G92" s="129" t="n">
        <v>0</v>
      </c>
      <c r="H92" s="113" t="s">
        <v>210</v>
      </c>
      <c r="I92" s="117" t="n">
        <v>20</v>
      </c>
      <c r="J92" s="117" t="n">
        <f aca="false">G92*5%</f>
        <v>0</v>
      </c>
      <c r="K92" s="118" t="n">
        <f aca="false">G92*I92%</f>
        <v>0</v>
      </c>
      <c r="L92" s="114" t="n">
        <f aca="false">G92*7%</f>
        <v>0</v>
      </c>
      <c r="M92" s="114" t="n">
        <f aca="false">G92*5%</f>
        <v>0</v>
      </c>
    </row>
    <row r="93" customFormat="false" ht="17.35" hidden="false" customHeight="false" outlineLevel="0" collapsed="false">
      <c r="A93" s="112" t="n">
        <v>93</v>
      </c>
      <c r="B93" s="114" t="s">
        <v>304</v>
      </c>
      <c r="C93" s="114"/>
      <c r="D93" s="114"/>
      <c r="E93" s="120" t="s">
        <v>221</v>
      </c>
      <c r="F93" s="114" t="s">
        <v>238</v>
      </c>
      <c r="G93" s="115" t="n">
        <v>700000</v>
      </c>
      <c r="H93" s="113" t="s">
        <v>210</v>
      </c>
      <c r="I93" s="117" t="n">
        <v>20</v>
      </c>
      <c r="J93" s="117" t="n">
        <f aca="false">G93*5%</f>
        <v>35000</v>
      </c>
      <c r="K93" s="118" t="n">
        <f aca="false">G93*I93%</f>
        <v>140000</v>
      </c>
      <c r="L93" s="114" t="n">
        <f aca="false">G93*7%</f>
        <v>49000</v>
      </c>
      <c r="M93" s="114" t="n">
        <f aca="false">G93*5%</f>
        <v>35000</v>
      </c>
    </row>
    <row r="94" customFormat="false" ht="17.35" hidden="false" customHeight="false" outlineLevel="0" collapsed="false">
      <c r="A94" s="112" t="n">
        <v>94</v>
      </c>
      <c r="B94" s="114" t="s">
        <v>305</v>
      </c>
      <c r="C94" s="114"/>
      <c r="D94" s="114"/>
      <c r="E94" s="114" t="s">
        <v>226</v>
      </c>
      <c r="F94" s="113" t="s">
        <v>224</v>
      </c>
      <c r="G94" s="115" t="n">
        <v>700000</v>
      </c>
      <c r="H94" s="113" t="s">
        <v>213</v>
      </c>
      <c r="I94" s="117" t="n">
        <v>25</v>
      </c>
      <c r="J94" s="117" t="n">
        <f aca="false">G94*5%</f>
        <v>35000</v>
      </c>
      <c r="K94" s="118" t="n">
        <f aca="false">G94*I94%</f>
        <v>175000</v>
      </c>
      <c r="L94" s="114" t="n">
        <f aca="false">G94*7%</f>
        <v>49000</v>
      </c>
      <c r="M94" s="114" t="n">
        <f aca="false">G94*5%</f>
        <v>35000</v>
      </c>
    </row>
    <row r="95" customFormat="false" ht="17.35" hidden="false" customHeight="false" outlineLevel="0" collapsed="false">
      <c r="A95" s="112" t="n">
        <v>95</v>
      </c>
      <c r="B95" s="114" t="s">
        <v>306</v>
      </c>
      <c r="C95" s="114"/>
      <c r="D95" s="114"/>
      <c r="E95" s="114" t="s">
        <v>234</v>
      </c>
      <c r="F95" s="114"/>
      <c r="G95" s="115" t="n">
        <v>500000</v>
      </c>
      <c r="H95" s="113" t="s">
        <v>217</v>
      </c>
      <c r="I95" s="117" t="n">
        <v>20</v>
      </c>
      <c r="J95" s="117" t="n">
        <v>0</v>
      </c>
      <c r="K95" s="118" t="n">
        <f aca="false">G95*I95%</f>
        <v>100000</v>
      </c>
      <c r="L95" s="114" t="n">
        <f aca="false">G95*7%</f>
        <v>35000</v>
      </c>
      <c r="M95" s="114" t="n">
        <f aca="false">G95*5%</f>
        <v>25000</v>
      </c>
    </row>
    <row r="96" customFormat="false" ht="17.35" hidden="false" customHeight="false" outlineLevel="0" collapsed="false">
      <c r="A96" s="112" t="n">
        <v>96</v>
      </c>
      <c r="B96" s="133" t="s">
        <v>307</v>
      </c>
      <c r="C96" s="133"/>
      <c r="D96" s="133"/>
      <c r="E96" s="113" t="s">
        <v>218</v>
      </c>
      <c r="F96" s="133" t="s">
        <v>238</v>
      </c>
      <c r="G96" s="134" t="n">
        <v>1000000</v>
      </c>
      <c r="H96" s="113" t="s">
        <v>210</v>
      </c>
      <c r="I96" s="117" t="n">
        <v>20</v>
      </c>
      <c r="J96" s="117" t="n">
        <f aca="false">G96*5%</f>
        <v>50000</v>
      </c>
      <c r="K96" s="118" t="n">
        <f aca="false">G96*I96%</f>
        <v>200000</v>
      </c>
      <c r="L96" s="114" t="n">
        <f aca="false">G96*7%</f>
        <v>70000</v>
      </c>
      <c r="M96" s="114" t="n">
        <f aca="false">G96*5%</f>
        <v>50000</v>
      </c>
    </row>
    <row r="97" customFormat="false" ht="17.35" hidden="false" customHeight="false" outlineLevel="0" collapsed="false">
      <c r="A97" s="112" t="n">
        <v>97</v>
      </c>
      <c r="B97" s="114" t="s">
        <v>308</v>
      </c>
      <c r="C97" s="114"/>
      <c r="D97" s="114"/>
      <c r="E97" s="120" t="s">
        <v>221</v>
      </c>
      <c r="F97" s="114" t="s">
        <v>238</v>
      </c>
      <c r="G97" s="129" t="n">
        <v>700000</v>
      </c>
      <c r="H97" s="113" t="s">
        <v>210</v>
      </c>
      <c r="I97" s="117" t="n">
        <v>20</v>
      </c>
      <c r="J97" s="117" t="n">
        <f aca="false">G97*5%</f>
        <v>35000</v>
      </c>
      <c r="K97" s="118" t="n">
        <f aca="false">G97*I97%</f>
        <v>140000</v>
      </c>
      <c r="L97" s="114" t="n">
        <f aca="false">G97*7%</f>
        <v>49000</v>
      </c>
      <c r="M97" s="114" t="n">
        <f aca="false">G97*5%</f>
        <v>35000</v>
      </c>
    </row>
    <row r="98" customFormat="false" ht="17.35" hidden="false" customHeight="false" outlineLevel="0" collapsed="false">
      <c r="A98" s="112" t="n">
        <v>98</v>
      </c>
      <c r="B98" s="114" t="s">
        <v>309</v>
      </c>
      <c r="C98" s="114"/>
      <c r="D98" s="114"/>
      <c r="E98" s="120" t="s">
        <v>226</v>
      </c>
      <c r="F98" s="113" t="s">
        <v>224</v>
      </c>
      <c r="G98" s="129" t="n">
        <v>750000</v>
      </c>
      <c r="H98" s="113" t="s">
        <v>213</v>
      </c>
      <c r="I98" s="117" t="n">
        <v>20</v>
      </c>
      <c r="J98" s="117" t="n">
        <f aca="false">G98*5%</f>
        <v>37500</v>
      </c>
      <c r="K98" s="118" t="n">
        <f aca="false">G98*I98%</f>
        <v>150000</v>
      </c>
      <c r="L98" s="114" t="n">
        <f aca="false">G98*7%</f>
        <v>52500</v>
      </c>
      <c r="M98" s="114" t="n">
        <f aca="false">G98*5%</f>
        <v>37500</v>
      </c>
    </row>
    <row r="99" customFormat="false" ht="17.35" hidden="false" customHeight="false" outlineLevel="0" collapsed="false">
      <c r="A99" s="112" t="n">
        <v>99</v>
      </c>
      <c r="B99" s="114" t="s">
        <v>310</v>
      </c>
      <c r="C99" s="114"/>
      <c r="D99" s="114"/>
      <c r="E99" s="114" t="s">
        <v>217</v>
      </c>
      <c r="F99" s="114" t="s">
        <v>238</v>
      </c>
      <c r="G99" s="115" t="n">
        <v>700000</v>
      </c>
      <c r="H99" s="113" t="s">
        <v>210</v>
      </c>
      <c r="I99" s="117" t="n">
        <v>20</v>
      </c>
      <c r="J99" s="117" t="n">
        <f aca="false">G99*5%</f>
        <v>35000</v>
      </c>
      <c r="K99" s="118" t="n">
        <f aca="false">G99*I99%</f>
        <v>140000</v>
      </c>
      <c r="L99" s="114" t="n">
        <f aca="false">G99*7%</f>
        <v>49000</v>
      </c>
      <c r="M99" s="114" t="n">
        <f aca="false">G99*5%</f>
        <v>35000</v>
      </c>
    </row>
    <row r="100" customFormat="false" ht="17.35" hidden="false" customHeight="false" outlineLevel="0" collapsed="false">
      <c r="A100" s="112" t="n">
        <v>100</v>
      </c>
      <c r="B100" s="114"/>
      <c r="C100" s="114"/>
      <c r="D100" s="114"/>
      <c r="E100" s="114"/>
      <c r="F100" s="113"/>
      <c r="G100" s="115"/>
      <c r="H100" s="113"/>
      <c r="I100" s="117"/>
      <c r="J100" s="117"/>
      <c r="K100" s="118"/>
      <c r="L100" s="114"/>
      <c r="M100" s="114"/>
    </row>
    <row r="101" customFormat="false" ht="17.35" hidden="false" customHeight="false" outlineLevel="0" collapsed="false">
      <c r="A101" s="112" t="n">
        <v>101</v>
      </c>
      <c r="B101" s="114" t="s">
        <v>311</v>
      </c>
      <c r="C101" s="114"/>
      <c r="D101" s="114"/>
      <c r="E101" s="113" t="s">
        <v>211</v>
      </c>
      <c r="F101" s="113" t="s">
        <v>224</v>
      </c>
      <c r="G101" s="115" t="n">
        <v>10000000</v>
      </c>
      <c r="H101" s="113" t="s">
        <v>210</v>
      </c>
      <c r="I101" s="117" t="n">
        <v>20</v>
      </c>
      <c r="J101" s="117" t="n">
        <f aca="false">G101*5%</f>
        <v>500000</v>
      </c>
      <c r="K101" s="118" t="n">
        <f aca="false">G101*I101%</f>
        <v>2000000</v>
      </c>
      <c r="L101" s="114" t="n">
        <f aca="false">G101*7%</f>
        <v>700000</v>
      </c>
      <c r="M101" s="114" t="n">
        <f aca="false">G101*5%</f>
        <v>500000</v>
      </c>
    </row>
    <row r="102" customFormat="false" ht="17.35" hidden="false" customHeight="false" outlineLevel="0" collapsed="false">
      <c r="A102" s="112" t="n">
        <v>102</v>
      </c>
      <c r="B102" s="114" t="s">
        <v>312</v>
      </c>
      <c r="C102" s="114"/>
      <c r="D102" s="114"/>
      <c r="E102" s="120" t="s">
        <v>217</v>
      </c>
      <c r="F102" s="114"/>
      <c r="G102" s="115" t="n">
        <f aca="false">2500000</f>
        <v>2500000</v>
      </c>
      <c r="H102" s="113" t="s">
        <v>210</v>
      </c>
      <c r="I102" s="117" t="n">
        <v>20</v>
      </c>
      <c r="J102" s="117"/>
      <c r="K102" s="124" t="n">
        <f aca="false">G102*I102%</f>
        <v>500000</v>
      </c>
      <c r="L102" s="114" t="n">
        <f aca="false">G102*7%</f>
        <v>175000</v>
      </c>
      <c r="M102" s="114" t="n">
        <f aca="false">G102*5%</f>
        <v>125000</v>
      </c>
    </row>
    <row r="103" customFormat="false" ht="17.35" hidden="false" customHeight="false" outlineLevel="0" collapsed="false">
      <c r="A103" s="112" t="n">
        <v>103</v>
      </c>
      <c r="B103" s="114" t="s">
        <v>313</v>
      </c>
      <c r="C103" s="114"/>
      <c r="D103" s="114"/>
      <c r="E103" s="120" t="s">
        <v>217</v>
      </c>
      <c r="F103" s="114" t="s">
        <v>238</v>
      </c>
      <c r="G103" s="115" t="n">
        <v>2000000</v>
      </c>
      <c r="H103" s="113" t="s">
        <v>210</v>
      </c>
      <c r="I103" s="117" t="n">
        <v>20</v>
      </c>
      <c r="J103" s="117" t="n">
        <f aca="false">G103*5%</f>
        <v>100000</v>
      </c>
      <c r="K103" s="118" t="n">
        <f aca="false">G103*I103%</f>
        <v>400000</v>
      </c>
      <c r="L103" s="114" t="n">
        <f aca="false">G103*7%</f>
        <v>140000</v>
      </c>
      <c r="M103" s="114" t="n">
        <f aca="false">G103*5%</f>
        <v>100000</v>
      </c>
    </row>
    <row r="104" customFormat="false" ht="17.35" hidden="false" customHeight="false" outlineLevel="0" collapsed="false">
      <c r="A104" s="112" t="n">
        <v>104</v>
      </c>
      <c r="B104" s="114" t="s">
        <v>314</v>
      </c>
      <c r="C104" s="114"/>
      <c r="D104" s="114"/>
      <c r="E104" s="113" t="s">
        <v>208</v>
      </c>
      <c r="F104" s="113" t="s">
        <v>224</v>
      </c>
      <c r="G104" s="129" t="n">
        <v>2500000</v>
      </c>
      <c r="H104" s="113" t="s">
        <v>210</v>
      </c>
      <c r="I104" s="117" t="n">
        <v>20</v>
      </c>
      <c r="J104" s="117" t="n">
        <f aca="false">G104*5%</f>
        <v>125000</v>
      </c>
      <c r="K104" s="118" t="n">
        <f aca="false">G104*I104%</f>
        <v>500000</v>
      </c>
      <c r="L104" s="114" t="n">
        <f aca="false">G104*7%</f>
        <v>175000</v>
      </c>
      <c r="M104" s="114" t="n">
        <f aca="false">G104*5%</f>
        <v>125000</v>
      </c>
    </row>
    <row r="105" customFormat="false" ht="17.35" hidden="false" customHeight="false" outlineLevel="0" collapsed="false">
      <c r="A105" s="112" t="n">
        <v>105</v>
      </c>
      <c r="B105" s="133" t="s">
        <v>315</v>
      </c>
      <c r="C105" s="133"/>
      <c r="D105" s="133"/>
      <c r="E105" s="113" t="s">
        <v>210</v>
      </c>
      <c r="F105" s="133" t="s">
        <v>238</v>
      </c>
      <c r="G105" s="135" t="n">
        <v>2000000</v>
      </c>
      <c r="H105" s="113" t="s">
        <v>213</v>
      </c>
      <c r="I105" s="117" t="n">
        <v>20</v>
      </c>
      <c r="J105" s="117" t="n">
        <f aca="false">G105*5%</f>
        <v>100000</v>
      </c>
      <c r="K105" s="118" t="n">
        <f aca="false">G105*I105%</f>
        <v>400000</v>
      </c>
      <c r="L105" s="114" t="n">
        <f aca="false">G105*7%</f>
        <v>140000</v>
      </c>
      <c r="M105" s="114" t="n">
        <f aca="false">G105*5%</f>
        <v>100000</v>
      </c>
    </row>
    <row r="106" customFormat="false" ht="17.35" hidden="false" customHeight="false" outlineLevel="0" collapsed="false">
      <c r="A106" s="112" t="n">
        <v>106</v>
      </c>
      <c r="B106" s="133" t="s">
        <v>316</v>
      </c>
      <c r="C106" s="133"/>
      <c r="D106" s="133"/>
      <c r="E106" s="136" t="s">
        <v>208</v>
      </c>
      <c r="F106" s="113" t="s">
        <v>224</v>
      </c>
      <c r="G106" s="134" t="n">
        <v>2000000</v>
      </c>
      <c r="H106" s="113" t="s">
        <v>210</v>
      </c>
      <c r="I106" s="117" t="n">
        <v>20</v>
      </c>
      <c r="J106" s="117" t="n">
        <f aca="false">G106*5%</f>
        <v>100000</v>
      </c>
      <c r="K106" s="118" t="n">
        <f aca="false">G106*I106%</f>
        <v>400000</v>
      </c>
      <c r="L106" s="114" t="n">
        <f aca="false">G106*7%</f>
        <v>140000</v>
      </c>
      <c r="M106" s="114" t="n">
        <f aca="false">G106*5%</f>
        <v>100000</v>
      </c>
    </row>
    <row r="107" customFormat="false" ht="17.35" hidden="false" customHeight="false" outlineLevel="0" collapsed="false">
      <c r="A107" s="112" t="n">
        <v>107</v>
      </c>
      <c r="B107" s="133" t="s">
        <v>317</v>
      </c>
      <c r="C107" s="133"/>
      <c r="D107" s="133"/>
      <c r="E107" s="113" t="s">
        <v>224</v>
      </c>
      <c r="F107" s="113" t="s">
        <v>224</v>
      </c>
      <c r="G107" s="134" t="n">
        <v>700000</v>
      </c>
      <c r="H107" s="113" t="s">
        <v>210</v>
      </c>
      <c r="I107" s="117" t="n">
        <v>20</v>
      </c>
      <c r="J107" s="117" t="n">
        <f aca="false">G107*5%</f>
        <v>35000</v>
      </c>
      <c r="K107" s="118" t="n">
        <f aca="false">G107*I107%</f>
        <v>140000</v>
      </c>
      <c r="L107" s="114" t="n">
        <f aca="false">G107*7%</f>
        <v>49000</v>
      </c>
      <c r="M107" s="114" t="n">
        <f aca="false">G107*5%</f>
        <v>35000</v>
      </c>
    </row>
    <row r="108" customFormat="false" ht="17.35" hidden="false" customHeight="false" outlineLevel="0" collapsed="false">
      <c r="A108" s="112" t="n">
        <v>108</v>
      </c>
      <c r="B108" s="133" t="s">
        <v>318</v>
      </c>
      <c r="C108" s="133"/>
      <c r="D108" s="133"/>
      <c r="E108" s="136" t="s">
        <v>216</v>
      </c>
      <c r="F108" s="133" t="s">
        <v>238</v>
      </c>
      <c r="G108" s="137" t="n">
        <v>1500000</v>
      </c>
      <c r="H108" s="113" t="s">
        <v>210</v>
      </c>
      <c r="I108" s="117" t="n">
        <v>20</v>
      </c>
      <c r="J108" s="117" t="n">
        <f aca="false">G108*5%</f>
        <v>75000</v>
      </c>
      <c r="K108" s="118" t="n">
        <f aca="false">G108*I108%</f>
        <v>300000</v>
      </c>
      <c r="L108" s="114" t="n">
        <f aca="false">G108*7%</f>
        <v>105000</v>
      </c>
      <c r="M108" s="114" t="n">
        <f aca="false">G108*5%</f>
        <v>75000</v>
      </c>
    </row>
    <row r="109" customFormat="false" ht="17.35" hidden="false" customHeight="false" outlineLevel="0" collapsed="false">
      <c r="A109" s="112" t="n">
        <v>109</v>
      </c>
      <c r="B109" s="133" t="s">
        <v>319</v>
      </c>
      <c r="C109" s="133"/>
      <c r="D109" s="133"/>
      <c r="E109" s="136" t="s">
        <v>216</v>
      </c>
      <c r="F109" s="133" t="s">
        <v>238</v>
      </c>
      <c r="G109" s="134" t="n">
        <v>3000000</v>
      </c>
      <c r="H109" s="113" t="s">
        <v>210</v>
      </c>
      <c r="I109" s="117" t="n">
        <v>20</v>
      </c>
      <c r="J109" s="117" t="n">
        <f aca="false">G109*5%</f>
        <v>150000</v>
      </c>
      <c r="K109" s="118" t="n">
        <f aca="false">G109*I109%</f>
        <v>600000</v>
      </c>
      <c r="L109" s="114" t="n">
        <f aca="false">G109*7%</f>
        <v>210000</v>
      </c>
      <c r="M109" s="114" t="n">
        <f aca="false">G109*5%</f>
        <v>150000</v>
      </c>
    </row>
    <row r="110" customFormat="false" ht="17.35" hidden="false" customHeight="false" outlineLevel="0" collapsed="false">
      <c r="A110" s="112" t="n">
        <v>110</v>
      </c>
      <c r="B110" s="114" t="s">
        <v>320</v>
      </c>
      <c r="C110" s="114"/>
      <c r="D110" s="114"/>
      <c r="E110" s="113" t="s">
        <v>213</v>
      </c>
      <c r="F110" s="113" t="s">
        <v>224</v>
      </c>
      <c r="G110" s="115" t="n">
        <v>1000000</v>
      </c>
      <c r="H110" s="113" t="s">
        <v>210</v>
      </c>
      <c r="I110" s="117" t="n">
        <v>20</v>
      </c>
      <c r="J110" s="117" t="n">
        <f aca="false">G110*5%</f>
        <v>50000</v>
      </c>
      <c r="K110" s="118" t="n">
        <f aca="false">G110*I110%</f>
        <v>200000</v>
      </c>
      <c r="L110" s="114" t="n">
        <f aca="false">G110*7%</f>
        <v>70000</v>
      </c>
      <c r="M110" s="114" t="n">
        <f aca="false">G110*5%</f>
        <v>50000</v>
      </c>
    </row>
    <row r="111" customFormat="false" ht="17.35" hidden="false" customHeight="false" outlineLevel="0" collapsed="false">
      <c r="A111" s="112" t="n">
        <v>111</v>
      </c>
      <c r="B111" s="114" t="s">
        <v>321</v>
      </c>
      <c r="C111" s="114"/>
      <c r="D111" s="114"/>
      <c r="E111" s="114" t="s">
        <v>234</v>
      </c>
      <c r="F111" s="113" t="s">
        <v>224</v>
      </c>
      <c r="G111" s="129" t="n">
        <v>700000</v>
      </c>
      <c r="H111" s="113" t="s">
        <v>217</v>
      </c>
      <c r="I111" s="117" t="n">
        <v>20</v>
      </c>
      <c r="J111" s="117" t="n">
        <f aca="false">G111*5%</f>
        <v>35000</v>
      </c>
      <c r="K111" s="118" t="n">
        <f aca="false">G111*I111%</f>
        <v>140000</v>
      </c>
      <c r="L111" s="114" t="n">
        <f aca="false">G111*7%</f>
        <v>49000</v>
      </c>
      <c r="M111" s="114" t="n">
        <f aca="false">G111*5%</f>
        <v>35000</v>
      </c>
    </row>
    <row r="112" customFormat="false" ht="17.35" hidden="false" customHeight="false" outlineLevel="0" collapsed="false">
      <c r="A112" s="112" t="n">
        <v>112</v>
      </c>
      <c r="B112" s="133" t="s">
        <v>322</v>
      </c>
      <c r="C112" s="133"/>
      <c r="D112" s="133"/>
      <c r="E112" s="136" t="s">
        <v>213</v>
      </c>
      <c r="F112" s="113" t="s">
        <v>239</v>
      </c>
      <c r="G112" s="135" t="n">
        <v>18000000</v>
      </c>
      <c r="H112" s="113" t="s">
        <v>210</v>
      </c>
      <c r="I112" s="117" t="n">
        <v>20</v>
      </c>
      <c r="J112" s="117" t="n">
        <f aca="false">G112*5%</f>
        <v>900000</v>
      </c>
      <c r="K112" s="118" t="n">
        <f aca="false">G112*I112%</f>
        <v>3600000</v>
      </c>
      <c r="L112" s="114" t="n">
        <f aca="false">G112*7%</f>
        <v>1260000</v>
      </c>
      <c r="M112" s="114" t="n">
        <f aca="false">G112*5%</f>
        <v>900000</v>
      </c>
    </row>
    <row r="113" customFormat="false" ht="17.35" hidden="false" customHeight="false" outlineLevel="0" collapsed="false">
      <c r="A113" s="112" t="n">
        <v>113</v>
      </c>
      <c r="B113" s="133" t="s">
        <v>323</v>
      </c>
      <c r="C113" s="133"/>
      <c r="D113" s="133"/>
      <c r="E113" s="114" t="s">
        <v>223</v>
      </c>
      <c r="F113" s="133"/>
      <c r="G113" s="134" t="n">
        <v>3000000</v>
      </c>
      <c r="H113" s="113" t="s">
        <v>210</v>
      </c>
      <c r="I113" s="117" t="n">
        <v>20</v>
      </c>
      <c r="J113" s="138"/>
      <c r="K113" s="118" t="n">
        <f aca="false">G113*I113%</f>
        <v>600000</v>
      </c>
      <c r="L113" s="114" t="n">
        <f aca="false">G113*7%</f>
        <v>210000</v>
      </c>
      <c r="M113" s="114" t="n">
        <f aca="false">G113*5%</f>
        <v>150000</v>
      </c>
    </row>
    <row r="114" customFormat="false" ht="17.35" hidden="false" customHeight="false" outlineLevel="0" collapsed="false">
      <c r="A114" s="112" t="n">
        <v>114</v>
      </c>
      <c r="B114" s="133" t="s">
        <v>324</v>
      </c>
      <c r="C114" s="133"/>
      <c r="D114" s="133"/>
      <c r="E114" s="114" t="s">
        <v>223</v>
      </c>
      <c r="F114" s="133"/>
      <c r="G114" s="134" t="n">
        <v>3000000</v>
      </c>
      <c r="H114" s="113" t="s">
        <v>210</v>
      </c>
      <c r="I114" s="117" t="n">
        <v>20</v>
      </c>
      <c r="J114" s="138"/>
      <c r="K114" s="118" t="n">
        <f aca="false">G114*I114%</f>
        <v>600000</v>
      </c>
      <c r="L114" s="114" t="n">
        <f aca="false">G114*7%</f>
        <v>210000</v>
      </c>
      <c r="M114" s="114" t="n">
        <f aca="false">G114*5%</f>
        <v>150000</v>
      </c>
    </row>
    <row r="115" customFormat="false" ht="17.35" hidden="false" customHeight="false" outlineLevel="0" collapsed="false">
      <c r="A115" s="112" t="n">
        <v>115</v>
      </c>
      <c r="B115" s="139" t="s">
        <v>325</v>
      </c>
      <c r="C115" s="133"/>
      <c r="D115" s="133"/>
      <c r="E115" s="136" t="s">
        <v>218</v>
      </c>
      <c r="F115" s="133"/>
      <c r="G115" s="134" t="n">
        <v>2000000</v>
      </c>
      <c r="H115" s="113" t="s">
        <v>210</v>
      </c>
      <c r="I115" s="117" t="n">
        <v>20</v>
      </c>
      <c r="J115" s="138"/>
      <c r="K115" s="118" t="n">
        <f aca="false">G115*I115%</f>
        <v>400000</v>
      </c>
      <c r="L115" s="114" t="n">
        <f aca="false">G115*7%</f>
        <v>140000</v>
      </c>
      <c r="M115" s="114" t="n">
        <f aca="false">G115*5%</f>
        <v>100000</v>
      </c>
    </row>
    <row r="116" customFormat="false" ht="32.8" hidden="false" customHeight="false" outlineLevel="0" collapsed="false">
      <c r="A116" s="112" t="n">
        <v>116</v>
      </c>
      <c r="B116" s="133" t="s">
        <v>326</v>
      </c>
      <c r="C116" s="114"/>
      <c r="D116" s="114"/>
      <c r="E116" s="113" t="s">
        <v>218</v>
      </c>
      <c r="F116" s="113" t="s">
        <v>224</v>
      </c>
      <c r="G116" s="129" t="n">
        <v>5000000</v>
      </c>
      <c r="H116" s="113" t="s">
        <v>210</v>
      </c>
      <c r="I116" s="117" t="n">
        <v>20</v>
      </c>
      <c r="J116" s="117" t="n">
        <f aca="false">G116*5%</f>
        <v>250000</v>
      </c>
      <c r="K116" s="118" t="n">
        <f aca="false">G116*I116%</f>
        <v>1000000</v>
      </c>
      <c r="L116" s="114" t="n">
        <f aca="false">G116*7%</f>
        <v>350000</v>
      </c>
      <c r="M116" s="114" t="n">
        <f aca="false">G116*5%</f>
        <v>250000</v>
      </c>
    </row>
    <row r="117" customFormat="false" ht="17.35" hidden="false" customHeight="false" outlineLevel="0" collapsed="false">
      <c r="A117" s="112" t="n">
        <v>117</v>
      </c>
      <c r="B117" s="133" t="s">
        <v>327</v>
      </c>
      <c r="C117" s="114"/>
      <c r="D117" s="114"/>
      <c r="E117" s="113" t="s">
        <v>218</v>
      </c>
      <c r="F117" s="113" t="s">
        <v>224</v>
      </c>
      <c r="G117" s="129" t="n">
        <v>500000</v>
      </c>
      <c r="H117" s="113" t="s">
        <v>210</v>
      </c>
      <c r="I117" s="117" t="n">
        <v>20</v>
      </c>
      <c r="J117" s="117" t="n">
        <f aca="false">G117*5%</f>
        <v>25000</v>
      </c>
      <c r="K117" s="118" t="n">
        <f aca="false">G117*I117%</f>
        <v>100000</v>
      </c>
      <c r="L117" s="114" t="n">
        <f aca="false">G117*7%</f>
        <v>35000</v>
      </c>
      <c r="M117" s="114" t="n">
        <f aca="false">G117*5%</f>
        <v>25000</v>
      </c>
    </row>
    <row r="118" customFormat="false" ht="17.35" hidden="false" customHeight="false" outlineLevel="0" collapsed="false">
      <c r="A118" s="112" t="n">
        <v>118</v>
      </c>
      <c r="B118" s="133" t="s">
        <v>328</v>
      </c>
      <c r="C118" s="114"/>
      <c r="D118" s="114"/>
      <c r="E118" s="113" t="s">
        <v>218</v>
      </c>
      <c r="F118" s="113" t="s">
        <v>224</v>
      </c>
      <c r="G118" s="129" t="n">
        <v>500000</v>
      </c>
      <c r="H118" s="113" t="s">
        <v>210</v>
      </c>
      <c r="I118" s="117" t="n">
        <v>20</v>
      </c>
      <c r="J118" s="117" t="n">
        <f aca="false">G118*5%</f>
        <v>25000</v>
      </c>
      <c r="K118" s="118" t="n">
        <f aca="false">G118*I118%</f>
        <v>100000</v>
      </c>
      <c r="L118" s="114" t="n">
        <f aca="false">G118*7%</f>
        <v>35000</v>
      </c>
      <c r="M118" s="114" t="n">
        <f aca="false">G118*5%</f>
        <v>25000</v>
      </c>
    </row>
    <row r="119" customFormat="false" ht="17.35" hidden="false" customHeight="false" outlineLevel="0" collapsed="false">
      <c r="A119" s="112" t="n">
        <v>119</v>
      </c>
      <c r="B119" s="133" t="s">
        <v>329</v>
      </c>
      <c r="C119" s="114"/>
      <c r="D119" s="114"/>
      <c r="E119" s="113" t="s">
        <v>217</v>
      </c>
      <c r="F119" s="114"/>
      <c r="G119" s="129" t="n">
        <v>12000000</v>
      </c>
      <c r="H119" s="113" t="s">
        <v>210</v>
      </c>
      <c r="I119" s="117" t="n">
        <v>20</v>
      </c>
      <c r="J119" s="117"/>
      <c r="K119" s="118" t="n">
        <v>3000000</v>
      </c>
      <c r="L119" s="114" t="n">
        <f aca="false">G119*5%</f>
        <v>600000</v>
      </c>
      <c r="M119" s="114" t="n">
        <f aca="false">G119*5%</f>
        <v>600000</v>
      </c>
    </row>
    <row r="120" customFormat="false" ht="17.35" hidden="false" customHeight="false" outlineLevel="0" collapsed="false">
      <c r="A120" s="112" t="n">
        <v>120</v>
      </c>
      <c r="B120" s="133" t="s">
        <v>330</v>
      </c>
      <c r="C120" s="114"/>
      <c r="D120" s="114"/>
      <c r="E120" s="114" t="s">
        <v>230</v>
      </c>
      <c r="F120" s="114"/>
      <c r="G120" s="129" t="n">
        <v>800000</v>
      </c>
      <c r="H120" s="113" t="s">
        <v>213</v>
      </c>
      <c r="I120" s="117" t="n">
        <v>20</v>
      </c>
      <c r="J120" s="117"/>
      <c r="K120" s="118" t="n">
        <f aca="false">G120*I120%</f>
        <v>160000</v>
      </c>
      <c r="L120" s="114" t="n">
        <f aca="false">G120*7%</f>
        <v>56000</v>
      </c>
      <c r="M120" s="114" t="n">
        <f aca="false">G120*5%</f>
        <v>40000</v>
      </c>
    </row>
    <row r="121" customFormat="false" ht="17.35" hidden="false" customHeight="false" outlineLevel="0" collapsed="false">
      <c r="A121" s="112" t="n">
        <v>121</v>
      </c>
      <c r="B121" s="133" t="s">
        <v>331</v>
      </c>
      <c r="C121" s="114"/>
      <c r="D121" s="114"/>
      <c r="E121" s="114" t="s">
        <v>230</v>
      </c>
      <c r="F121" s="113" t="s">
        <v>224</v>
      </c>
      <c r="G121" s="129" t="n">
        <v>1000000</v>
      </c>
      <c r="H121" s="113" t="s">
        <v>213</v>
      </c>
      <c r="I121" s="117" t="n">
        <v>20</v>
      </c>
      <c r="J121" s="117" t="n">
        <f aca="false">G121*5%</f>
        <v>50000</v>
      </c>
      <c r="K121" s="118" t="n">
        <f aca="false">G121*I121%</f>
        <v>200000</v>
      </c>
      <c r="L121" s="114" t="n">
        <f aca="false">G121*7%</f>
        <v>70000</v>
      </c>
      <c r="M121" s="114" t="n">
        <f aca="false">G121*5%</f>
        <v>50000</v>
      </c>
    </row>
    <row r="122" customFormat="false" ht="17.35" hidden="false" customHeight="false" outlineLevel="0" collapsed="false">
      <c r="A122" s="112" t="n">
        <v>122</v>
      </c>
      <c r="B122" s="139" t="s">
        <v>332</v>
      </c>
      <c r="C122" s="114"/>
      <c r="D122" s="114"/>
      <c r="E122" s="120" t="s">
        <v>211</v>
      </c>
      <c r="F122" s="131"/>
      <c r="G122" s="129" t="n">
        <v>3000000</v>
      </c>
      <c r="H122" s="120" t="s">
        <v>210</v>
      </c>
      <c r="I122" s="117" t="n">
        <v>20</v>
      </c>
      <c r="J122" s="117"/>
      <c r="K122" s="118" t="n">
        <f aca="false">G122*I122%</f>
        <v>600000</v>
      </c>
      <c r="L122" s="114" t="n">
        <f aca="false">G122*7%</f>
        <v>210000</v>
      </c>
      <c r="M122" s="114" t="n">
        <f aca="false">G122*5%</f>
        <v>150000</v>
      </c>
    </row>
    <row r="123" customFormat="false" ht="17.35" hidden="false" customHeight="false" outlineLevel="0" collapsed="false">
      <c r="A123" s="112" t="n">
        <v>123</v>
      </c>
      <c r="B123" s="133" t="s">
        <v>333</v>
      </c>
      <c r="C123" s="113"/>
      <c r="D123" s="114"/>
      <c r="E123" s="113" t="s">
        <v>208</v>
      </c>
      <c r="F123" s="113" t="s">
        <v>224</v>
      </c>
      <c r="G123" s="129" t="n">
        <v>300000</v>
      </c>
      <c r="H123" s="113" t="s">
        <v>210</v>
      </c>
      <c r="I123" s="117" t="n">
        <v>20</v>
      </c>
      <c r="J123" s="117" t="n">
        <f aca="false">G123*5%</f>
        <v>15000</v>
      </c>
      <c r="K123" s="118" t="n">
        <f aca="false">G123*I123%</f>
        <v>60000</v>
      </c>
      <c r="L123" s="114" t="n">
        <f aca="false">G123*7%</f>
        <v>21000</v>
      </c>
      <c r="M123" s="114" t="n">
        <f aca="false">G123*5%</f>
        <v>15000</v>
      </c>
    </row>
    <row r="124" customFormat="false" ht="17.35" hidden="false" customHeight="false" outlineLevel="0" collapsed="false">
      <c r="A124" s="112" t="n">
        <v>124</v>
      </c>
      <c r="B124" s="114" t="s">
        <v>334</v>
      </c>
      <c r="C124" s="113"/>
      <c r="D124" s="114"/>
      <c r="E124" s="113" t="s">
        <v>208</v>
      </c>
      <c r="F124" s="113" t="s">
        <v>224</v>
      </c>
      <c r="G124" s="129" t="n">
        <v>1000000</v>
      </c>
      <c r="H124" s="113" t="s">
        <v>210</v>
      </c>
      <c r="I124" s="117" t="n">
        <v>20</v>
      </c>
      <c r="J124" s="117" t="n">
        <f aca="false">G124*5%</f>
        <v>50000</v>
      </c>
      <c r="K124" s="118" t="n">
        <f aca="false">G124*I124%</f>
        <v>200000</v>
      </c>
      <c r="L124" s="114" t="n">
        <f aca="false">G124*7%</f>
        <v>70000</v>
      </c>
      <c r="M124" s="114" t="n">
        <f aca="false">G124*5%</f>
        <v>50000</v>
      </c>
    </row>
    <row r="125" customFormat="false" ht="17.35" hidden="false" customHeight="false" outlineLevel="0" collapsed="false">
      <c r="A125" s="112" t="n">
        <v>125</v>
      </c>
      <c r="B125" s="114" t="s">
        <v>335</v>
      </c>
      <c r="C125" s="113"/>
      <c r="D125" s="114"/>
      <c r="E125" s="113" t="s">
        <v>208</v>
      </c>
      <c r="F125" s="113" t="s">
        <v>224</v>
      </c>
      <c r="G125" s="129" t="n">
        <v>1000000</v>
      </c>
      <c r="H125" s="113" t="s">
        <v>210</v>
      </c>
      <c r="I125" s="117" t="n">
        <v>20</v>
      </c>
      <c r="J125" s="117" t="n">
        <f aca="false">G125*5%</f>
        <v>50000</v>
      </c>
      <c r="K125" s="118" t="n">
        <f aca="false">G125*I125%</f>
        <v>200000</v>
      </c>
      <c r="L125" s="114" t="n">
        <f aca="false">G125*7%</f>
        <v>70000</v>
      </c>
      <c r="M125" s="114" t="n">
        <f aca="false">G125*5%</f>
        <v>50000</v>
      </c>
    </row>
    <row r="126" customFormat="false" ht="17.35" hidden="false" customHeight="false" outlineLevel="0" collapsed="false">
      <c r="A126" s="112" t="n">
        <v>126</v>
      </c>
      <c r="B126" s="114" t="s">
        <v>336</v>
      </c>
      <c r="C126" s="113"/>
      <c r="D126" s="114"/>
      <c r="E126" s="113" t="s">
        <v>208</v>
      </c>
      <c r="F126" s="113" t="s">
        <v>224</v>
      </c>
      <c r="G126" s="129" t="n">
        <v>1000000</v>
      </c>
      <c r="H126" s="113" t="s">
        <v>210</v>
      </c>
      <c r="I126" s="117" t="n">
        <v>20</v>
      </c>
      <c r="J126" s="117" t="n">
        <f aca="false">G126*5%</f>
        <v>50000</v>
      </c>
      <c r="K126" s="118" t="n">
        <f aca="false">G126*I126%</f>
        <v>200000</v>
      </c>
      <c r="L126" s="114" t="n">
        <f aca="false">G126*7%</f>
        <v>70000</v>
      </c>
      <c r="M126" s="114" t="n">
        <f aca="false">G126*5%</f>
        <v>50000</v>
      </c>
    </row>
    <row r="127" customFormat="false" ht="17.35" hidden="false" customHeight="false" outlineLevel="0" collapsed="false">
      <c r="A127" s="112" t="n">
        <v>127</v>
      </c>
      <c r="B127" s="114" t="s">
        <v>337</v>
      </c>
      <c r="C127" s="113"/>
      <c r="D127" s="114"/>
      <c r="E127" s="113" t="s">
        <v>208</v>
      </c>
      <c r="F127" s="113" t="s">
        <v>224</v>
      </c>
      <c r="G127" s="129" t="n">
        <v>300000</v>
      </c>
      <c r="H127" s="113" t="s">
        <v>210</v>
      </c>
      <c r="I127" s="117" t="n">
        <v>20</v>
      </c>
      <c r="J127" s="117" t="n">
        <f aca="false">G127*5%</f>
        <v>15000</v>
      </c>
      <c r="K127" s="118" t="n">
        <f aca="false">G127*I127%</f>
        <v>60000</v>
      </c>
      <c r="L127" s="114" t="n">
        <f aca="false">G127*7%</f>
        <v>21000</v>
      </c>
      <c r="M127" s="114" t="n">
        <f aca="false">G127*5%</f>
        <v>15000</v>
      </c>
    </row>
    <row r="128" customFormat="false" ht="18.75" hidden="false" customHeight="true" outlineLevel="0" collapsed="false">
      <c r="A128" s="112" t="n">
        <v>128</v>
      </c>
      <c r="B128" s="114" t="s">
        <v>338</v>
      </c>
      <c r="C128" s="113"/>
      <c r="D128" s="114"/>
      <c r="E128" s="113" t="s">
        <v>208</v>
      </c>
      <c r="F128" s="113" t="s">
        <v>224</v>
      </c>
      <c r="G128" s="129" t="n">
        <v>400000</v>
      </c>
      <c r="H128" s="113" t="s">
        <v>210</v>
      </c>
      <c r="I128" s="117" t="n">
        <v>20</v>
      </c>
      <c r="J128" s="117" t="n">
        <f aca="false">G128*5%</f>
        <v>20000</v>
      </c>
      <c r="K128" s="118" t="n">
        <f aca="false">G128*I128%</f>
        <v>80000</v>
      </c>
      <c r="L128" s="114" t="n">
        <f aca="false">G128*7%</f>
        <v>28000</v>
      </c>
      <c r="M128" s="114" t="n">
        <f aca="false">G128*5%</f>
        <v>20000</v>
      </c>
    </row>
    <row r="129" customFormat="false" ht="17.35" hidden="false" customHeight="false" outlineLevel="0" collapsed="false">
      <c r="A129" s="112" t="n">
        <v>129</v>
      </c>
      <c r="B129" s="114" t="s">
        <v>339</v>
      </c>
      <c r="C129" s="113"/>
      <c r="D129" s="114"/>
      <c r="E129" s="114" t="s">
        <v>230</v>
      </c>
      <c r="F129" s="113" t="s">
        <v>224</v>
      </c>
      <c r="G129" s="129" t="n">
        <v>1000000</v>
      </c>
      <c r="H129" s="113" t="s">
        <v>213</v>
      </c>
      <c r="I129" s="117" t="n">
        <v>20</v>
      </c>
      <c r="J129" s="117" t="n">
        <f aca="false">G129*5%</f>
        <v>50000</v>
      </c>
      <c r="K129" s="118" t="n">
        <f aca="false">G129*I129%</f>
        <v>200000</v>
      </c>
      <c r="L129" s="114" t="n">
        <f aca="false">G129*7%</f>
        <v>70000</v>
      </c>
      <c r="M129" s="114" t="n">
        <f aca="false">G129*5%</f>
        <v>50000</v>
      </c>
    </row>
    <row r="130" customFormat="false" ht="17.35" hidden="false" customHeight="false" outlineLevel="0" collapsed="false">
      <c r="A130" s="112" t="n">
        <v>130</v>
      </c>
      <c r="B130" s="133" t="s">
        <v>340</v>
      </c>
      <c r="C130" s="113"/>
      <c r="D130" s="114"/>
      <c r="E130" s="113" t="s">
        <v>225</v>
      </c>
      <c r="F130" s="114"/>
      <c r="G130" s="129" t="n">
        <v>0</v>
      </c>
      <c r="H130" s="113" t="s">
        <v>210</v>
      </c>
      <c r="I130" s="117" t="n">
        <v>20</v>
      </c>
      <c r="J130" s="117"/>
      <c r="K130" s="118" t="n">
        <v>0</v>
      </c>
      <c r="L130" s="114" t="n">
        <f aca="false">G130*7%</f>
        <v>0</v>
      </c>
      <c r="M130" s="114" t="n">
        <f aca="false">G130*5%</f>
        <v>0</v>
      </c>
    </row>
    <row r="131" customFormat="false" ht="17.35" hidden="false" customHeight="false" outlineLevel="0" collapsed="false">
      <c r="A131" s="112" t="n">
        <v>131</v>
      </c>
      <c r="B131" s="133" t="s">
        <v>341</v>
      </c>
      <c r="C131" s="133"/>
      <c r="D131" s="133"/>
      <c r="E131" s="136" t="s">
        <v>218</v>
      </c>
      <c r="F131" s="133" t="s">
        <v>238</v>
      </c>
      <c r="G131" s="134" t="n">
        <v>2000000</v>
      </c>
      <c r="H131" s="113" t="s">
        <v>210</v>
      </c>
      <c r="I131" s="117" t="n">
        <v>20</v>
      </c>
      <c r="J131" s="117" t="n">
        <f aca="false">G131*5%</f>
        <v>100000</v>
      </c>
      <c r="K131" s="118" t="n">
        <f aca="false">G131*I131%</f>
        <v>400000</v>
      </c>
      <c r="L131" s="114" t="n">
        <f aca="false">G131*7%</f>
        <v>140000</v>
      </c>
      <c r="M131" s="114" t="n">
        <f aca="false">G131*5%</f>
        <v>100000</v>
      </c>
    </row>
    <row r="132" customFormat="false" ht="17.35" hidden="false" customHeight="false" outlineLevel="0" collapsed="false">
      <c r="A132" s="112" t="n">
        <v>132</v>
      </c>
      <c r="B132" s="133" t="s">
        <v>342</v>
      </c>
      <c r="C132" s="133"/>
      <c r="D132" s="133"/>
      <c r="E132" s="136" t="s">
        <v>211</v>
      </c>
      <c r="F132" s="113" t="s">
        <v>224</v>
      </c>
      <c r="G132" s="134" t="n">
        <v>0</v>
      </c>
      <c r="H132" s="113" t="s">
        <v>210</v>
      </c>
      <c r="I132" s="117" t="n">
        <v>20</v>
      </c>
      <c r="J132" s="117" t="n">
        <f aca="false">G132*5%</f>
        <v>0</v>
      </c>
      <c r="K132" s="118" t="n">
        <f aca="false">G132*I132%</f>
        <v>0</v>
      </c>
      <c r="L132" s="114" t="n">
        <f aca="false">G132*7%</f>
        <v>0</v>
      </c>
      <c r="M132" s="114" t="n">
        <f aca="false">G132*5%</f>
        <v>0</v>
      </c>
    </row>
    <row r="133" customFormat="false" ht="17.35" hidden="false" customHeight="false" outlineLevel="0" collapsed="false">
      <c r="A133" s="112" t="n">
        <v>133</v>
      </c>
      <c r="B133" s="133" t="s">
        <v>343</v>
      </c>
      <c r="C133" s="114"/>
      <c r="D133" s="114"/>
      <c r="E133" s="113" t="s">
        <v>212</v>
      </c>
      <c r="F133" s="114" t="s">
        <v>238</v>
      </c>
      <c r="G133" s="129" t="n">
        <v>4000000</v>
      </c>
      <c r="H133" s="113" t="s">
        <v>213</v>
      </c>
      <c r="I133" s="117" t="n">
        <v>20</v>
      </c>
      <c r="J133" s="117" t="n">
        <f aca="false">G133*5%</f>
        <v>200000</v>
      </c>
      <c r="K133" s="118" t="n">
        <f aca="false">G133*I133%</f>
        <v>800000</v>
      </c>
      <c r="L133" s="114" t="n">
        <f aca="false">G133*7%</f>
        <v>280000</v>
      </c>
      <c r="M133" s="114" t="n">
        <f aca="false">G133*5%</f>
        <v>200000</v>
      </c>
    </row>
    <row r="134" customFormat="false" ht="17.35" hidden="false" customHeight="false" outlineLevel="0" collapsed="false">
      <c r="A134" s="112" t="n">
        <v>134</v>
      </c>
      <c r="B134" s="133" t="s">
        <v>344</v>
      </c>
      <c r="C134" s="114"/>
      <c r="D134" s="114"/>
      <c r="E134" s="113" t="s">
        <v>212</v>
      </c>
      <c r="F134" s="114" t="s">
        <v>238</v>
      </c>
      <c r="G134" s="129" t="n">
        <v>0</v>
      </c>
      <c r="H134" s="113" t="s">
        <v>213</v>
      </c>
      <c r="I134" s="117" t="n">
        <v>20</v>
      </c>
      <c r="J134" s="117" t="n">
        <f aca="false">G134*5%</f>
        <v>0</v>
      </c>
      <c r="K134" s="118" t="n">
        <f aca="false">G134*I134%</f>
        <v>0</v>
      </c>
      <c r="L134" s="114" t="n">
        <f aca="false">G134*7%</f>
        <v>0</v>
      </c>
      <c r="M134" s="114" t="n">
        <f aca="false">G134*5%</f>
        <v>0</v>
      </c>
    </row>
    <row r="135" customFormat="false" ht="17.35" hidden="false" customHeight="false" outlineLevel="0" collapsed="false">
      <c r="A135" s="112" t="n">
        <v>135</v>
      </c>
      <c r="B135" s="133" t="s">
        <v>345</v>
      </c>
      <c r="C135" s="114"/>
      <c r="D135" s="114"/>
      <c r="E135" s="113" t="s">
        <v>212</v>
      </c>
      <c r="F135" s="114" t="s">
        <v>238</v>
      </c>
      <c r="G135" s="129" t="n">
        <v>0</v>
      </c>
      <c r="H135" s="113" t="s">
        <v>213</v>
      </c>
      <c r="I135" s="117" t="n">
        <v>20</v>
      </c>
      <c r="J135" s="117" t="n">
        <f aca="false">G135*5%</f>
        <v>0</v>
      </c>
      <c r="K135" s="118" t="n">
        <f aca="false">G135*I135%</f>
        <v>0</v>
      </c>
      <c r="L135" s="114" t="n">
        <f aca="false">G135*7%</f>
        <v>0</v>
      </c>
      <c r="M135" s="114" t="n">
        <f aca="false">G135*5%</f>
        <v>0</v>
      </c>
    </row>
    <row r="136" customFormat="false" ht="17.35" hidden="false" customHeight="false" outlineLevel="0" collapsed="false">
      <c r="A136" s="112" t="n">
        <v>136</v>
      </c>
      <c r="B136" s="133" t="s">
        <v>346</v>
      </c>
      <c r="C136" s="114"/>
      <c r="D136" s="114"/>
      <c r="E136" s="113" t="s">
        <v>220</v>
      </c>
      <c r="F136" s="114" t="s">
        <v>238</v>
      </c>
      <c r="G136" s="129" t="n">
        <v>2000000</v>
      </c>
      <c r="H136" s="113" t="s">
        <v>213</v>
      </c>
      <c r="I136" s="117" t="n">
        <v>20</v>
      </c>
      <c r="J136" s="117" t="n">
        <f aca="false">G136*5%</f>
        <v>100000</v>
      </c>
      <c r="K136" s="118" t="n">
        <f aca="false">G136*I136%</f>
        <v>400000</v>
      </c>
      <c r="L136" s="114" t="n">
        <f aca="false">G136*7%</f>
        <v>140000</v>
      </c>
      <c r="M136" s="114" t="n">
        <f aca="false">G136*5%</f>
        <v>100000</v>
      </c>
    </row>
    <row r="137" customFormat="false" ht="17.35" hidden="false" customHeight="false" outlineLevel="0" collapsed="false">
      <c r="A137" s="112" t="n">
        <v>137</v>
      </c>
      <c r="B137" s="133" t="s">
        <v>347</v>
      </c>
      <c r="C137" s="114"/>
      <c r="D137" s="114"/>
      <c r="E137" s="113" t="s">
        <v>218</v>
      </c>
      <c r="F137" s="114"/>
      <c r="G137" s="129" t="n">
        <v>0</v>
      </c>
      <c r="H137" s="117" t="s">
        <v>210</v>
      </c>
      <c r="I137" s="117" t="n">
        <v>20</v>
      </c>
      <c r="J137" s="117"/>
      <c r="K137" s="118" t="n">
        <f aca="false">G137*I137%</f>
        <v>0</v>
      </c>
      <c r="L137" s="114" t="n">
        <f aca="false">G137*7%</f>
        <v>0</v>
      </c>
      <c r="M137" s="114" t="n">
        <f aca="false">G137*5%</f>
        <v>0</v>
      </c>
    </row>
    <row r="138" customFormat="false" ht="17.35" hidden="false" customHeight="false" outlineLevel="0" collapsed="false">
      <c r="A138" s="112" t="n">
        <v>138</v>
      </c>
      <c r="B138" s="133" t="s">
        <v>348</v>
      </c>
      <c r="C138" s="114"/>
      <c r="D138" s="114"/>
      <c r="E138" s="113" t="s">
        <v>224</v>
      </c>
      <c r="F138" s="113" t="s">
        <v>224</v>
      </c>
      <c r="G138" s="129" t="n">
        <v>700000</v>
      </c>
      <c r="H138" s="117" t="s">
        <v>210</v>
      </c>
      <c r="I138" s="117" t="n">
        <v>20</v>
      </c>
      <c r="J138" s="117" t="n">
        <f aca="false">G138*5%</f>
        <v>35000</v>
      </c>
      <c r="K138" s="118" t="n">
        <f aca="false">G138*I138%</f>
        <v>140000</v>
      </c>
      <c r="L138" s="114" t="n">
        <f aca="false">G138*7%</f>
        <v>49000</v>
      </c>
      <c r="M138" s="114" t="n">
        <f aca="false">G138*5%</f>
        <v>35000</v>
      </c>
    </row>
    <row r="139" customFormat="false" ht="17.35" hidden="false" customHeight="false" outlineLevel="0" collapsed="false">
      <c r="A139" s="112" t="n">
        <v>139</v>
      </c>
      <c r="B139" s="133" t="s">
        <v>349</v>
      </c>
      <c r="C139" s="114"/>
      <c r="D139" s="114"/>
      <c r="E139" s="113" t="s">
        <v>214</v>
      </c>
      <c r="F139" s="114"/>
      <c r="G139" s="129" t="n">
        <v>500000</v>
      </c>
      <c r="H139" s="117" t="s">
        <v>210</v>
      </c>
      <c r="I139" s="117" t="n">
        <v>20</v>
      </c>
      <c r="J139" s="117" t="n">
        <v>0</v>
      </c>
      <c r="K139" s="118" t="n">
        <f aca="false">G139*I139%</f>
        <v>100000</v>
      </c>
      <c r="L139" s="114" t="n">
        <f aca="false">G139*7%</f>
        <v>35000</v>
      </c>
      <c r="M139" s="114" t="n">
        <f aca="false">G139*5%</f>
        <v>25000</v>
      </c>
    </row>
    <row r="140" customFormat="false" ht="17.35" hidden="false" customHeight="false" outlineLevel="0" collapsed="false">
      <c r="A140" s="112" t="n">
        <v>140</v>
      </c>
      <c r="B140" s="133" t="s">
        <v>350</v>
      </c>
      <c r="C140" s="114"/>
      <c r="D140" s="114"/>
      <c r="E140" s="113" t="s">
        <v>208</v>
      </c>
      <c r="F140" s="114"/>
      <c r="G140" s="129" t="n">
        <v>6000000</v>
      </c>
      <c r="H140" s="113" t="s">
        <v>210</v>
      </c>
      <c r="I140" s="117" t="n">
        <v>20</v>
      </c>
      <c r="J140" s="117"/>
      <c r="K140" s="118" t="n">
        <f aca="false">G140*I140%</f>
        <v>1200000</v>
      </c>
      <c r="L140" s="114" t="n">
        <f aca="false">G140*7%</f>
        <v>420000</v>
      </c>
      <c r="M140" s="114" t="n">
        <f aca="false">G140*5%</f>
        <v>300000</v>
      </c>
    </row>
    <row r="141" customFormat="false" ht="17.35" hidden="false" customHeight="false" outlineLevel="0" collapsed="false">
      <c r="A141" s="112" t="n">
        <v>141</v>
      </c>
      <c r="B141" s="133" t="s">
        <v>351</v>
      </c>
      <c r="C141" s="114"/>
      <c r="D141" s="114"/>
      <c r="E141" s="120" t="s">
        <v>231</v>
      </c>
      <c r="F141" s="114"/>
      <c r="G141" s="129" t="n">
        <v>750000</v>
      </c>
      <c r="H141" s="116" t="s">
        <v>216</v>
      </c>
      <c r="I141" s="117" t="n">
        <v>20</v>
      </c>
      <c r="J141" s="117"/>
      <c r="K141" s="118" t="n">
        <f aca="false">G141*I141%</f>
        <v>150000</v>
      </c>
      <c r="L141" s="114" t="n">
        <f aca="false">G141*7%</f>
        <v>52500</v>
      </c>
      <c r="M141" s="114" t="n">
        <f aca="false">G141*5%</f>
        <v>37500</v>
      </c>
    </row>
    <row r="142" customFormat="false" ht="32.8" hidden="false" customHeight="false" outlineLevel="0" collapsed="false">
      <c r="A142" s="112" t="n">
        <v>142</v>
      </c>
      <c r="B142" s="133" t="s">
        <v>352</v>
      </c>
      <c r="C142" s="114"/>
      <c r="D142" s="114"/>
      <c r="E142" s="120" t="s">
        <v>221</v>
      </c>
      <c r="F142" s="114" t="s">
        <v>238</v>
      </c>
      <c r="G142" s="129" t="n">
        <v>1000000</v>
      </c>
      <c r="H142" s="113" t="s">
        <v>210</v>
      </c>
      <c r="I142" s="117" t="n">
        <v>20</v>
      </c>
      <c r="J142" s="117" t="n">
        <f aca="false">G142*5%</f>
        <v>50000</v>
      </c>
      <c r="K142" s="118" t="n">
        <f aca="false">G142*I142%</f>
        <v>200000</v>
      </c>
      <c r="L142" s="114" t="n">
        <f aca="false">G142*7%</f>
        <v>70000</v>
      </c>
      <c r="M142" s="114" t="n">
        <f aca="false">G142*5%</f>
        <v>50000</v>
      </c>
    </row>
    <row r="143" customFormat="false" ht="17.35" hidden="false" customHeight="false" outlineLevel="0" collapsed="false">
      <c r="A143" s="112" t="n">
        <v>143</v>
      </c>
      <c r="B143" s="133" t="s">
        <v>353</v>
      </c>
      <c r="C143" s="114"/>
      <c r="D143" s="114"/>
      <c r="E143" s="120" t="s">
        <v>221</v>
      </c>
      <c r="F143" s="114" t="s">
        <v>224</v>
      </c>
      <c r="G143" s="129" t="n">
        <v>500000</v>
      </c>
      <c r="H143" s="117" t="s">
        <v>210</v>
      </c>
      <c r="I143" s="117" t="n">
        <v>20</v>
      </c>
      <c r="J143" s="117" t="n">
        <f aca="false">G143*5%</f>
        <v>25000</v>
      </c>
      <c r="K143" s="118" t="n">
        <f aca="false">G143*I143%</f>
        <v>100000</v>
      </c>
      <c r="L143" s="114" t="n">
        <f aca="false">G143*7%</f>
        <v>35000</v>
      </c>
      <c r="M143" s="114" t="n">
        <f aca="false">G143*5%</f>
        <v>25000</v>
      </c>
    </row>
    <row r="144" customFormat="false" ht="17.35" hidden="false" customHeight="false" outlineLevel="0" collapsed="false">
      <c r="A144" s="112" t="n">
        <v>144</v>
      </c>
      <c r="B144" s="133" t="s">
        <v>354</v>
      </c>
      <c r="C144" s="133"/>
      <c r="D144" s="133"/>
      <c r="E144" s="140" t="s">
        <v>212</v>
      </c>
      <c r="F144" s="114" t="s">
        <v>238</v>
      </c>
      <c r="G144" s="134" t="n">
        <v>1000000</v>
      </c>
      <c r="H144" s="138" t="s">
        <v>213</v>
      </c>
      <c r="I144" s="138" t="n">
        <v>20</v>
      </c>
      <c r="J144" s="117" t="n">
        <f aca="false">G144*5%</f>
        <v>50000</v>
      </c>
      <c r="K144" s="118" t="n">
        <f aca="false">G144*I144%</f>
        <v>200000</v>
      </c>
      <c r="L144" s="114" t="n">
        <f aca="false">G144*7%</f>
        <v>70000</v>
      </c>
      <c r="M144" s="114" t="n">
        <f aca="false">G144*5%</f>
        <v>50000</v>
      </c>
    </row>
    <row r="145" customFormat="false" ht="32.8" hidden="false" customHeight="false" outlineLevel="0" collapsed="false">
      <c r="A145" s="112" t="n">
        <v>145</v>
      </c>
      <c r="B145" s="133" t="s">
        <v>355</v>
      </c>
      <c r="C145" s="133"/>
      <c r="D145" s="133"/>
      <c r="E145" s="136" t="s">
        <v>211</v>
      </c>
      <c r="F145" s="114" t="s">
        <v>238</v>
      </c>
      <c r="G145" s="134" t="n">
        <v>1000000</v>
      </c>
      <c r="H145" s="117" t="s">
        <v>210</v>
      </c>
      <c r="I145" s="138" t="n">
        <v>20</v>
      </c>
      <c r="J145" s="117" t="n">
        <f aca="false">G145*5%</f>
        <v>50000</v>
      </c>
      <c r="K145" s="118" t="n">
        <f aca="false">G145*I145%</f>
        <v>200000</v>
      </c>
      <c r="L145" s="114" t="n">
        <f aca="false">G145*7%</f>
        <v>70000</v>
      </c>
      <c r="M145" s="114" t="n">
        <f aca="false">G145*5%</f>
        <v>50000</v>
      </c>
    </row>
    <row r="146" customFormat="false" ht="17.35" hidden="false" customHeight="false" outlineLevel="0" collapsed="false">
      <c r="A146" s="112" t="n">
        <v>146</v>
      </c>
      <c r="B146" s="133" t="s">
        <v>356</v>
      </c>
      <c r="C146" s="133"/>
      <c r="D146" s="133"/>
      <c r="E146" s="136" t="s">
        <v>211</v>
      </c>
      <c r="F146" s="133" t="s">
        <v>224</v>
      </c>
      <c r="G146" s="137" t="n">
        <v>0</v>
      </c>
      <c r="H146" s="117" t="s">
        <v>210</v>
      </c>
      <c r="I146" s="138" t="n">
        <v>20</v>
      </c>
      <c r="J146" s="117" t="n">
        <f aca="false">G146*5%</f>
        <v>0</v>
      </c>
      <c r="K146" s="118" t="n">
        <f aca="false">G146*I146%</f>
        <v>0</v>
      </c>
      <c r="L146" s="114" t="n">
        <f aca="false">G146*7%</f>
        <v>0</v>
      </c>
      <c r="M146" s="114" t="n">
        <f aca="false">G146*5%</f>
        <v>0</v>
      </c>
    </row>
    <row r="147" customFormat="false" ht="17.35" hidden="false" customHeight="false" outlineLevel="0" collapsed="false">
      <c r="A147" s="112" t="n">
        <v>147</v>
      </c>
      <c r="B147" s="133" t="s">
        <v>357</v>
      </c>
      <c r="C147" s="133"/>
      <c r="D147" s="133"/>
      <c r="E147" s="136" t="s">
        <v>213</v>
      </c>
      <c r="F147" s="133" t="s">
        <v>239</v>
      </c>
      <c r="G147" s="137" t="n">
        <v>500000</v>
      </c>
      <c r="H147" s="138" t="s">
        <v>210</v>
      </c>
      <c r="I147" s="138" t="n">
        <v>20</v>
      </c>
      <c r="J147" s="117" t="n">
        <f aca="false">G147*5%</f>
        <v>25000</v>
      </c>
      <c r="K147" s="118" t="n">
        <f aca="false">G147*I147%</f>
        <v>100000</v>
      </c>
      <c r="L147" s="114" t="n">
        <f aca="false">G147*7%</f>
        <v>35000</v>
      </c>
      <c r="M147" s="114" t="n">
        <f aca="false">G147*5%</f>
        <v>25000</v>
      </c>
    </row>
    <row r="148" customFormat="false" ht="17.35" hidden="false" customHeight="false" outlineLevel="0" collapsed="false">
      <c r="A148" s="112" t="n">
        <v>148</v>
      </c>
      <c r="B148" s="133" t="s">
        <v>358</v>
      </c>
      <c r="C148" s="133"/>
      <c r="D148" s="133"/>
      <c r="E148" s="113" t="s">
        <v>223</v>
      </c>
      <c r="F148" s="133" t="s">
        <v>224</v>
      </c>
      <c r="G148" s="134" t="n">
        <v>3000000</v>
      </c>
      <c r="H148" s="113" t="s">
        <v>210</v>
      </c>
      <c r="I148" s="138" t="n">
        <v>20</v>
      </c>
      <c r="J148" s="117" t="n">
        <f aca="false">G148*5%</f>
        <v>150000</v>
      </c>
      <c r="K148" s="118" t="n">
        <f aca="false">G148*I148%</f>
        <v>600000</v>
      </c>
      <c r="L148" s="114" t="n">
        <f aca="false">G148*7%</f>
        <v>210000</v>
      </c>
      <c r="M148" s="114" t="n">
        <f aca="false">G148*5%</f>
        <v>150000</v>
      </c>
    </row>
    <row r="149" customFormat="false" ht="17.35" hidden="false" customHeight="false" outlineLevel="0" collapsed="false">
      <c r="A149" s="112" t="n">
        <v>149</v>
      </c>
      <c r="B149" s="133" t="s">
        <v>359</v>
      </c>
      <c r="C149" s="133"/>
      <c r="D149" s="133"/>
      <c r="E149" s="136" t="s">
        <v>222</v>
      </c>
      <c r="F149" s="133" t="s">
        <v>238</v>
      </c>
      <c r="G149" s="137" t="n">
        <v>5000000</v>
      </c>
      <c r="H149" s="138" t="s">
        <v>213</v>
      </c>
      <c r="I149" s="138" t="n">
        <v>25</v>
      </c>
      <c r="J149" s="117" t="n">
        <f aca="false">G149*5%</f>
        <v>250000</v>
      </c>
      <c r="K149" s="118" t="n">
        <f aca="false">G149*I149%</f>
        <v>1250000</v>
      </c>
      <c r="L149" s="114" t="n">
        <f aca="false">G149*7%</f>
        <v>350000</v>
      </c>
      <c r="M149" s="114" t="n">
        <f aca="false">G149*5%</f>
        <v>250000</v>
      </c>
    </row>
    <row r="150" customFormat="false" ht="17.35" hidden="false" customHeight="false" outlineLevel="0" collapsed="false">
      <c r="A150" s="112" t="n">
        <v>150</v>
      </c>
      <c r="B150" s="133" t="s">
        <v>360</v>
      </c>
      <c r="C150" s="133"/>
      <c r="D150" s="133"/>
      <c r="E150" s="136" t="s">
        <v>222</v>
      </c>
      <c r="F150" s="133" t="s">
        <v>238</v>
      </c>
      <c r="G150" s="137" t="n">
        <v>0</v>
      </c>
      <c r="H150" s="138" t="s">
        <v>213</v>
      </c>
      <c r="I150" s="138" t="n">
        <v>20</v>
      </c>
      <c r="J150" s="117" t="n">
        <f aca="false">G150*5%</f>
        <v>0</v>
      </c>
      <c r="K150" s="118" t="n">
        <f aca="false">G150*I150%</f>
        <v>0</v>
      </c>
      <c r="L150" s="114" t="n">
        <f aca="false">G150*7%</f>
        <v>0</v>
      </c>
      <c r="M150" s="114" t="n">
        <f aca="false">G150*5%</f>
        <v>0</v>
      </c>
    </row>
    <row r="151" customFormat="false" ht="17.35" hidden="false" customHeight="false" outlineLevel="0" collapsed="false">
      <c r="A151" s="112" t="n">
        <v>151</v>
      </c>
      <c r="B151" s="133" t="s">
        <v>361</v>
      </c>
      <c r="C151" s="114"/>
      <c r="D151" s="114"/>
      <c r="E151" s="113" t="s">
        <v>233</v>
      </c>
      <c r="F151" s="114" t="s">
        <v>238</v>
      </c>
      <c r="G151" s="130" t="n">
        <v>500000</v>
      </c>
      <c r="H151" s="117" t="s">
        <v>217</v>
      </c>
      <c r="I151" s="138" t="n">
        <v>20</v>
      </c>
      <c r="J151" s="117" t="n">
        <f aca="false">G151*5%</f>
        <v>25000</v>
      </c>
      <c r="K151" s="118" t="n">
        <f aca="false">G151*I151%</f>
        <v>100000</v>
      </c>
      <c r="L151" s="114" t="n">
        <f aca="false">G151*7%</f>
        <v>35000</v>
      </c>
      <c r="M151" s="114" t="n">
        <f aca="false">G151*5%</f>
        <v>25000</v>
      </c>
    </row>
    <row r="152" customFormat="false" ht="32.8" hidden="false" customHeight="false" outlineLevel="0" collapsed="false">
      <c r="A152" s="112" t="n">
        <v>152</v>
      </c>
      <c r="B152" s="133" t="s">
        <v>362</v>
      </c>
      <c r="C152" s="133"/>
      <c r="D152" s="133"/>
      <c r="E152" s="114" t="s">
        <v>221</v>
      </c>
      <c r="F152" s="133"/>
      <c r="G152" s="137" t="n">
        <v>500000</v>
      </c>
      <c r="H152" s="113" t="s">
        <v>210</v>
      </c>
      <c r="I152" s="138" t="n">
        <v>20</v>
      </c>
      <c r="J152" s="117" t="n">
        <v>0</v>
      </c>
      <c r="K152" s="118" t="n">
        <f aca="false">G152*I152%</f>
        <v>100000</v>
      </c>
      <c r="L152" s="114" t="n">
        <f aca="false">G152*7%</f>
        <v>35000</v>
      </c>
      <c r="M152" s="114" t="n">
        <f aca="false">G152*5%</f>
        <v>25000</v>
      </c>
    </row>
    <row r="153" customFormat="false" ht="17.35" hidden="false" customHeight="false" outlineLevel="0" collapsed="false">
      <c r="A153" s="112" t="n">
        <v>153</v>
      </c>
      <c r="B153" s="114" t="s">
        <v>363</v>
      </c>
      <c r="C153" s="114"/>
      <c r="D153" s="114"/>
      <c r="E153" s="114" t="s">
        <v>221</v>
      </c>
      <c r="F153" s="114" t="s">
        <v>224</v>
      </c>
      <c r="G153" s="130" t="n">
        <v>1000000</v>
      </c>
      <c r="H153" s="113" t="s">
        <v>210</v>
      </c>
      <c r="I153" s="138" t="n">
        <v>20</v>
      </c>
      <c r="J153" s="117" t="n">
        <f aca="false">G153*5%</f>
        <v>50000</v>
      </c>
      <c r="K153" s="118" t="n">
        <f aca="false">G153*I153%</f>
        <v>200000</v>
      </c>
      <c r="L153" s="114" t="n">
        <f aca="false">G153*7%</f>
        <v>70000</v>
      </c>
      <c r="M153" s="114" t="n">
        <f aca="false">G153*5%</f>
        <v>50000</v>
      </c>
    </row>
    <row r="154" customFormat="false" ht="17.35" hidden="false" customHeight="false" outlineLevel="0" collapsed="false">
      <c r="A154" s="112" t="n">
        <v>154</v>
      </c>
      <c r="B154" s="114" t="s">
        <v>364</v>
      </c>
      <c r="C154" s="114"/>
      <c r="D154" s="114"/>
      <c r="E154" s="114" t="s">
        <v>226</v>
      </c>
      <c r="F154" s="114" t="s">
        <v>224</v>
      </c>
      <c r="G154" s="129" t="n">
        <v>700000</v>
      </c>
      <c r="H154" s="113" t="s">
        <v>213</v>
      </c>
      <c r="I154" s="138" t="n">
        <v>20</v>
      </c>
      <c r="J154" s="117" t="n">
        <f aca="false">G154*5%</f>
        <v>35000</v>
      </c>
      <c r="K154" s="118" t="n">
        <f aca="false">G154*I154%</f>
        <v>140000</v>
      </c>
      <c r="L154" s="114" t="n">
        <f aca="false">G154*7%</f>
        <v>49000</v>
      </c>
      <c r="M154" s="114" t="n">
        <f aca="false">G154*5%</f>
        <v>35000</v>
      </c>
    </row>
    <row r="155" customFormat="false" ht="17.35" hidden="false" customHeight="false" outlineLevel="0" collapsed="false">
      <c r="A155" s="112" t="n">
        <v>155</v>
      </c>
      <c r="B155" s="140" t="s">
        <v>365</v>
      </c>
      <c r="C155" s="140"/>
      <c r="D155" s="89"/>
      <c r="E155" s="140" t="s">
        <v>217</v>
      </c>
      <c r="F155" s="120" t="s">
        <v>224</v>
      </c>
      <c r="G155" s="135" t="n">
        <v>1000000</v>
      </c>
      <c r="H155" s="136" t="s">
        <v>210</v>
      </c>
      <c r="I155" s="138" t="n">
        <v>20</v>
      </c>
      <c r="J155" s="117" t="n">
        <f aca="false">G155*5%</f>
        <v>50000</v>
      </c>
      <c r="K155" s="118" t="n">
        <f aca="false">G155*I155%</f>
        <v>200000</v>
      </c>
      <c r="L155" s="114" t="n">
        <f aca="false">G155*7%</f>
        <v>70000</v>
      </c>
      <c r="M155" s="114" t="n">
        <f aca="false">G155*5%</f>
        <v>50000</v>
      </c>
    </row>
    <row r="156" customFormat="false" ht="17.35" hidden="false" customHeight="false" outlineLevel="0" collapsed="false">
      <c r="A156" s="112" t="n">
        <v>156</v>
      </c>
      <c r="B156" s="133" t="s">
        <v>366</v>
      </c>
      <c r="C156" s="133"/>
      <c r="D156" s="133"/>
      <c r="E156" s="136" t="s">
        <v>210</v>
      </c>
      <c r="F156" s="133" t="s">
        <v>224</v>
      </c>
      <c r="G156" s="137" t="n">
        <v>4000000</v>
      </c>
      <c r="H156" s="138" t="s">
        <v>213</v>
      </c>
      <c r="I156" s="138" t="n">
        <v>20</v>
      </c>
      <c r="J156" s="117" t="n">
        <f aca="false">G156*5%</f>
        <v>200000</v>
      </c>
      <c r="K156" s="124" t="n">
        <f aca="false">G156*I156%</f>
        <v>800000</v>
      </c>
      <c r="L156" s="114" t="n">
        <f aca="false">G156*7%</f>
        <v>280000</v>
      </c>
      <c r="M156" s="131" t="n">
        <f aca="false">G156*5%</f>
        <v>200000</v>
      </c>
    </row>
    <row r="157" customFormat="false" ht="17.35" hidden="false" customHeight="false" outlineLevel="0" collapsed="false">
      <c r="A157" s="112" t="n">
        <v>157</v>
      </c>
      <c r="B157" s="133" t="s">
        <v>367</v>
      </c>
      <c r="C157" s="133"/>
      <c r="D157" s="133"/>
      <c r="E157" s="136" t="s">
        <v>218</v>
      </c>
      <c r="F157" s="133" t="s">
        <v>238</v>
      </c>
      <c r="G157" s="134" t="n">
        <v>5000000</v>
      </c>
      <c r="H157" s="138" t="s">
        <v>210</v>
      </c>
      <c r="I157" s="138" t="n">
        <v>20</v>
      </c>
      <c r="J157" s="117" t="n">
        <f aca="false">G157*5%</f>
        <v>250000</v>
      </c>
      <c r="K157" s="118" t="n">
        <f aca="false">G157*I157%</f>
        <v>1000000</v>
      </c>
      <c r="L157" s="114" t="n">
        <f aca="false">G157*7%</f>
        <v>350000</v>
      </c>
      <c r="M157" s="114" t="n">
        <f aca="false">G157*5%</f>
        <v>250000</v>
      </c>
    </row>
    <row r="158" customFormat="false" ht="17.35" hidden="false" customHeight="false" outlineLevel="0" collapsed="false">
      <c r="A158" s="112" t="n">
        <v>158</v>
      </c>
      <c r="B158" s="133" t="s">
        <v>368</v>
      </c>
      <c r="C158" s="133"/>
      <c r="D158" s="133"/>
      <c r="E158" s="114" t="s">
        <v>225</v>
      </c>
      <c r="F158" s="133"/>
      <c r="G158" s="137" t="n">
        <v>3000000</v>
      </c>
      <c r="H158" s="138" t="s">
        <v>210</v>
      </c>
      <c r="I158" s="138" t="n">
        <v>20</v>
      </c>
      <c r="J158" s="138"/>
      <c r="K158" s="118" t="n">
        <f aca="false">G158*I158%</f>
        <v>600000</v>
      </c>
      <c r="L158" s="114" t="n">
        <f aca="false">G158*7%</f>
        <v>210000</v>
      </c>
      <c r="M158" s="114" t="n">
        <f aca="false">G158*5%</f>
        <v>150000</v>
      </c>
    </row>
    <row r="159" customFormat="false" ht="17.35" hidden="false" customHeight="false" outlineLevel="0" collapsed="false">
      <c r="A159" s="112" t="n">
        <v>159</v>
      </c>
      <c r="B159" s="133" t="s">
        <v>369</v>
      </c>
      <c r="C159" s="133"/>
      <c r="D159" s="133"/>
      <c r="E159" s="114" t="s">
        <v>225</v>
      </c>
      <c r="F159" s="133"/>
      <c r="G159" s="137" t="n">
        <v>3000000</v>
      </c>
      <c r="H159" s="138" t="s">
        <v>210</v>
      </c>
      <c r="I159" s="138" t="n">
        <v>20</v>
      </c>
      <c r="J159" s="138"/>
      <c r="K159" s="118" t="n">
        <f aca="false">G159*I159%</f>
        <v>600000</v>
      </c>
      <c r="L159" s="114" t="n">
        <f aca="false">G159*7%</f>
        <v>210000</v>
      </c>
      <c r="M159" s="114" t="n">
        <f aca="false">G159*5%</f>
        <v>150000</v>
      </c>
    </row>
    <row r="160" customFormat="false" ht="17.35" hidden="false" customHeight="false" outlineLevel="0" collapsed="false">
      <c r="A160" s="112" t="n">
        <v>160</v>
      </c>
      <c r="B160" s="140" t="s">
        <v>157</v>
      </c>
      <c r="C160" s="140" t="n">
        <v>308543061</v>
      </c>
      <c r="D160" s="89" t="s">
        <v>47</v>
      </c>
      <c r="E160" s="140" t="s">
        <v>217</v>
      </c>
      <c r="F160" s="140" t="s">
        <v>224</v>
      </c>
      <c r="G160" s="135" t="n">
        <v>2000000</v>
      </c>
      <c r="H160" s="136" t="s">
        <v>210</v>
      </c>
      <c r="I160" s="138" t="n">
        <v>20</v>
      </c>
      <c r="J160" s="117" t="n">
        <f aca="false">G160*5%</f>
        <v>100000</v>
      </c>
      <c r="K160" s="118" t="n">
        <f aca="false">G160*I160%</f>
        <v>400000</v>
      </c>
      <c r="L160" s="114" t="n">
        <f aca="false">G160*7%</f>
        <v>140000</v>
      </c>
      <c r="M160" s="114" t="n">
        <f aca="false">G160*5%</f>
        <v>100000</v>
      </c>
    </row>
    <row r="161" customFormat="false" ht="17.35" hidden="false" customHeight="false" outlineLevel="0" collapsed="false">
      <c r="A161" s="112" t="n">
        <v>161</v>
      </c>
      <c r="B161" s="133" t="s">
        <v>370</v>
      </c>
      <c r="C161" s="133"/>
      <c r="D161" s="133"/>
      <c r="E161" s="114" t="s">
        <v>234</v>
      </c>
      <c r="F161" s="133"/>
      <c r="G161" s="134" t="n">
        <v>500000</v>
      </c>
      <c r="H161" s="113" t="s">
        <v>217</v>
      </c>
      <c r="I161" s="138" t="n">
        <v>20</v>
      </c>
      <c r="J161" s="138"/>
      <c r="K161" s="118" t="n">
        <f aca="false">G161*I161%</f>
        <v>100000</v>
      </c>
      <c r="L161" s="114" t="n">
        <f aca="false">G161*7%</f>
        <v>35000</v>
      </c>
      <c r="M161" s="114" t="n">
        <f aca="false">G161*5%</f>
        <v>25000</v>
      </c>
    </row>
    <row r="162" customFormat="false" ht="17.35" hidden="false" customHeight="false" outlineLevel="0" collapsed="false">
      <c r="A162" s="112" t="n">
        <v>162</v>
      </c>
      <c r="B162" s="133" t="s">
        <v>371</v>
      </c>
      <c r="C162" s="133"/>
      <c r="D162" s="133"/>
      <c r="E162" s="136" t="s">
        <v>208</v>
      </c>
      <c r="F162" s="133" t="s">
        <v>238</v>
      </c>
      <c r="G162" s="134" t="n">
        <v>1500000</v>
      </c>
      <c r="H162" s="138" t="s">
        <v>210</v>
      </c>
      <c r="I162" s="138" t="n">
        <v>20</v>
      </c>
      <c r="J162" s="117" t="n">
        <f aca="false">1500000*5%</f>
        <v>75000</v>
      </c>
      <c r="K162" s="118" t="n">
        <f aca="false">G162*I162%</f>
        <v>300000</v>
      </c>
      <c r="L162" s="114" t="n">
        <f aca="false">G162*7%</f>
        <v>105000</v>
      </c>
      <c r="M162" s="114" t="n">
        <f aca="false">G162*5%</f>
        <v>75000</v>
      </c>
    </row>
    <row r="163" customFormat="false" ht="17.35" hidden="false" customHeight="false" outlineLevel="0" collapsed="false">
      <c r="A163" s="112" t="n">
        <v>163</v>
      </c>
      <c r="B163" s="141" t="s">
        <v>372</v>
      </c>
      <c r="C163" s="141"/>
      <c r="D163" s="141"/>
      <c r="E163" s="114" t="s">
        <v>230</v>
      </c>
      <c r="F163" s="141" t="s">
        <v>238</v>
      </c>
      <c r="G163" s="142" t="n">
        <v>1000000</v>
      </c>
      <c r="H163" s="113" t="s">
        <v>213</v>
      </c>
      <c r="I163" s="138" t="n">
        <v>20</v>
      </c>
      <c r="J163" s="117" t="n">
        <f aca="false">G163*5%</f>
        <v>50000</v>
      </c>
      <c r="K163" s="118" t="n">
        <f aca="false">G163*I163%</f>
        <v>200000</v>
      </c>
      <c r="L163" s="114" t="n">
        <f aca="false">G163*7%</f>
        <v>70000</v>
      </c>
      <c r="M163" s="114" t="n">
        <f aca="false">G163*5%</f>
        <v>50000</v>
      </c>
    </row>
    <row r="164" customFormat="false" ht="17.35" hidden="false" customHeight="false" outlineLevel="0" collapsed="false">
      <c r="A164" s="112" t="n">
        <v>164</v>
      </c>
      <c r="B164" s="141" t="s">
        <v>373</v>
      </c>
      <c r="C164" s="141"/>
      <c r="D164" s="141"/>
      <c r="E164" s="143" t="s">
        <v>210</v>
      </c>
      <c r="F164" s="141"/>
      <c r="G164" s="144" t="n">
        <v>300000</v>
      </c>
      <c r="H164" s="116" t="s">
        <v>213</v>
      </c>
      <c r="I164" s="138" t="n">
        <v>20</v>
      </c>
      <c r="J164" s="116"/>
      <c r="K164" s="118" t="n">
        <f aca="false">G164*I164%</f>
        <v>60000</v>
      </c>
      <c r="L164" s="114" t="n">
        <f aca="false">G164*7%</f>
        <v>21000</v>
      </c>
      <c r="M164" s="114" t="n">
        <f aca="false">G164*5%</f>
        <v>15000</v>
      </c>
    </row>
    <row r="165" customFormat="false" ht="17.35" hidden="false" customHeight="false" outlineLevel="0" collapsed="false">
      <c r="A165" s="112" t="n">
        <v>165</v>
      </c>
      <c r="B165" s="141" t="s">
        <v>374</v>
      </c>
      <c r="C165" s="141"/>
      <c r="D165" s="141"/>
      <c r="E165" s="143" t="s">
        <v>216</v>
      </c>
      <c r="F165" s="141" t="s">
        <v>239</v>
      </c>
      <c r="G165" s="145" t="n">
        <v>7000000</v>
      </c>
      <c r="H165" s="116" t="s">
        <v>210</v>
      </c>
      <c r="I165" s="117" t="n">
        <v>20</v>
      </c>
      <c r="J165" s="117" t="n">
        <f aca="false">G165*10%</f>
        <v>700000</v>
      </c>
      <c r="K165" s="118" t="n">
        <f aca="false">G165*I165%</f>
        <v>1400000</v>
      </c>
      <c r="L165" s="114" t="n">
        <f aca="false">G165*7%</f>
        <v>490000</v>
      </c>
      <c r="M165" s="114" t="n">
        <f aca="false">G165*5%</f>
        <v>350000</v>
      </c>
    </row>
    <row r="166" customFormat="false" ht="17.35" hidden="false" customHeight="false" outlineLevel="0" collapsed="false">
      <c r="A166" s="112" t="n">
        <v>166</v>
      </c>
      <c r="B166" s="141" t="s">
        <v>375</v>
      </c>
      <c r="C166" s="141"/>
      <c r="D166" s="141"/>
      <c r="E166" s="143" t="s">
        <v>225</v>
      </c>
      <c r="F166" s="141"/>
      <c r="G166" s="144" t="n">
        <v>5000000</v>
      </c>
      <c r="H166" s="116" t="s">
        <v>210</v>
      </c>
      <c r="I166" s="117" t="n">
        <v>20</v>
      </c>
      <c r="J166" s="116"/>
      <c r="K166" s="118" t="n">
        <f aca="false">G166*I166%</f>
        <v>1000000</v>
      </c>
      <c r="L166" s="114" t="n">
        <f aca="false">G166*7%</f>
        <v>350000</v>
      </c>
      <c r="M166" s="114" t="n">
        <f aca="false">G166*5%</f>
        <v>250000</v>
      </c>
    </row>
    <row r="167" customFormat="false" ht="17.35" hidden="false" customHeight="false" outlineLevel="0" collapsed="false">
      <c r="A167" s="112" t="n">
        <v>167</v>
      </c>
      <c r="B167" s="141" t="s">
        <v>376</v>
      </c>
      <c r="C167" s="141"/>
      <c r="D167" s="141"/>
      <c r="E167" s="143" t="s">
        <v>225</v>
      </c>
      <c r="F167" s="141"/>
      <c r="G167" s="144" t="n">
        <v>15000000</v>
      </c>
      <c r="H167" s="116" t="s">
        <v>210</v>
      </c>
      <c r="I167" s="117" t="n">
        <v>20</v>
      </c>
      <c r="J167" s="116"/>
      <c r="K167" s="118" t="n">
        <f aca="false">G167*I167%-1000000</f>
        <v>2000000</v>
      </c>
      <c r="L167" s="114" t="n">
        <f aca="false">G167*7%</f>
        <v>1050000</v>
      </c>
      <c r="M167" s="114" t="n">
        <f aca="false">G167*5%</f>
        <v>750000</v>
      </c>
    </row>
    <row r="168" customFormat="false" ht="17.35" hidden="false" customHeight="false" outlineLevel="0" collapsed="false">
      <c r="A168" s="112" t="n">
        <v>168</v>
      </c>
      <c r="B168" s="141" t="s">
        <v>377</v>
      </c>
      <c r="C168" s="141"/>
      <c r="D168" s="141"/>
      <c r="E168" s="143" t="s">
        <v>225</v>
      </c>
      <c r="F168" s="141"/>
      <c r="G168" s="144" t="n">
        <v>5000000</v>
      </c>
      <c r="H168" s="116" t="s">
        <v>210</v>
      </c>
      <c r="I168" s="117" t="n">
        <v>20</v>
      </c>
      <c r="J168" s="116"/>
      <c r="K168" s="118" t="n">
        <f aca="false">G168*I168%</f>
        <v>1000000</v>
      </c>
      <c r="L168" s="114" t="n">
        <f aca="false">G168*7%</f>
        <v>350000</v>
      </c>
      <c r="M168" s="114" t="n">
        <f aca="false">G168*5%</f>
        <v>250000</v>
      </c>
    </row>
    <row r="169" customFormat="false" ht="17.35" hidden="false" customHeight="false" outlineLevel="0" collapsed="false">
      <c r="A169" s="112" t="n">
        <v>169</v>
      </c>
      <c r="B169" s="141" t="s">
        <v>378</v>
      </c>
      <c r="C169" s="141"/>
      <c r="D169" s="141"/>
      <c r="E169" s="114" t="s">
        <v>230</v>
      </c>
      <c r="F169" s="141"/>
      <c r="G169" s="142" t="n">
        <v>500000</v>
      </c>
      <c r="H169" s="113" t="s">
        <v>213</v>
      </c>
      <c r="I169" s="116" t="n">
        <v>20</v>
      </c>
      <c r="J169" s="116"/>
      <c r="K169" s="118" t="n">
        <f aca="false">G169*I169%</f>
        <v>100000</v>
      </c>
      <c r="L169" s="114" t="n">
        <f aca="false">G169*7%</f>
        <v>35000</v>
      </c>
      <c r="M169" s="114" t="n">
        <f aca="false">G169*5%</f>
        <v>25000</v>
      </c>
    </row>
    <row r="170" customFormat="false" ht="17.35" hidden="false" customHeight="false" outlineLevel="0" collapsed="false">
      <c r="A170" s="112" t="n">
        <v>170</v>
      </c>
      <c r="B170" s="141" t="s">
        <v>379</v>
      </c>
      <c r="C170" s="141"/>
      <c r="D170" s="141"/>
      <c r="E170" s="143" t="s">
        <v>225</v>
      </c>
      <c r="F170" s="141"/>
      <c r="G170" s="142" t="n">
        <v>0</v>
      </c>
      <c r="H170" s="116" t="s">
        <v>210</v>
      </c>
      <c r="I170" s="116" t="n">
        <v>20</v>
      </c>
      <c r="J170" s="116"/>
      <c r="K170" s="118" t="n">
        <f aca="false">G170*I170%</f>
        <v>0</v>
      </c>
      <c r="L170" s="114" t="n">
        <f aca="false">G170*7%</f>
        <v>0</v>
      </c>
      <c r="M170" s="114" t="n">
        <f aca="false">G170*5%</f>
        <v>0</v>
      </c>
    </row>
    <row r="171" customFormat="false" ht="17.35" hidden="false" customHeight="false" outlineLevel="0" collapsed="false">
      <c r="A171" s="112" t="n">
        <v>171</v>
      </c>
      <c r="B171" s="141" t="s">
        <v>380</v>
      </c>
      <c r="C171" s="141"/>
      <c r="D171" s="141"/>
      <c r="E171" s="143" t="s">
        <v>232</v>
      </c>
      <c r="F171" s="141"/>
      <c r="G171" s="142" t="n">
        <v>600000</v>
      </c>
      <c r="H171" s="116" t="s">
        <v>217</v>
      </c>
      <c r="I171" s="116" t="n">
        <v>20</v>
      </c>
      <c r="J171" s="116"/>
      <c r="K171" s="118" t="n">
        <f aca="false">G171*I171%</f>
        <v>120000</v>
      </c>
      <c r="L171" s="114" t="n">
        <f aca="false">G171*7%</f>
        <v>42000</v>
      </c>
      <c r="M171" s="114" t="n">
        <f aca="false">G171*5%</f>
        <v>30000</v>
      </c>
    </row>
    <row r="172" customFormat="false" ht="17.35" hidden="false" customHeight="false" outlineLevel="0" collapsed="false">
      <c r="A172" s="112" t="n">
        <v>172</v>
      </c>
      <c r="B172" s="141" t="s">
        <v>381</v>
      </c>
      <c r="C172" s="141"/>
      <c r="D172" s="141"/>
      <c r="E172" s="143" t="s">
        <v>208</v>
      </c>
      <c r="F172" s="141" t="s">
        <v>224</v>
      </c>
      <c r="G172" s="142" t="n">
        <v>2000000</v>
      </c>
      <c r="H172" s="116" t="s">
        <v>210</v>
      </c>
      <c r="I172" s="116" t="n">
        <v>20</v>
      </c>
      <c r="J172" s="117" t="n">
        <f aca="false">G172*5%</f>
        <v>100000</v>
      </c>
      <c r="K172" s="118" t="n">
        <f aca="false">G172*I172%</f>
        <v>400000</v>
      </c>
      <c r="L172" s="114" t="n">
        <f aca="false">G172*7%</f>
        <v>140000</v>
      </c>
      <c r="M172" s="114" t="n">
        <f aca="false">G172*5%</f>
        <v>100000</v>
      </c>
    </row>
    <row r="173" customFormat="false" ht="17.35" hidden="false" customHeight="false" outlineLevel="0" collapsed="false">
      <c r="A173" s="112" t="n">
        <v>174</v>
      </c>
      <c r="B173" s="146" t="s">
        <v>382</v>
      </c>
      <c r="C173" s="146"/>
      <c r="D173" s="146"/>
      <c r="E173" s="147" t="s">
        <v>218</v>
      </c>
      <c r="F173" s="146" t="s">
        <v>238</v>
      </c>
      <c r="G173" s="148" t="n">
        <v>1000000</v>
      </c>
      <c r="H173" s="116" t="s">
        <v>210</v>
      </c>
      <c r="I173" s="116" t="n">
        <v>20</v>
      </c>
      <c r="J173" s="117" t="n">
        <f aca="false">G173*5%</f>
        <v>50000</v>
      </c>
      <c r="K173" s="118" t="n">
        <f aca="false">G173*I173%</f>
        <v>200000</v>
      </c>
      <c r="L173" s="114" t="n">
        <f aca="false">G173*7%</f>
        <v>70000</v>
      </c>
      <c r="M173" s="114" t="n">
        <f aca="false">G173*5%</f>
        <v>50000</v>
      </c>
    </row>
    <row r="174" customFormat="false" ht="17.35" hidden="false" customHeight="false" outlineLevel="0" collapsed="false">
      <c r="A174" s="112" t="n">
        <v>175</v>
      </c>
      <c r="B174" s="146" t="s">
        <v>383</v>
      </c>
      <c r="C174" s="146"/>
      <c r="D174" s="146"/>
      <c r="E174" s="147" t="s">
        <v>218</v>
      </c>
      <c r="F174" s="146" t="s">
        <v>238</v>
      </c>
      <c r="G174" s="148" t="n">
        <v>1000000</v>
      </c>
      <c r="H174" s="116" t="s">
        <v>210</v>
      </c>
      <c r="I174" s="116" t="n">
        <v>20</v>
      </c>
      <c r="J174" s="117" t="n">
        <f aca="false">G174*5%</f>
        <v>50000</v>
      </c>
      <c r="K174" s="118" t="n">
        <f aca="false">G174*I174%</f>
        <v>200000</v>
      </c>
      <c r="L174" s="114" t="n">
        <f aca="false">G174*7%</f>
        <v>70000</v>
      </c>
      <c r="M174" s="114" t="n">
        <f aca="false">G174*5%</f>
        <v>50000</v>
      </c>
    </row>
    <row r="175" customFormat="false" ht="17.35" hidden="false" customHeight="false" outlineLevel="0" collapsed="false">
      <c r="A175" s="112" t="n">
        <v>176</v>
      </c>
      <c r="B175" s="141" t="s">
        <v>384</v>
      </c>
      <c r="C175" s="141"/>
      <c r="D175" s="141"/>
      <c r="E175" s="143" t="s">
        <v>218</v>
      </c>
      <c r="F175" s="141" t="s">
        <v>238</v>
      </c>
      <c r="G175" s="142" t="n">
        <v>0</v>
      </c>
      <c r="H175" s="116" t="s">
        <v>210</v>
      </c>
      <c r="I175" s="116" t="n">
        <v>20</v>
      </c>
      <c r="J175" s="116"/>
      <c r="K175" s="118" t="n">
        <f aca="false">G175*I175%</f>
        <v>0</v>
      </c>
      <c r="L175" s="114" t="n">
        <f aca="false">G175*7%</f>
        <v>0</v>
      </c>
      <c r="M175" s="114" t="n">
        <f aca="false">G175*5%</f>
        <v>0</v>
      </c>
    </row>
    <row r="176" customFormat="false" ht="17.35" hidden="false" customHeight="false" outlineLevel="0" collapsed="false">
      <c r="A176" s="112" t="n">
        <v>177</v>
      </c>
      <c r="B176" s="141" t="s">
        <v>385</v>
      </c>
      <c r="C176" s="141"/>
      <c r="D176" s="141"/>
      <c r="E176" s="113" t="s">
        <v>212</v>
      </c>
      <c r="F176" s="141"/>
      <c r="G176" s="142" t="n">
        <v>0</v>
      </c>
      <c r="H176" s="113" t="s">
        <v>213</v>
      </c>
      <c r="I176" s="116" t="n">
        <v>20</v>
      </c>
      <c r="J176" s="116"/>
      <c r="K176" s="118" t="n">
        <f aca="false">G176*I176%</f>
        <v>0</v>
      </c>
      <c r="L176" s="114" t="n">
        <f aca="false">G176*7%</f>
        <v>0</v>
      </c>
      <c r="M176" s="114" t="n">
        <f aca="false">G176*5%</f>
        <v>0</v>
      </c>
    </row>
    <row r="177" customFormat="false" ht="17.35" hidden="false" customHeight="false" outlineLevel="0" collapsed="false">
      <c r="A177" s="112" t="n">
        <v>178</v>
      </c>
      <c r="B177" s="141" t="s">
        <v>386</v>
      </c>
      <c r="C177" s="141"/>
      <c r="D177" s="141"/>
      <c r="E177" s="143" t="s">
        <v>208</v>
      </c>
      <c r="F177" s="141" t="s">
        <v>224</v>
      </c>
      <c r="G177" s="142" t="n">
        <v>1000000</v>
      </c>
      <c r="H177" s="116" t="s">
        <v>210</v>
      </c>
      <c r="I177" s="116" t="n">
        <v>20</v>
      </c>
      <c r="J177" s="117" t="n">
        <f aca="false">G177*5%</f>
        <v>50000</v>
      </c>
      <c r="K177" s="118" t="n">
        <f aca="false">G177*I177%</f>
        <v>200000</v>
      </c>
      <c r="L177" s="114" t="n">
        <f aca="false">G177*7%</f>
        <v>70000</v>
      </c>
      <c r="M177" s="114" t="n">
        <f aca="false">G177*5%</f>
        <v>50000</v>
      </c>
    </row>
    <row r="178" customFormat="false" ht="17.35" hidden="false" customHeight="false" outlineLevel="0" collapsed="false">
      <c r="A178" s="112" t="n">
        <v>179</v>
      </c>
      <c r="B178" s="141" t="s">
        <v>387</v>
      </c>
      <c r="C178" s="141"/>
      <c r="D178" s="141"/>
      <c r="E178" s="113" t="s">
        <v>223</v>
      </c>
      <c r="F178" s="141" t="s">
        <v>224</v>
      </c>
      <c r="G178" s="142" t="n">
        <v>0</v>
      </c>
      <c r="H178" s="113" t="s">
        <v>210</v>
      </c>
      <c r="I178" s="116" t="n">
        <v>20</v>
      </c>
      <c r="J178" s="116"/>
      <c r="K178" s="118" t="n">
        <f aca="false">G178*I178%</f>
        <v>0</v>
      </c>
      <c r="L178" s="114" t="n">
        <f aca="false">G178*7%</f>
        <v>0</v>
      </c>
      <c r="M178" s="114" t="n">
        <f aca="false">G178*5%</f>
        <v>0</v>
      </c>
    </row>
    <row r="179" customFormat="false" ht="17.35" hidden="false" customHeight="false" outlineLevel="0" collapsed="false">
      <c r="A179" s="112" t="n">
        <v>180</v>
      </c>
      <c r="B179" s="141" t="s">
        <v>388</v>
      </c>
      <c r="C179" s="141"/>
      <c r="D179" s="141"/>
      <c r="E179" s="143" t="s">
        <v>208</v>
      </c>
      <c r="F179" s="141" t="s">
        <v>224</v>
      </c>
      <c r="G179" s="142" t="n">
        <v>4000000</v>
      </c>
      <c r="H179" s="116" t="s">
        <v>210</v>
      </c>
      <c r="I179" s="116" t="n">
        <v>20</v>
      </c>
      <c r="J179" s="117" t="n">
        <f aca="false">G179*5%</f>
        <v>200000</v>
      </c>
      <c r="K179" s="118" t="n">
        <f aca="false">G179*I179%</f>
        <v>800000</v>
      </c>
      <c r="L179" s="114" t="n">
        <f aca="false">G179*7%</f>
        <v>280000</v>
      </c>
      <c r="M179" s="114" t="n">
        <f aca="false">G179*5%</f>
        <v>200000</v>
      </c>
    </row>
    <row r="180" customFormat="false" ht="17.35" hidden="false" customHeight="false" outlineLevel="0" collapsed="false">
      <c r="A180" s="112" t="n">
        <v>181</v>
      </c>
      <c r="B180" s="141" t="s">
        <v>389</v>
      </c>
      <c r="C180" s="141"/>
      <c r="D180" s="141"/>
      <c r="E180" s="143" t="s">
        <v>220</v>
      </c>
      <c r="F180" s="141" t="s">
        <v>224</v>
      </c>
      <c r="G180" s="142" t="n">
        <v>10000000</v>
      </c>
      <c r="H180" s="116" t="s">
        <v>210</v>
      </c>
      <c r="I180" s="116" t="n">
        <v>20</v>
      </c>
      <c r="J180" s="117" t="n">
        <f aca="false">G180*5%</f>
        <v>500000</v>
      </c>
      <c r="K180" s="118" t="n">
        <f aca="false">G180*I180%</f>
        <v>2000000</v>
      </c>
      <c r="L180" s="114" t="n">
        <f aca="false">G180*7%</f>
        <v>700000</v>
      </c>
      <c r="M180" s="114" t="n">
        <f aca="false">G180*5%</f>
        <v>500000</v>
      </c>
    </row>
    <row r="181" customFormat="false" ht="17.35" hidden="false" customHeight="false" outlineLevel="0" collapsed="false">
      <c r="A181" s="112" t="n">
        <v>182</v>
      </c>
      <c r="B181" s="141" t="s">
        <v>390</v>
      </c>
      <c r="C181" s="141"/>
      <c r="D181" s="141"/>
      <c r="E181" s="143" t="s">
        <v>220</v>
      </c>
      <c r="F181" s="141" t="s">
        <v>224</v>
      </c>
      <c r="G181" s="142" t="n">
        <v>2000000</v>
      </c>
      <c r="H181" s="116" t="s">
        <v>210</v>
      </c>
      <c r="I181" s="116" t="n">
        <v>20</v>
      </c>
      <c r="J181" s="117" t="n">
        <f aca="false">G181*5%</f>
        <v>100000</v>
      </c>
      <c r="K181" s="118" t="n">
        <f aca="false">G181*I181%</f>
        <v>400000</v>
      </c>
      <c r="L181" s="114" t="n">
        <f aca="false">G181*7%</f>
        <v>140000</v>
      </c>
      <c r="M181" s="114" t="n">
        <f aca="false">G181*5%</f>
        <v>100000</v>
      </c>
    </row>
    <row r="182" customFormat="false" ht="17.35" hidden="false" customHeight="false" outlineLevel="0" collapsed="false">
      <c r="A182" s="112" t="n">
        <v>183</v>
      </c>
      <c r="B182" s="141" t="s">
        <v>391</v>
      </c>
      <c r="C182" s="141"/>
      <c r="D182" s="141"/>
      <c r="E182" s="143" t="s">
        <v>220</v>
      </c>
      <c r="F182" s="141"/>
      <c r="G182" s="142" t="n">
        <v>5000000</v>
      </c>
      <c r="H182" s="116" t="s">
        <v>213</v>
      </c>
      <c r="I182" s="116" t="n">
        <v>20</v>
      </c>
      <c r="J182" s="116"/>
      <c r="K182" s="118" t="n">
        <f aca="false">G182*I182%</f>
        <v>1000000</v>
      </c>
      <c r="L182" s="114" t="n">
        <f aca="false">G182*7%</f>
        <v>350000</v>
      </c>
      <c r="M182" s="114" t="n">
        <f aca="false">G182*5%</f>
        <v>250000</v>
      </c>
    </row>
    <row r="183" customFormat="false" ht="17.35" hidden="false" customHeight="false" outlineLevel="0" collapsed="false">
      <c r="A183" s="112" t="n">
        <v>184</v>
      </c>
      <c r="B183" s="141" t="s">
        <v>392</v>
      </c>
      <c r="C183" s="141"/>
      <c r="D183" s="141"/>
      <c r="E183" s="143" t="s">
        <v>220</v>
      </c>
      <c r="F183" s="141"/>
      <c r="G183" s="142" t="n">
        <v>5000000</v>
      </c>
      <c r="H183" s="116" t="s">
        <v>213</v>
      </c>
      <c r="I183" s="116" t="n">
        <v>20</v>
      </c>
      <c r="J183" s="116"/>
      <c r="K183" s="118" t="n">
        <f aca="false">G183*I183%</f>
        <v>1000000</v>
      </c>
      <c r="L183" s="114" t="n">
        <f aca="false">G183*7%</f>
        <v>350000</v>
      </c>
      <c r="M183" s="114" t="n">
        <f aca="false">G183*5%</f>
        <v>250000</v>
      </c>
    </row>
    <row r="184" customFormat="false" ht="17.35" hidden="false" customHeight="false" outlineLevel="0" collapsed="false">
      <c r="A184" s="112" t="n">
        <v>185</v>
      </c>
      <c r="B184" s="141" t="s">
        <v>393</v>
      </c>
      <c r="C184" s="141"/>
      <c r="D184" s="141"/>
      <c r="E184" s="143" t="s">
        <v>220</v>
      </c>
      <c r="F184" s="141"/>
      <c r="G184" s="142" t="n">
        <v>5000000</v>
      </c>
      <c r="H184" s="116" t="s">
        <v>213</v>
      </c>
      <c r="I184" s="116" t="n">
        <v>20</v>
      </c>
      <c r="J184" s="116"/>
      <c r="K184" s="118" t="n">
        <f aca="false">G184*I184%</f>
        <v>1000000</v>
      </c>
      <c r="L184" s="114" t="n">
        <f aca="false">G184*7%</f>
        <v>350000</v>
      </c>
      <c r="M184" s="114" t="n">
        <f aca="false">G184*5%</f>
        <v>250000</v>
      </c>
    </row>
    <row r="185" customFormat="false" ht="17.35" hidden="false" customHeight="false" outlineLevel="0" collapsed="false">
      <c r="A185" s="112" t="n">
        <v>186</v>
      </c>
      <c r="B185" s="141" t="s">
        <v>394</v>
      </c>
      <c r="C185" s="141"/>
      <c r="D185" s="141"/>
      <c r="E185" s="143" t="s">
        <v>223</v>
      </c>
      <c r="F185" s="141"/>
      <c r="G185" s="142" t="n">
        <v>3500000</v>
      </c>
      <c r="H185" s="116" t="s">
        <v>210</v>
      </c>
      <c r="I185" s="116" t="n">
        <v>20</v>
      </c>
      <c r="J185" s="116"/>
      <c r="K185" s="118" t="n">
        <f aca="false">G185*I185%</f>
        <v>700000</v>
      </c>
      <c r="L185" s="114" t="n">
        <f aca="false">G185*7%</f>
        <v>245000</v>
      </c>
      <c r="M185" s="114" t="n">
        <f aca="false">G185*5%</f>
        <v>175000</v>
      </c>
    </row>
    <row r="186" customFormat="false" ht="17.35" hidden="false" customHeight="false" outlineLevel="0" collapsed="false">
      <c r="A186" s="112" t="n">
        <v>187</v>
      </c>
      <c r="B186" s="141" t="s">
        <v>395</v>
      </c>
      <c r="C186" s="141"/>
      <c r="D186" s="141"/>
      <c r="E186" s="143" t="s">
        <v>223</v>
      </c>
      <c r="F186" s="141"/>
      <c r="G186" s="142" t="n">
        <v>3500000</v>
      </c>
      <c r="H186" s="116" t="s">
        <v>210</v>
      </c>
      <c r="I186" s="116" t="n">
        <v>20</v>
      </c>
      <c r="J186" s="116"/>
      <c r="K186" s="118" t="n">
        <f aca="false">G186*I186%</f>
        <v>700000</v>
      </c>
      <c r="L186" s="114" t="n">
        <f aca="false">G186*7%</f>
        <v>245000</v>
      </c>
      <c r="M186" s="114" t="n">
        <f aca="false">G186*5%</f>
        <v>175000</v>
      </c>
    </row>
    <row r="187" customFormat="false" ht="17.35" hidden="false" customHeight="false" outlineLevel="0" collapsed="false">
      <c r="A187" s="112" t="n">
        <v>188</v>
      </c>
      <c r="B187" s="141" t="s">
        <v>396</v>
      </c>
      <c r="C187" s="141"/>
      <c r="D187" s="141"/>
      <c r="E187" s="143" t="s">
        <v>217</v>
      </c>
      <c r="F187" s="141"/>
      <c r="G187" s="142" t="n">
        <v>1000000</v>
      </c>
      <c r="H187" s="116" t="s">
        <v>210</v>
      </c>
      <c r="I187" s="116" t="n">
        <v>10</v>
      </c>
      <c r="J187" s="116"/>
      <c r="K187" s="118" t="n">
        <f aca="false">G187*I187%</f>
        <v>100000</v>
      </c>
      <c r="L187" s="114" t="n">
        <f aca="false">G187*7%</f>
        <v>70000</v>
      </c>
      <c r="M187" s="114" t="n">
        <f aca="false">G187*5%</f>
        <v>50000</v>
      </c>
    </row>
    <row r="188" customFormat="false" ht="17.35" hidden="false" customHeight="false" outlineLevel="0" collapsed="false">
      <c r="A188" s="112" t="n">
        <v>189</v>
      </c>
      <c r="B188" s="141" t="s">
        <v>397</v>
      </c>
      <c r="C188" s="141"/>
      <c r="D188" s="141"/>
      <c r="E188" s="143" t="s">
        <v>216</v>
      </c>
      <c r="F188" s="141" t="s">
        <v>239</v>
      </c>
      <c r="G188" s="142" t="n">
        <v>0</v>
      </c>
      <c r="H188" s="116" t="s">
        <v>210</v>
      </c>
      <c r="I188" s="116" t="n">
        <v>20</v>
      </c>
      <c r="J188" s="116"/>
      <c r="K188" s="118" t="n">
        <f aca="false">G188*I188%</f>
        <v>0</v>
      </c>
      <c r="L188" s="114" t="n">
        <f aca="false">G188*7%</f>
        <v>0</v>
      </c>
      <c r="M188" s="114" t="n">
        <f aca="false">G188*5%</f>
        <v>0</v>
      </c>
    </row>
    <row r="189" customFormat="false" ht="17.35" hidden="false" customHeight="false" outlineLevel="0" collapsed="false">
      <c r="A189" s="112" t="n">
        <v>190</v>
      </c>
      <c r="B189" s="141" t="s">
        <v>398</v>
      </c>
      <c r="C189" s="141"/>
      <c r="D189" s="141"/>
      <c r="E189" s="143" t="s">
        <v>216</v>
      </c>
      <c r="F189" s="141" t="s">
        <v>239</v>
      </c>
      <c r="G189" s="142" t="n">
        <v>0</v>
      </c>
      <c r="H189" s="116" t="s">
        <v>210</v>
      </c>
      <c r="I189" s="116" t="n">
        <v>20</v>
      </c>
      <c r="J189" s="116"/>
      <c r="K189" s="118" t="n">
        <f aca="false">G189*I189%</f>
        <v>0</v>
      </c>
      <c r="L189" s="114" t="n">
        <f aca="false">G189*7%</f>
        <v>0</v>
      </c>
      <c r="M189" s="114" t="n">
        <f aca="false">G189*5%</f>
        <v>0</v>
      </c>
    </row>
    <row r="190" customFormat="false" ht="17.35" hidden="false" customHeight="false" outlineLevel="0" collapsed="false">
      <c r="A190" s="112" t="n">
        <v>191</v>
      </c>
      <c r="B190" s="141" t="s">
        <v>399</v>
      </c>
      <c r="C190" s="141"/>
      <c r="D190" s="141"/>
      <c r="E190" s="143" t="s">
        <v>216</v>
      </c>
      <c r="F190" s="141" t="s">
        <v>239</v>
      </c>
      <c r="G190" s="142" t="n">
        <v>0</v>
      </c>
      <c r="H190" s="116" t="s">
        <v>210</v>
      </c>
      <c r="I190" s="116" t="n">
        <v>20</v>
      </c>
      <c r="J190" s="116"/>
      <c r="K190" s="118" t="n">
        <f aca="false">G190*I190%</f>
        <v>0</v>
      </c>
      <c r="L190" s="114" t="n">
        <f aca="false">G190*7%</f>
        <v>0</v>
      </c>
      <c r="M190" s="114" t="n">
        <f aca="false">G190*5%</f>
        <v>0</v>
      </c>
    </row>
    <row r="191" customFormat="false" ht="17.35" hidden="false" customHeight="false" outlineLevel="0" collapsed="false">
      <c r="A191" s="112" t="n">
        <v>192</v>
      </c>
      <c r="B191" s="141" t="s">
        <v>400</v>
      </c>
      <c r="C191" s="141"/>
      <c r="D191" s="141"/>
      <c r="E191" s="143" t="s">
        <v>216</v>
      </c>
      <c r="F191" s="141" t="s">
        <v>239</v>
      </c>
      <c r="G191" s="142" t="n">
        <v>0</v>
      </c>
      <c r="H191" s="116" t="s">
        <v>210</v>
      </c>
      <c r="I191" s="116" t="n">
        <v>20</v>
      </c>
      <c r="J191" s="116"/>
      <c r="K191" s="118" t="n">
        <f aca="false">G191*I191%</f>
        <v>0</v>
      </c>
      <c r="L191" s="114" t="n">
        <f aca="false">G191*7%</f>
        <v>0</v>
      </c>
      <c r="M191" s="114" t="n">
        <f aca="false">G191*5%</f>
        <v>0</v>
      </c>
    </row>
    <row r="192" customFormat="false" ht="17.35" hidden="false" customHeight="false" outlineLevel="0" collapsed="false">
      <c r="A192" s="112" t="n">
        <v>193</v>
      </c>
      <c r="B192" s="141" t="s">
        <v>401</v>
      </c>
      <c r="C192" s="141"/>
      <c r="D192" s="141"/>
      <c r="E192" s="143" t="s">
        <v>211</v>
      </c>
      <c r="F192" s="141" t="s">
        <v>239</v>
      </c>
      <c r="G192" s="142" t="n">
        <v>0</v>
      </c>
      <c r="H192" s="116" t="s">
        <v>210</v>
      </c>
      <c r="I192" s="116" t="n">
        <v>20</v>
      </c>
      <c r="J192" s="149"/>
      <c r="K192" s="118" t="n">
        <f aca="false">G192*I192%</f>
        <v>0</v>
      </c>
      <c r="L192" s="114" t="n">
        <f aca="false">G192*7%</f>
        <v>0</v>
      </c>
      <c r="M192" s="114" t="n">
        <f aca="false">G192*5%</f>
        <v>0</v>
      </c>
    </row>
    <row r="193" customFormat="false" ht="17.35" hidden="false" customHeight="false" outlineLevel="0" collapsed="false">
      <c r="A193" s="112" t="n">
        <v>194</v>
      </c>
      <c r="B193" s="141" t="s">
        <v>402</v>
      </c>
      <c r="C193" s="141"/>
      <c r="D193" s="141"/>
      <c r="E193" s="143" t="s">
        <v>211</v>
      </c>
      <c r="F193" s="141" t="s">
        <v>239</v>
      </c>
      <c r="G193" s="142" t="n">
        <v>7500000</v>
      </c>
      <c r="H193" s="116" t="s">
        <v>210</v>
      </c>
      <c r="I193" s="116" t="n">
        <v>20</v>
      </c>
      <c r="J193" s="117" t="n">
        <f aca="false">G193*5%</f>
        <v>375000</v>
      </c>
      <c r="K193" s="118" t="n">
        <f aca="false">G193*I193%</f>
        <v>1500000</v>
      </c>
      <c r="L193" s="114" t="n">
        <f aca="false">G193*7%</f>
        <v>525000</v>
      </c>
      <c r="M193" s="114" t="n">
        <f aca="false">G193*5%</f>
        <v>375000</v>
      </c>
    </row>
    <row r="194" customFormat="false" ht="17.35" hidden="false" customHeight="false" outlineLevel="0" collapsed="false">
      <c r="A194" s="112" t="n">
        <v>195</v>
      </c>
      <c r="B194" s="141" t="s">
        <v>403</v>
      </c>
      <c r="C194" s="141"/>
      <c r="D194" s="141"/>
      <c r="E194" s="143" t="s">
        <v>212</v>
      </c>
      <c r="F194" s="141" t="s">
        <v>224</v>
      </c>
      <c r="G194" s="142" t="n">
        <v>700000</v>
      </c>
      <c r="H194" s="116" t="s">
        <v>213</v>
      </c>
      <c r="I194" s="116" t="n">
        <v>20</v>
      </c>
      <c r="J194" s="117" t="n">
        <f aca="false">G194*5%</f>
        <v>35000</v>
      </c>
      <c r="K194" s="118" t="n">
        <f aca="false">G194*I194%</f>
        <v>140000</v>
      </c>
      <c r="L194" s="114" t="n">
        <f aca="false">G194*7%</f>
        <v>49000</v>
      </c>
      <c r="M194" s="114" t="n">
        <f aca="false">G194*5%</f>
        <v>35000</v>
      </c>
    </row>
    <row r="195" customFormat="false" ht="17.35" hidden="false" customHeight="false" outlineLevel="0" collapsed="false">
      <c r="A195" s="112" t="n">
        <v>196</v>
      </c>
      <c r="B195" s="141" t="s">
        <v>404</v>
      </c>
      <c r="C195" s="141"/>
      <c r="D195" s="141"/>
      <c r="E195" s="143" t="s">
        <v>216</v>
      </c>
      <c r="F195" s="141" t="s">
        <v>224</v>
      </c>
      <c r="G195" s="142" t="n">
        <v>14000000</v>
      </c>
      <c r="H195" s="116" t="s">
        <v>210</v>
      </c>
      <c r="I195" s="116" t="n">
        <v>20</v>
      </c>
      <c r="J195" s="117" t="n">
        <f aca="false">G195*5%</f>
        <v>700000</v>
      </c>
      <c r="K195" s="118" t="n">
        <f aca="false">G195*I195%</f>
        <v>2800000</v>
      </c>
      <c r="L195" s="114" t="n">
        <f aca="false">G195*7%</f>
        <v>980000</v>
      </c>
      <c r="M195" s="114" t="n">
        <f aca="false">G195*5%</f>
        <v>700000</v>
      </c>
    </row>
    <row r="196" customFormat="false" ht="17.35" hidden="false" customHeight="false" outlineLevel="0" collapsed="false">
      <c r="A196" s="112" t="n">
        <v>197</v>
      </c>
      <c r="B196" s="141" t="s">
        <v>405</v>
      </c>
      <c r="C196" s="141"/>
      <c r="D196" s="141"/>
      <c r="E196" s="143" t="s">
        <v>227</v>
      </c>
      <c r="F196" s="141" t="s">
        <v>238</v>
      </c>
      <c r="G196" s="145" t="n">
        <v>5000000</v>
      </c>
      <c r="H196" s="116" t="s">
        <v>213</v>
      </c>
      <c r="I196" s="116" t="n">
        <v>20</v>
      </c>
      <c r="J196" s="117" t="n">
        <f aca="false">G196*5%</f>
        <v>250000</v>
      </c>
      <c r="K196" s="118" t="n">
        <f aca="false">G196*I196%</f>
        <v>1000000</v>
      </c>
      <c r="L196" s="114" t="n">
        <f aca="false">G196*7%</f>
        <v>350000</v>
      </c>
      <c r="M196" s="114" t="n">
        <f aca="false">G196*5%</f>
        <v>250000</v>
      </c>
    </row>
    <row r="197" customFormat="false" ht="17.35" hidden="false" customHeight="false" outlineLevel="0" collapsed="false">
      <c r="A197" s="112" t="n">
        <v>198</v>
      </c>
      <c r="B197" s="141" t="s">
        <v>406</v>
      </c>
      <c r="C197" s="141"/>
      <c r="D197" s="141"/>
      <c r="E197" s="143" t="s">
        <v>223</v>
      </c>
      <c r="F197" s="141" t="s">
        <v>238</v>
      </c>
      <c r="G197" s="142" t="n">
        <v>4500000</v>
      </c>
      <c r="H197" s="116" t="s">
        <v>210</v>
      </c>
      <c r="I197" s="116" t="n">
        <v>20</v>
      </c>
      <c r="J197" s="117" t="n">
        <f aca="false">G197*5%</f>
        <v>225000</v>
      </c>
      <c r="K197" s="118" t="n">
        <f aca="false">G197*I197%</f>
        <v>900000</v>
      </c>
      <c r="L197" s="114" t="n">
        <f aca="false">G197*7%</f>
        <v>315000</v>
      </c>
      <c r="M197" s="114" t="n">
        <f aca="false">G197*5%</f>
        <v>225000</v>
      </c>
    </row>
    <row r="198" customFormat="false" ht="17.35" hidden="false" customHeight="false" outlineLevel="0" collapsed="false">
      <c r="A198" s="112" t="n">
        <v>199</v>
      </c>
      <c r="B198" s="141" t="s">
        <v>407</v>
      </c>
      <c r="C198" s="141"/>
      <c r="D198" s="141"/>
      <c r="E198" s="143" t="s">
        <v>231</v>
      </c>
      <c r="F198" s="141"/>
      <c r="G198" s="142" t="n">
        <v>1000000</v>
      </c>
      <c r="H198" s="116" t="s">
        <v>216</v>
      </c>
      <c r="I198" s="116" t="n">
        <v>20</v>
      </c>
      <c r="J198" s="116"/>
      <c r="K198" s="118" t="n">
        <f aca="false">G198*I198%</f>
        <v>200000</v>
      </c>
      <c r="L198" s="114" t="n">
        <f aca="false">G198*7%</f>
        <v>70000</v>
      </c>
      <c r="M198" s="114" t="n">
        <f aca="false">G198*5%</f>
        <v>50000</v>
      </c>
    </row>
    <row r="199" customFormat="false" ht="17.35" hidden="false" customHeight="false" outlineLevel="0" collapsed="false">
      <c r="A199" s="112" t="n">
        <v>200</v>
      </c>
      <c r="B199" s="141" t="s">
        <v>408</v>
      </c>
      <c r="C199" s="141"/>
      <c r="D199" s="141"/>
      <c r="E199" s="143" t="s">
        <v>212</v>
      </c>
      <c r="F199" s="141"/>
      <c r="G199" s="144" t="n">
        <v>700000</v>
      </c>
      <c r="H199" s="116" t="s">
        <v>213</v>
      </c>
      <c r="I199" s="116" t="n">
        <v>20</v>
      </c>
      <c r="J199" s="116"/>
      <c r="K199" s="118" t="n">
        <f aca="false">G199*I199%</f>
        <v>140000</v>
      </c>
      <c r="L199" s="114" t="n">
        <f aca="false">G199*7%</f>
        <v>49000</v>
      </c>
      <c r="M199" s="114" t="n">
        <f aca="false">G199*5%</f>
        <v>35000</v>
      </c>
    </row>
    <row r="200" customFormat="false" ht="17.35" hidden="false" customHeight="false" outlineLevel="0" collapsed="false">
      <c r="A200" s="112" t="n">
        <v>201</v>
      </c>
      <c r="B200" s="133" t="s">
        <v>409</v>
      </c>
      <c r="C200" s="133"/>
      <c r="D200" s="114"/>
      <c r="E200" s="113" t="s">
        <v>216</v>
      </c>
      <c r="F200" s="114" t="s">
        <v>238</v>
      </c>
      <c r="G200" s="129" t="n">
        <v>2000000</v>
      </c>
      <c r="H200" s="113" t="s">
        <v>210</v>
      </c>
      <c r="I200" s="117" t="n">
        <v>20</v>
      </c>
      <c r="J200" s="117" t="n">
        <f aca="false">G200*5%</f>
        <v>100000</v>
      </c>
      <c r="K200" s="118" t="n">
        <f aca="false">G200*I200%</f>
        <v>400000</v>
      </c>
      <c r="L200" s="114" t="n">
        <f aca="false">G200*7%</f>
        <v>140000</v>
      </c>
      <c r="M200" s="114" t="n">
        <f aca="false">G200*5%</f>
        <v>100000</v>
      </c>
    </row>
    <row r="201" customFormat="false" ht="17.35" hidden="false" customHeight="false" outlineLevel="0" collapsed="false">
      <c r="A201" s="112" t="n">
        <v>202</v>
      </c>
      <c r="B201" s="141" t="s">
        <v>410</v>
      </c>
      <c r="C201" s="141" t="n">
        <v>302595327</v>
      </c>
      <c r="D201" s="141"/>
      <c r="E201" s="141" t="s">
        <v>229</v>
      </c>
      <c r="F201" s="141"/>
      <c r="G201" s="150" t="n">
        <v>1000000</v>
      </c>
      <c r="H201" s="113" t="s">
        <v>217</v>
      </c>
      <c r="I201" s="117" t="n">
        <v>20</v>
      </c>
      <c r="J201" s="117"/>
      <c r="K201" s="118" t="n">
        <f aca="false">G201*I201%</f>
        <v>200000</v>
      </c>
      <c r="L201" s="114" t="n">
        <f aca="false">G201*7%</f>
        <v>70000</v>
      </c>
      <c r="M201" s="114" t="n">
        <f aca="false">G201*5%</f>
        <v>50000</v>
      </c>
    </row>
    <row r="202" customFormat="false" ht="17.35" hidden="false" customHeight="false" outlineLevel="0" collapsed="false">
      <c r="A202" s="112" t="n">
        <v>203</v>
      </c>
      <c r="B202" s="141" t="s">
        <v>411</v>
      </c>
      <c r="C202" s="141" t="n">
        <v>309314757</v>
      </c>
      <c r="D202" s="141"/>
      <c r="E202" s="141" t="s">
        <v>229</v>
      </c>
      <c r="F202" s="141"/>
      <c r="G202" s="150" t="n">
        <v>500000</v>
      </c>
      <c r="H202" s="113" t="s">
        <v>217</v>
      </c>
      <c r="I202" s="117" t="n">
        <v>20</v>
      </c>
      <c r="J202" s="117"/>
      <c r="K202" s="118" t="n">
        <f aca="false">G202*I202%</f>
        <v>100000</v>
      </c>
      <c r="L202" s="114" t="n">
        <f aca="false">G202*7%</f>
        <v>35000</v>
      </c>
      <c r="M202" s="114" t="n">
        <f aca="false">G202*5%</f>
        <v>25000</v>
      </c>
    </row>
    <row r="203" customFormat="false" ht="17.35" hidden="false" customHeight="false" outlineLevel="0" collapsed="false">
      <c r="A203" s="112" t="n">
        <v>204</v>
      </c>
      <c r="B203" s="141" t="s">
        <v>412</v>
      </c>
      <c r="C203" s="141" t="n">
        <v>309850241</v>
      </c>
      <c r="D203" s="141"/>
      <c r="E203" s="141" t="s">
        <v>224</v>
      </c>
      <c r="F203" s="141" t="s">
        <v>224</v>
      </c>
      <c r="G203" s="150" t="n">
        <v>700000</v>
      </c>
      <c r="H203" s="113" t="s">
        <v>210</v>
      </c>
      <c r="I203" s="117" t="n">
        <v>20</v>
      </c>
      <c r="J203" s="117" t="n">
        <f aca="false">G203*5%</f>
        <v>35000</v>
      </c>
      <c r="K203" s="118" t="n">
        <f aca="false">G203*I203%</f>
        <v>140000</v>
      </c>
      <c r="L203" s="114" t="n">
        <f aca="false">G203*7%</f>
        <v>49000</v>
      </c>
      <c r="M203" s="114" t="n">
        <f aca="false">G203*5%</f>
        <v>35000</v>
      </c>
    </row>
    <row r="204" customFormat="false" ht="17.35" hidden="false" customHeight="false" outlineLevel="0" collapsed="false">
      <c r="A204" s="112" t="n">
        <v>205</v>
      </c>
      <c r="B204" s="141" t="s">
        <v>413</v>
      </c>
      <c r="C204" s="141" t="n">
        <v>206447841</v>
      </c>
      <c r="D204" s="141"/>
      <c r="E204" s="141" t="s">
        <v>217</v>
      </c>
      <c r="F204" s="114" t="s">
        <v>238</v>
      </c>
      <c r="G204" s="150" t="n">
        <v>9500000</v>
      </c>
      <c r="H204" s="113" t="s">
        <v>210</v>
      </c>
      <c r="I204" s="117" t="n">
        <v>20</v>
      </c>
      <c r="J204" s="117" t="n">
        <f aca="false">G204*5%</f>
        <v>475000</v>
      </c>
      <c r="K204" s="118" t="n">
        <f aca="false">G204*I204%</f>
        <v>1900000</v>
      </c>
      <c r="L204" s="114" t="n">
        <f aca="false">G204*7%</f>
        <v>665000</v>
      </c>
      <c r="M204" s="114" t="n">
        <f aca="false">G204*5%</f>
        <v>475000</v>
      </c>
    </row>
    <row r="205" customFormat="false" ht="17.35" hidden="false" customHeight="false" outlineLevel="0" collapsed="false">
      <c r="A205" s="112" t="n">
        <v>206</v>
      </c>
      <c r="B205" s="141" t="s">
        <v>414</v>
      </c>
      <c r="C205" s="141" t="n">
        <v>306061553</v>
      </c>
      <c r="D205" s="141"/>
      <c r="E205" s="141" t="s">
        <v>217</v>
      </c>
      <c r="F205" s="114" t="s">
        <v>238</v>
      </c>
      <c r="G205" s="150" t="n">
        <v>9500000</v>
      </c>
      <c r="H205" s="113" t="s">
        <v>213</v>
      </c>
      <c r="I205" s="117" t="n">
        <v>20</v>
      </c>
      <c r="J205" s="117" t="n">
        <f aca="false">G205*5%</f>
        <v>475000</v>
      </c>
      <c r="K205" s="118" t="n">
        <f aca="false">G205*I205%</f>
        <v>1900000</v>
      </c>
      <c r="L205" s="114" t="n">
        <f aca="false">G205*7%</f>
        <v>665000</v>
      </c>
      <c r="M205" s="114" t="n">
        <f aca="false">G205*5%</f>
        <v>475000</v>
      </c>
    </row>
    <row r="206" customFormat="false" ht="17.35" hidden="false" customHeight="false" outlineLevel="0" collapsed="false">
      <c r="A206" s="112" t="n">
        <v>207</v>
      </c>
      <c r="B206" s="141" t="s">
        <v>415</v>
      </c>
      <c r="C206" s="141" t="n">
        <v>302080350</v>
      </c>
      <c r="D206" s="141"/>
      <c r="E206" s="141" t="s">
        <v>217</v>
      </c>
      <c r="F206" s="141" t="s">
        <v>238</v>
      </c>
      <c r="G206" s="150" t="n">
        <v>1000000</v>
      </c>
      <c r="H206" s="113" t="s">
        <v>213</v>
      </c>
      <c r="I206" s="117" t="n">
        <v>20</v>
      </c>
      <c r="J206" s="117" t="n">
        <f aca="false">G206*5%*2</f>
        <v>100000</v>
      </c>
      <c r="K206" s="118" t="n">
        <f aca="false">G206*I206%</f>
        <v>200000</v>
      </c>
      <c r="L206" s="114" t="n">
        <f aca="false">G206*7%</f>
        <v>70000</v>
      </c>
      <c r="M206" s="114" t="n">
        <f aca="false">G206*5%</f>
        <v>50000</v>
      </c>
    </row>
    <row r="207" customFormat="false" ht="17.35" hidden="false" customHeight="false" outlineLevel="0" collapsed="false">
      <c r="A207" s="112" t="n">
        <v>208</v>
      </c>
      <c r="B207" s="141" t="s">
        <v>416</v>
      </c>
      <c r="C207" s="141" t="n">
        <v>308722764</v>
      </c>
      <c r="D207" s="141"/>
      <c r="E207" s="141" t="s">
        <v>225</v>
      </c>
      <c r="F207" s="141" t="s">
        <v>240</v>
      </c>
      <c r="G207" s="150" t="n">
        <v>7000000</v>
      </c>
      <c r="H207" s="113" t="s">
        <v>210</v>
      </c>
      <c r="I207" s="117" t="n">
        <v>20</v>
      </c>
      <c r="J207" s="117" t="n">
        <f aca="false">Таблица3[[#This Row],[Столбец7]]*5%</f>
        <v>350000</v>
      </c>
      <c r="K207" s="118" t="n">
        <f aca="false">G207*I207%</f>
        <v>1400000</v>
      </c>
      <c r="L207" s="114" t="n">
        <f aca="false">G207*7%</f>
        <v>490000</v>
      </c>
      <c r="M207" s="114" t="n">
        <f aca="false">G207*5%</f>
        <v>350000</v>
      </c>
    </row>
    <row r="208" customFormat="false" ht="17.35" hidden="false" customHeight="false" outlineLevel="0" collapsed="false">
      <c r="A208" s="112" t="n">
        <v>209</v>
      </c>
      <c r="B208" s="141" t="s">
        <v>417</v>
      </c>
      <c r="C208" s="141" t="n">
        <v>312094462</v>
      </c>
      <c r="D208" s="141"/>
      <c r="E208" s="141" t="s">
        <v>225</v>
      </c>
      <c r="F208" s="141"/>
      <c r="G208" s="150" t="n">
        <v>0</v>
      </c>
      <c r="H208" s="113" t="s">
        <v>210</v>
      </c>
      <c r="I208" s="117" t="n">
        <v>20</v>
      </c>
      <c r="J208" s="117"/>
      <c r="K208" s="118" t="n">
        <f aca="false">G208*I208%</f>
        <v>0</v>
      </c>
      <c r="L208" s="114" t="n">
        <f aca="false">G208*7%</f>
        <v>0</v>
      </c>
      <c r="M208" s="114" t="n">
        <f aca="false">G208*5%</f>
        <v>0</v>
      </c>
    </row>
    <row r="209" customFormat="false" ht="17.35" hidden="false" customHeight="false" outlineLevel="0" collapsed="false">
      <c r="A209" s="112" t="n">
        <v>210</v>
      </c>
      <c r="B209" s="141" t="s">
        <v>418</v>
      </c>
      <c r="C209" s="141" t="n">
        <v>305956530</v>
      </c>
      <c r="D209" s="141"/>
      <c r="E209" s="141" t="s">
        <v>225</v>
      </c>
      <c r="F209" s="141" t="s">
        <v>240</v>
      </c>
      <c r="G209" s="150" t="n">
        <v>3000000</v>
      </c>
      <c r="H209" s="113" t="s">
        <v>210</v>
      </c>
      <c r="I209" s="117" t="n">
        <v>20</v>
      </c>
      <c r="J209" s="117" t="n">
        <f aca="false">Таблица3[[#This Row],[Столбец7]]*5%</f>
        <v>150000</v>
      </c>
      <c r="K209" s="118" t="n">
        <f aca="false">G209*I209%</f>
        <v>600000</v>
      </c>
      <c r="L209" s="114" t="n">
        <f aca="false">G209*7%</f>
        <v>210000</v>
      </c>
      <c r="M209" s="114" t="n">
        <f aca="false">G209*5%</f>
        <v>150000</v>
      </c>
    </row>
    <row r="210" customFormat="false" ht="17.35" hidden="false" customHeight="false" outlineLevel="0" collapsed="false">
      <c r="A210" s="112" t="n">
        <v>211</v>
      </c>
      <c r="B210" s="141" t="s">
        <v>419</v>
      </c>
      <c r="C210" s="141" t="n">
        <v>311910064</v>
      </c>
      <c r="D210" s="141"/>
      <c r="E210" s="141" t="s">
        <v>228</v>
      </c>
      <c r="F210" s="141" t="s">
        <v>240</v>
      </c>
      <c r="G210" s="150" t="n">
        <v>500000</v>
      </c>
      <c r="H210" s="113" t="s">
        <v>217</v>
      </c>
      <c r="I210" s="117" t="n">
        <v>20</v>
      </c>
      <c r="J210" s="117" t="n">
        <f aca="false">Таблица3[[#This Row],[Столбец7]]*5%</f>
        <v>25000</v>
      </c>
      <c r="K210" s="118" t="n">
        <f aca="false">G210*I210%</f>
        <v>100000</v>
      </c>
      <c r="L210" s="114" t="n">
        <f aca="false">G210*7%</f>
        <v>35000</v>
      </c>
      <c r="M210" s="114" t="n">
        <f aca="false">G210*5%</f>
        <v>25000</v>
      </c>
    </row>
    <row r="211" customFormat="false" ht="17.35" hidden="false" customHeight="false" outlineLevel="0" collapsed="false">
      <c r="A211" s="112" t="n">
        <v>212</v>
      </c>
      <c r="B211" s="141" t="s">
        <v>420</v>
      </c>
      <c r="C211" s="141" t="n">
        <v>312391054</v>
      </c>
      <c r="D211" s="141"/>
      <c r="E211" s="141" t="s">
        <v>228</v>
      </c>
      <c r="F211" s="141" t="s">
        <v>240</v>
      </c>
      <c r="G211" s="150" t="n">
        <v>500000</v>
      </c>
      <c r="H211" s="113" t="s">
        <v>217</v>
      </c>
      <c r="I211" s="117" t="n">
        <v>20</v>
      </c>
      <c r="J211" s="117" t="n">
        <f aca="false">Таблица3[[#This Row],[Столбец7]]*5%</f>
        <v>25000</v>
      </c>
      <c r="K211" s="118" t="n">
        <f aca="false">G211*I211%</f>
        <v>100000</v>
      </c>
      <c r="L211" s="114" t="n">
        <f aca="false">G211*7%</f>
        <v>35000</v>
      </c>
      <c r="M211" s="114" t="n">
        <f aca="false">G211*5%</f>
        <v>25000</v>
      </c>
    </row>
    <row r="212" customFormat="false" ht="17.35" hidden="false" customHeight="false" outlineLevel="0" collapsed="false">
      <c r="A212" s="112" t="n">
        <v>213</v>
      </c>
      <c r="B212" s="141" t="s">
        <v>421</v>
      </c>
      <c r="C212" s="141" t="n">
        <v>312305364</v>
      </c>
      <c r="D212" s="141"/>
      <c r="E212" s="141" t="s">
        <v>228</v>
      </c>
      <c r="F212" s="141" t="s">
        <v>240</v>
      </c>
      <c r="G212" s="150" t="n">
        <v>1000000</v>
      </c>
      <c r="H212" s="113" t="s">
        <v>217</v>
      </c>
      <c r="I212" s="117" t="n">
        <v>20</v>
      </c>
      <c r="J212" s="117" t="n">
        <f aca="false">Таблица3[[#This Row],[Столбец7]]*5%</f>
        <v>50000</v>
      </c>
      <c r="K212" s="118" t="n">
        <f aca="false">G212*I212%</f>
        <v>200000</v>
      </c>
      <c r="L212" s="114" t="n">
        <f aca="false">G212*7%</f>
        <v>70000</v>
      </c>
      <c r="M212" s="114" t="n">
        <f aca="false">G212*5%</f>
        <v>50000</v>
      </c>
    </row>
    <row r="213" customFormat="false" ht="17.35" hidden="false" customHeight="false" outlineLevel="0" collapsed="false">
      <c r="A213" s="112" t="n">
        <v>214</v>
      </c>
      <c r="B213" s="141" t="s">
        <v>422</v>
      </c>
      <c r="C213" s="141" t="n">
        <v>302672681</v>
      </c>
      <c r="D213" s="141"/>
      <c r="E213" s="141" t="s">
        <v>217</v>
      </c>
      <c r="F213" s="114" t="s">
        <v>238</v>
      </c>
      <c r="G213" s="150" t="n">
        <v>8000000</v>
      </c>
      <c r="H213" s="113" t="s">
        <v>210</v>
      </c>
      <c r="I213" s="117" t="n">
        <v>20</v>
      </c>
      <c r="J213" s="117" t="n">
        <f aca="false">G213*5%</f>
        <v>400000</v>
      </c>
      <c r="K213" s="118" t="n">
        <f aca="false">G213*I213%</f>
        <v>1600000</v>
      </c>
      <c r="L213" s="114" t="n">
        <f aca="false">G213*7%</f>
        <v>560000</v>
      </c>
      <c r="M213" s="114" t="n">
        <f aca="false">G213*5%</f>
        <v>400000</v>
      </c>
    </row>
    <row r="214" customFormat="false" ht="17.35" hidden="false" customHeight="false" outlineLevel="0" collapsed="false">
      <c r="A214" s="112" t="n">
        <v>215</v>
      </c>
      <c r="B214" s="141" t="s">
        <v>423</v>
      </c>
      <c r="C214" s="141" t="n">
        <v>304219671</v>
      </c>
      <c r="D214" s="141"/>
      <c r="E214" s="141" t="s">
        <v>228</v>
      </c>
      <c r="F214" s="141"/>
      <c r="G214" s="150" t="n">
        <v>6000000</v>
      </c>
      <c r="H214" s="113" t="s">
        <v>217</v>
      </c>
      <c r="I214" s="117" t="n">
        <v>20</v>
      </c>
      <c r="J214" s="117"/>
      <c r="K214" s="118" t="n">
        <f aca="false">G214*I214%</f>
        <v>1200000</v>
      </c>
      <c r="L214" s="114" t="n">
        <f aca="false">G214*7%</f>
        <v>420000</v>
      </c>
      <c r="M214" s="114" t="n">
        <f aca="false">G214*5%</f>
        <v>300000</v>
      </c>
    </row>
    <row r="215" customFormat="false" ht="17.35" hidden="false" customHeight="false" outlineLevel="0" collapsed="false">
      <c r="A215" s="112" t="n">
        <v>216</v>
      </c>
      <c r="B215" s="141" t="s">
        <v>424</v>
      </c>
      <c r="C215" s="141" t="n">
        <v>309378456</v>
      </c>
      <c r="D215" s="141"/>
      <c r="E215" s="114" t="s">
        <v>227</v>
      </c>
      <c r="F215" s="141" t="s">
        <v>240</v>
      </c>
      <c r="G215" s="150" t="n">
        <v>1300000</v>
      </c>
      <c r="H215" s="113" t="s">
        <v>213</v>
      </c>
      <c r="I215" s="117" t="n">
        <v>20</v>
      </c>
      <c r="J215" s="117" t="n">
        <f aca="false">Таблица3[[#This Row],[Столбец7]]*5%</f>
        <v>65000</v>
      </c>
      <c r="K215" s="118" t="n">
        <f aca="false">G215*I215%</f>
        <v>260000</v>
      </c>
      <c r="L215" s="114" t="n">
        <f aca="false">G215*7%</f>
        <v>91000</v>
      </c>
      <c r="M215" s="114" t="n">
        <f aca="false">G215*5%</f>
        <v>65000</v>
      </c>
    </row>
    <row r="216" customFormat="false" ht="17.35" hidden="false" customHeight="false" outlineLevel="0" collapsed="false">
      <c r="A216" s="112" t="n">
        <v>217</v>
      </c>
      <c r="B216" s="141" t="s">
        <v>425</v>
      </c>
      <c r="C216" s="141" t="n">
        <v>305846138</v>
      </c>
      <c r="D216" s="141"/>
      <c r="E216" s="114" t="s">
        <v>227</v>
      </c>
      <c r="F216" s="141"/>
      <c r="G216" s="150" t="n">
        <v>1500000</v>
      </c>
      <c r="H216" s="113" t="s">
        <v>213</v>
      </c>
      <c r="I216" s="117" t="n">
        <v>20</v>
      </c>
      <c r="J216" s="117"/>
      <c r="K216" s="118" t="n">
        <f aca="false">G216*I216%</f>
        <v>300000</v>
      </c>
      <c r="L216" s="114" t="n">
        <f aca="false">G216*7%</f>
        <v>105000</v>
      </c>
      <c r="M216" s="114" t="n">
        <f aca="false">G216*5%</f>
        <v>75000</v>
      </c>
    </row>
    <row r="217" customFormat="false" ht="32.8" hidden="false" customHeight="false" outlineLevel="0" collapsed="false">
      <c r="A217" s="112" t="n">
        <v>218</v>
      </c>
      <c r="B217" s="141" t="s">
        <v>426</v>
      </c>
      <c r="C217" s="141" t="n">
        <v>305578771</v>
      </c>
      <c r="D217" s="141"/>
      <c r="E217" s="114" t="s">
        <v>227</v>
      </c>
      <c r="F217" s="141" t="s">
        <v>240</v>
      </c>
      <c r="G217" s="150" t="n">
        <v>800000</v>
      </c>
      <c r="H217" s="113" t="s">
        <v>213</v>
      </c>
      <c r="I217" s="117" t="n">
        <v>20</v>
      </c>
      <c r="J217" s="117" t="n">
        <f aca="false">Таблица3[[#This Row],[Столбец7]]*5%</f>
        <v>40000</v>
      </c>
      <c r="K217" s="118" t="n">
        <f aca="false">G217*I217%</f>
        <v>160000</v>
      </c>
      <c r="L217" s="114" t="n">
        <f aca="false">G217*7%</f>
        <v>56000</v>
      </c>
      <c r="M217" s="114" t="n">
        <f aca="false">G217*5%</f>
        <v>40000</v>
      </c>
    </row>
    <row r="218" customFormat="false" ht="17.35" hidden="false" customHeight="false" outlineLevel="0" collapsed="false">
      <c r="A218" s="112" t="n">
        <v>219</v>
      </c>
      <c r="B218" s="141" t="s">
        <v>427</v>
      </c>
      <c r="C218" s="141" t="n">
        <v>30905921571729</v>
      </c>
      <c r="D218" s="141"/>
      <c r="E218" s="114" t="s">
        <v>227</v>
      </c>
      <c r="F218" s="141"/>
      <c r="G218" s="150" t="n">
        <v>1000000</v>
      </c>
      <c r="H218" s="113" t="s">
        <v>213</v>
      </c>
      <c r="I218" s="117" t="n">
        <v>20</v>
      </c>
      <c r="J218" s="117"/>
      <c r="K218" s="118" t="n">
        <f aca="false">G218*I218%</f>
        <v>200000</v>
      </c>
      <c r="L218" s="114" t="n">
        <f aca="false">G218*7%</f>
        <v>70000</v>
      </c>
      <c r="M218" s="114" t="n">
        <f aca="false">G218*5%</f>
        <v>50000</v>
      </c>
    </row>
    <row r="219" customFormat="false" ht="17.35" hidden="false" customHeight="false" outlineLevel="0" collapsed="false">
      <c r="A219" s="112" t="n">
        <v>220</v>
      </c>
      <c r="B219" s="141" t="s">
        <v>428</v>
      </c>
      <c r="C219" s="141" t="n">
        <v>310585944</v>
      </c>
      <c r="D219" s="141"/>
      <c r="E219" s="114" t="s">
        <v>227</v>
      </c>
      <c r="F219" s="141"/>
      <c r="G219" s="150" t="n">
        <v>1000000</v>
      </c>
      <c r="H219" s="113" t="s">
        <v>213</v>
      </c>
      <c r="I219" s="117" t="n">
        <v>20</v>
      </c>
      <c r="J219" s="117"/>
      <c r="K219" s="118" t="n">
        <f aca="false">G219*I219%</f>
        <v>200000</v>
      </c>
      <c r="L219" s="114" t="n">
        <f aca="false">G219*7%</f>
        <v>70000</v>
      </c>
      <c r="M219" s="114" t="n">
        <f aca="false">G219*5%</f>
        <v>50000</v>
      </c>
    </row>
    <row r="220" customFormat="false" ht="17.35" hidden="false" customHeight="false" outlineLevel="0" collapsed="false">
      <c r="A220" s="112" t="n">
        <v>221</v>
      </c>
      <c r="B220" s="141" t="s">
        <v>429</v>
      </c>
      <c r="C220" s="141" t="n">
        <v>311250245</v>
      </c>
      <c r="D220" s="141"/>
      <c r="E220" s="141" t="s">
        <v>228</v>
      </c>
      <c r="F220" s="141" t="s">
        <v>240</v>
      </c>
      <c r="G220" s="150" t="n">
        <v>2000000</v>
      </c>
      <c r="H220" s="113" t="s">
        <v>217</v>
      </c>
      <c r="I220" s="117" t="n">
        <v>20</v>
      </c>
      <c r="J220" s="117" t="n">
        <f aca="false">Таблица3[[#This Row],[Столбец7]]*5%</f>
        <v>100000</v>
      </c>
      <c r="K220" s="118" t="n">
        <f aca="false">G220*I220%</f>
        <v>400000</v>
      </c>
      <c r="L220" s="114" t="n">
        <f aca="false">G220*7%</f>
        <v>140000</v>
      </c>
      <c r="M220" s="114" t="n">
        <f aca="false">G220*5%</f>
        <v>100000</v>
      </c>
    </row>
    <row r="221" customFormat="false" ht="17.35" hidden="false" customHeight="false" outlineLevel="0" collapsed="false">
      <c r="A221" s="112" t="n">
        <v>222</v>
      </c>
      <c r="B221" s="141" t="s">
        <v>430</v>
      </c>
      <c r="C221" s="141" t="n">
        <v>312405929</v>
      </c>
      <c r="D221" s="141"/>
      <c r="E221" s="141" t="s">
        <v>228</v>
      </c>
      <c r="F221" s="141"/>
      <c r="G221" s="150" t="n">
        <v>2500000</v>
      </c>
      <c r="H221" s="113" t="s">
        <v>217</v>
      </c>
      <c r="I221" s="117" t="n">
        <v>20</v>
      </c>
      <c r="J221" s="117"/>
      <c r="K221" s="118" t="n">
        <f aca="false">G221*I221%</f>
        <v>500000</v>
      </c>
      <c r="L221" s="114" t="n">
        <f aca="false">G221*7%</f>
        <v>175000</v>
      </c>
      <c r="M221" s="114" t="n">
        <f aca="false">G221*5%</f>
        <v>125000</v>
      </c>
    </row>
    <row r="222" customFormat="false" ht="17.35" hidden="false" customHeight="false" outlineLevel="0" collapsed="false">
      <c r="A222" s="112" t="n">
        <v>223</v>
      </c>
      <c r="B222" s="141" t="s">
        <v>431</v>
      </c>
      <c r="C222" s="141" t="n">
        <v>311074535</v>
      </c>
      <c r="D222" s="141"/>
      <c r="E222" s="141" t="s">
        <v>208</v>
      </c>
      <c r="F222" s="141" t="s">
        <v>240</v>
      </c>
      <c r="G222" s="150" t="n">
        <v>6000000</v>
      </c>
      <c r="H222" s="113" t="s">
        <v>210</v>
      </c>
      <c r="I222" s="117" t="n">
        <v>20</v>
      </c>
      <c r="J222" s="117" t="n">
        <f aca="false">Таблица3[[#This Row],[Столбец7]]*5%</f>
        <v>300000</v>
      </c>
      <c r="K222" s="118" t="n">
        <f aca="false">G222*I222%</f>
        <v>1200000</v>
      </c>
      <c r="L222" s="114" t="n">
        <f aca="false">G222*7%</f>
        <v>420000</v>
      </c>
      <c r="M222" s="114" t="n">
        <f aca="false">G222*5%</f>
        <v>300000</v>
      </c>
    </row>
    <row r="223" customFormat="false" ht="17.35" hidden="false" customHeight="false" outlineLevel="0" collapsed="false">
      <c r="A223" s="112" t="n">
        <v>224</v>
      </c>
      <c r="B223" s="141" t="s">
        <v>432</v>
      </c>
      <c r="C223" s="141" t="n">
        <v>309449913</v>
      </c>
      <c r="D223" s="141"/>
      <c r="E223" s="141" t="s">
        <v>212</v>
      </c>
      <c r="F223" s="141" t="s">
        <v>240</v>
      </c>
      <c r="G223" s="150" t="n">
        <v>1500000</v>
      </c>
      <c r="H223" s="113" t="s">
        <v>213</v>
      </c>
      <c r="I223" s="117" t="n">
        <v>20</v>
      </c>
      <c r="J223" s="117" t="n">
        <f aca="false">Таблица3[[#This Row],[Столбец7]]*5%</f>
        <v>75000</v>
      </c>
      <c r="K223" s="118" t="n">
        <f aca="false">G223*I223%</f>
        <v>300000</v>
      </c>
      <c r="L223" s="114" t="n">
        <f aca="false">G223*7%</f>
        <v>105000</v>
      </c>
      <c r="M223" s="114" t="n">
        <f aca="false">G223*5%</f>
        <v>75000</v>
      </c>
    </row>
    <row r="224" customFormat="false" ht="17.35" hidden="false" customHeight="false" outlineLevel="0" collapsed="false">
      <c r="A224" s="112" t="n">
        <v>225</v>
      </c>
      <c r="B224" s="141" t="s">
        <v>433</v>
      </c>
      <c r="C224" s="141" t="n">
        <v>40806820470047</v>
      </c>
      <c r="D224" s="141"/>
      <c r="E224" s="114" t="s">
        <v>212</v>
      </c>
      <c r="F224" s="141" t="s">
        <v>240</v>
      </c>
      <c r="G224" s="150" t="n">
        <v>0</v>
      </c>
      <c r="H224" s="113" t="s">
        <v>213</v>
      </c>
      <c r="I224" s="117" t="n">
        <v>20</v>
      </c>
      <c r="J224" s="117" t="n">
        <f aca="false">Таблица3[[#This Row],[Столбец7]]*5%</f>
        <v>0</v>
      </c>
      <c r="K224" s="118" t="n">
        <f aca="false">G224*I224%</f>
        <v>0</v>
      </c>
      <c r="L224" s="114" t="n">
        <f aca="false">G224*7%</f>
        <v>0</v>
      </c>
      <c r="M224" s="114" t="n">
        <f aca="false">G224*5%</f>
        <v>0</v>
      </c>
    </row>
    <row r="225" customFormat="false" ht="17.35" hidden="false" customHeight="false" outlineLevel="0" collapsed="false">
      <c r="A225" s="112" t="n">
        <v>226</v>
      </c>
      <c r="B225" s="141" t="s">
        <v>434</v>
      </c>
      <c r="C225" s="141" t="n">
        <v>310393360</v>
      </c>
      <c r="D225" s="141"/>
      <c r="E225" s="114" t="s">
        <v>227</v>
      </c>
      <c r="F225" s="141" t="s">
        <v>240</v>
      </c>
      <c r="G225" s="150" t="n">
        <v>0</v>
      </c>
      <c r="H225" s="113" t="s">
        <v>213</v>
      </c>
      <c r="I225" s="117" t="n">
        <v>20</v>
      </c>
      <c r="J225" s="117" t="n">
        <f aca="false">Таблица3[[#This Row],[Столбец7]]*5%</f>
        <v>0</v>
      </c>
      <c r="K225" s="118" t="n">
        <f aca="false">G225*I225%</f>
        <v>0</v>
      </c>
      <c r="L225" s="114" t="n">
        <f aca="false">G225*7%</f>
        <v>0</v>
      </c>
      <c r="M225" s="114" t="n">
        <f aca="false">G225*5%</f>
        <v>0</v>
      </c>
    </row>
    <row r="226" customFormat="false" ht="17.35" hidden="false" customHeight="false" outlineLevel="0" collapsed="false">
      <c r="A226" s="112" t="n">
        <v>227</v>
      </c>
      <c r="B226" s="141" t="s">
        <v>435</v>
      </c>
      <c r="C226" s="141" t="n">
        <v>40404772720014</v>
      </c>
      <c r="D226" s="141"/>
      <c r="E226" s="114" t="s">
        <v>227</v>
      </c>
      <c r="F226" s="141" t="s">
        <v>240</v>
      </c>
      <c r="G226" s="150" t="n">
        <v>0</v>
      </c>
      <c r="H226" s="113" t="s">
        <v>213</v>
      </c>
      <c r="I226" s="117" t="n">
        <v>20</v>
      </c>
      <c r="J226" s="117" t="n">
        <f aca="false">Таблица3[[#This Row],[Столбец7]]*5%</f>
        <v>0</v>
      </c>
      <c r="K226" s="118" t="n">
        <f aca="false">G226*I226%</f>
        <v>0</v>
      </c>
      <c r="L226" s="114" t="n">
        <f aca="false">G226*7%</f>
        <v>0</v>
      </c>
      <c r="M226" s="114" t="n">
        <f aca="false">G226*5%</f>
        <v>0</v>
      </c>
    </row>
    <row r="227" customFormat="false" ht="17.35" hidden="false" customHeight="false" outlineLevel="0" collapsed="false">
      <c r="A227" s="112" t="n">
        <v>228</v>
      </c>
      <c r="B227" s="141" t="s">
        <v>436</v>
      </c>
      <c r="C227" s="141" t="n">
        <v>307807888</v>
      </c>
      <c r="D227" s="141"/>
      <c r="E227" s="114" t="s">
        <v>227</v>
      </c>
      <c r="F227" s="141"/>
      <c r="G227" s="150" t="n">
        <v>1400000</v>
      </c>
      <c r="H227" s="113" t="s">
        <v>213</v>
      </c>
      <c r="I227" s="117" t="n">
        <v>20</v>
      </c>
      <c r="J227" s="117"/>
      <c r="K227" s="118" t="n">
        <f aca="false">G227*I227%</f>
        <v>280000</v>
      </c>
      <c r="L227" s="114" t="n">
        <f aca="false">G227*7%</f>
        <v>98000</v>
      </c>
      <c r="M227" s="114" t="n">
        <f aca="false">G227*5%</f>
        <v>70000</v>
      </c>
    </row>
    <row r="228" customFormat="false" ht="17.35" hidden="false" customHeight="false" outlineLevel="0" collapsed="false">
      <c r="A228" s="112" t="n">
        <v>229</v>
      </c>
      <c r="B228" s="141" t="s">
        <v>437</v>
      </c>
      <c r="C228" s="141" t="n">
        <v>311985232</v>
      </c>
      <c r="D228" s="141"/>
      <c r="E228" s="141" t="s">
        <v>226</v>
      </c>
      <c r="F228" s="141"/>
      <c r="G228" s="150" t="n">
        <v>500000</v>
      </c>
      <c r="H228" s="113" t="s">
        <v>213</v>
      </c>
      <c r="I228" s="117" t="n">
        <v>20</v>
      </c>
      <c r="J228" s="117"/>
      <c r="K228" s="118" t="n">
        <f aca="false">G228*I228%</f>
        <v>100000</v>
      </c>
      <c r="L228" s="114" t="n">
        <f aca="false">G228*7%</f>
        <v>35000</v>
      </c>
      <c r="M228" s="114" t="n">
        <f aca="false">G228*5%</f>
        <v>25000</v>
      </c>
    </row>
    <row r="229" customFormat="false" ht="17.35" hidden="false" customHeight="false" outlineLevel="0" collapsed="false">
      <c r="A229" s="112" t="n">
        <v>230</v>
      </c>
      <c r="B229" s="141" t="s">
        <v>438</v>
      </c>
      <c r="C229" s="141" t="n">
        <v>311494868</v>
      </c>
      <c r="D229" s="141"/>
      <c r="E229" s="141" t="s">
        <v>226</v>
      </c>
      <c r="F229" s="141" t="s">
        <v>240</v>
      </c>
      <c r="G229" s="150" t="n">
        <v>500000</v>
      </c>
      <c r="H229" s="113" t="s">
        <v>213</v>
      </c>
      <c r="I229" s="117" t="n">
        <v>20</v>
      </c>
      <c r="J229" s="117" t="n">
        <f aca="false">Таблица3[[#This Row],[Столбец7]]*5%</f>
        <v>25000</v>
      </c>
      <c r="K229" s="118" t="n">
        <f aca="false">G229*I229%</f>
        <v>100000</v>
      </c>
      <c r="L229" s="114" t="n">
        <f aca="false">G229*7%</f>
        <v>35000</v>
      </c>
      <c r="M229" s="114" t="n">
        <f aca="false">G229*5%</f>
        <v>25000</v>
      </c>
    </row>
    <row r="230" customFormat="false" ht="17.35" hidden="false" customHeight="false" outlineLevel="0" collapsed="false">
      <c r="A230" s="112" t="n">
        <v>231</v>
      </c>
      <c r="B230" s="141" t="s">
        <v>439</v>
      </c>
      <c r="C230" s="141" t="n">
        <v>311638211</v>
      </c>
      <c r="D230" s="141"/>
      <c r="E230" s="141" t="s">
        <v>212</v>
      </c>
      <c r="F230" s="141" t="s">
        <v>240</v>
      </c>
      <c r="G230" s="150" t="n">
        <v>2500000</v>
      </c>
      <c r="H230" s="113" t="s">
        <v>213</v>
      </c>
      <c r="I230" s="117" t="n">
        <v>20</v>
      </c>
      <c r="J230" s="117" t="n">
        <f aca="false">Таблица3[[#This Row],[Столбец7]]*5%</f>
        <v>125000</v>
      </c>
      <c r="K230" s="118" t="n">
        <f aca="false">G230*I230%</f>
        <v>500000</v>
      </c>
      <c r="L230" s="114" t="n">
        <f aca="false">G230*7%</f>
        <v>175000</v>
      </c>
      <c r="M230" s="114" t="n">
        <f aca="false">G230*5%</f>
        <v>125000</v>
      </c>
    </row>
    <row r="231" customFormat="false" ht="17.35" hidden="false" customHeight="false" outlineLevel="0" collapsed="false">
      <c r="A231" s="112" t="n">
        <v>232</v>
      </c>
      <c r="B231" s="141" t="s">
        <v>440</v>
      </c>
      <c r="C231" s="141" t="n">
        <v>301844182</v>
      </c>
      <c r="D231" s="141"/>
      <c r="E231" s="141" t="s">
        <v>226</v>
      </c>
      <c r="F231" s="141"/>
      <c r="G231" s="150" t="n">
        <v>500000</v>
      </c>
      <c r="H231" s="113" t="s">
        <v>213</v>
      </c>
      <c r="I231" s="117" t="n">
        <v>20</v>
      </c>
      <c r="J231" s="117"/>
      <c r="K231" s="118" t="n">
        <f aca="false">G231*I231%</f>
        <v>100000</v>
      </c>
      <c r="L231" s="114" t="n">
        <f aca="false">G231*7%</f>
        <v>35000</v>
      </c>
      <c r="M231" s="114" t="n">
        <f aca="false">G231*5%</f>
        <v>25000</v>
      </c>
    </row>
    <row r="232" customFormat="false" ht="17.35" hidden="false" customHeight="false" outlineLevel="0" collapsed="false">
      <c r="A232" s="112" t="n">
        <v>233</v>
      </c>
      <c r="B232" s="141" t="s">
        <v>441</v>
      </c>
      <c r="C232" s="141" t="n">
        <v>305976474</v>
      </c>
      <c r="D232" s="141"/>
      <c r="E232" s="141" t="s">
        <v>226</v>
      </c>
      <c r="F232" s="141" t="s">
        <v>238</v>
      </c>
      <c r="G232" s="150" t="n">
        <v>900000</v>
      </c>
      <c r="H232" s="113" t="s">
        <v>213</v>
      </c>
      <c r="I232" s="117" t="n">
        <v>20</v>
      </c>
      <c r="J232" s="117" t="n">
        <f aca="false">G232*5%</f>
        <v>45000</v>
      </c>
      <c r="K232" s="118" t="n">
        <f aca="false">G232*I232%</f>
        <v>180000</v>
      </c>
      <c r="L232" s="114" t="n">
        <f aca="false">G232*7%</f>
        <v>63000</v>
      </c>
      <c r="M232" s="114" t="n">
        <f aca="false">G232*5%</f>
        <v>45000</v>
      </c>
    </row>
    <row r="233" customFormat="false" ht="17.35" hidden="false" customHeight="false" outlineLevel="0" collapsed="false">
      <c r="A233" s="112" t="n">
        <v>234</v>
      </c>
      <c r="B233" s="141" t="s">
        <v>442</v>
      </c>
      <c r="C233" s="141" t="n">
        <v>311817724</v>
      </c>
      <c r="D233" s="141"/>
      <c r="E233" s="141" t="s">
        <v>229</v>
      </c>
      <c r="F233" s="141" t="s">
        <v>240</v>
      </c>
      <c r="G233" s="150" t="n">
        <v>700000</v>
      </c>
      <c r="H233" s="113" t="s">
        <v>217</v>
      </c>
      <c r="I233" s="117" t="n">
        <v>20</v>
      </c>
      <c r="J233" s="117" t="n">
        <f aca="false">Таблица3[[#This Row],[Столбец7]]*5%</f>
        <v>35000</v>
      </c>
      <c r="K233" s="118" t="n">
        <f aca="false">G233*I233%</f>
        <v>140000</v>
      </c>
      <c r="L233" s="114" t="n">
        <f aca="false">G233*7%</f>
        <v>49000</v>
      </c>
      <c r="M233" s="114" t="n">
        <f aca="false">G233*5%</f>
        <v>35000</v>
      </c>
    </row>
    <row r="234" customFormat="false" ht="17.35" hidden="false" customHeight="false" outlineLevel="0" collapsed="false">
      <c r="A234" s="112" t="n">
        <v>235</v>
      </c>
      <c r="B234" s="141" t="s">
        <v>443</v>
      </c>
      <c r="C234" s="141" t="n">
        <v>312108030</v>
      </c>
      <c r="D234" s="141"/>
      <c r="E234" s="141" t="s">
        <v>229</v>
      </c>
      <c r="F234" s="141"/>
      <c r="G234" s="150" t="n">
        <v>1000000</v>
      </c>
      <c r="H234" s="113" t="s">
        <v>217</v>
      </c>
      <c r="I234" s="117" t="n">
        <v>20</v>
      </c>
      <c r="J234" s="117"/>
      <c r="K234" s="118" t="n">
        <f aca="false">G234*I234%</f>
        <v>200000</v>
      </c>
      <c r="L234" s="114" t="n">
        <f aca="false">G234*7%</f>
        <v>70000</v>
      </c>
      <c r="M234" s="114" t="n">
        <f aca="false">G234*5%</f>
        <v>50000</v>
      </c>
    </row>
    <row r="235" customFormat="false" ht="17.35" hidden="false" customHeight="false" outlineLevel="0" collapsed="false">
      <c r="A235" s="112" t="n">
        <v>236</v>
      </c>
      <c r="B235" s="141" t="s">
        <v>444</v>
      </c>
      <c r="C235" s="141" t="n">
        <v>312168908</v>
      </c>
      <c r="D235" s="141"/>
      <c r="E235" s="141" t="s">
        <v>229</v>
      </c>
      <c r="F235" s="141" t="s">
        <v>240</v>
      </c>
      <c r="G235" s="150" t="n">
        <v>700000</v>
      </c>
      <c r="H235" s="113" t="s">
        <v>217</v>
      </c>
      <c r="I235" s="117" t="n">
        <v>20</v>
      </c>
      <c r="J235" s="117" t="n">
        <f aca="false">Таблица3[[#This Row],[Столбец7]]*5%</f>
        <v>35000</v>
      </c>
      <c r="K235" s="118" t="n">
        <f aca="false">G235*I235%</f>
        <v>140000</v>
      </c>
      <c r="L235" s="114" t="n">
        <f aca="false">G235*7%</f>
        <v>49000</v>
      </c>
      <c r="M235" s="114" t="n">
        <f aca="false">G235*5%</f>
        <v>35000</v>
      </c>
    </row>
    <row r="236" customFormat="false" ht="17.35" hidden="false" customHeight="false" outlineLevel="0" collapsed="false">
      <c r="A236" s="112" t="n">
        <v>237</v>
      </c>
      <c r="B236" s="141" t="s">
        <v>445</v>
      </c>
      <c r="C236" s="141" t="n">
        <v>311081052</v>
      </c>
      <c r="D236" s="141"/>
      <c r="E236" s="141" t="s">
        <v>229</v>
      </c>
      <c r="F236" s="141" t="s">
        <v>240</v>
      </c>
      <c r="G236" s="150" t="n">
        <v>1300000</v>
      </c>
      <c r="H236" s="113" t="s">
        <v>217</v>
      </c>
      <c r="I236" s="117" t="n">
        <v>20</v>
      </c>
      <c r="J236" s="117" t="n">
        <f aca="false">Таблица3[[#This Row],[Столбец7]]*5%</f>
        <v>65000</v>
      </c>
      <c r="K236" s="118" t="n">
        <f aca="false">G236*I236%</f>
        <v>260000</v>
      </c>
      <c r="L236" s="114" t="n">
        <f aca="false">G236*7%</f>
        <v>91000</v>
      </c>
      <c r="M236" s="114" t="n">
        <f aca="false">G236*5%</f>
        <v>65000</v>
      </c>
    </row>
    <row r="237" customFormat="false" ht="17.35" hidden="false" customHeight="false" outlineLevel="0" collapsed="false">
      <c r="A237" s="112" t="n">
        <v>238</v>
      </c>
      <c r="B237" s="141" t="s">
        <v>446</v>
      </c>
      <c r="C237" s="141" t="n">
        <v>310817377</v>
      </c>
      <c r="D237" s="141"/>
      <c r="E237" s="141" t="s">
        <v>229</v>
      </c>
      <c r="F237" s="141" t="s">
        <v>240</v>
      </c>
      <c r="G237" s="150" t="n">
        <v>1300000</v>
      </c>
      <c r="H237" s="113" t="s">
        <v>217</v>
      </c>
      <c r="I237" s="117" t="n">
        <v>20</v>
      </c>
      <c r="J237" s="117" t="n">
        <f aca="false">Таблица3[[#This Row],[Столбец7]]*5%</f>
        <v>65000</v>
      </c>
      <c r="K237" s="118" t="n">
        <f aca="false">G237*I237%</f>
        <v>260000</v>
      </c>
      <c r="L237" s="114" t="n">
        <f aca="false">G237*7%</f>
        <v>91000</v>
      </c>
      <c r="M237" s="114" t="n">
        <f aca="false">G237*5%</f>
        <v>65000</v>
      </c>
    </row>
    <row r="238" customFormat="false" ht="17.35" hidden="false" customHeight="false" outlineLevel="0" collapsed="false">
      <c r="A238" s="112" t="n">
        <v>239</v>
      </c>
      <c r="B238" s="141" t="s">
        <v>447</v>
      </c>
      <c r="C238" s="141" t="n">
        <v>302528344</v>
      </c>
      <c r="D238" s="141"/>
      <c r="E238" s="141" t="s">
        <v>229</v>
      </c>
      <c r="F238" s="141" t="s">
        <v>240</v>
      </c>
      <c r="G238" s="150" t="n">
        <v>8000000</v>
      </c>
      <c r="H238" s="113" t="s">
        <v>217</v>
      </c>
      <c r="I238" s="117" t="n">
        <v>20</v>
      </c>
      <c r="J238" s="117" t="n">
        <f aca="false">Таблица3[[#This Row],[Столбец7]]*5%</f>
        <v>400000</v>
      </c>
      <c r="K238" s="118" t="n">
        <f aca="false">G238*I238%</f>
        <v>1600000</v>
      </c>
      <c r="L238" s="114" t="n">
        <f aca="false">G238*7%</f>
        <v>560000</v>
      </c>
      <c r="M238" s="114" t="n">
        <f aca="false">G238*5%</f>
        <v>400000</v>
      </c>
    </row>
    <row r="239" customFormat="false" ht="17.35" hidden="false" customHeight="false" outlineLevel="0" collapsed="false">
      <c r="A239" s="112" t="n">
        <v>240</v>
      </c>
      <c r="B239" s="141" t="s">
        <v>448</v>
      </c>
      <c r="C239" s="141" t="n">
        <v>307860928</v>
      </c>
      <c r="D239" s="141"/>
      <c r="E239" s="141" t="s">
        <v>229</v>
      </c>
      <c r="F239" s="141"/>
      <c r="G239" s="150" t="n">
        <v>1200000</v>
      </c>
      <c r="H239" s="113" t="s">
        <v>217</v>
      </c>
      <c r="I239" s="117" t="n">
        <v>20</v>
      </c>
      <c r="J239" s="117"/>
      <c r="K239" s="118" t="n">
        <f aca="false">G239*I239%</f>
        <v>240000</v>
      </c>
      <c r="L239" s="114" t="n">
        <f aca="false">G239*7%</f>
        <v>84000</v>
      </c>
      <c r="M239" s="114" t="n">
        <f aca="false">G239*5%</f>
        <v>60000</v>
      </c>
    </row>
    <row r="240" customFormat="false" ht="17.35" hidden="false" customHeight="false" outlineLevel="0" collapsed="false">
      <c r="A240" s="112" t="n">
        <v>241</v>
      </c>
      <c r="B240" s="141" t="s">
        <v>449</v>
      </c>
      <c r="C240" s="141"/>
      <c r="D240" s="141"/>
      <c r="E240" s="141" t="s">
        <v>228</v>
      </c>
      <c r="F240" s="141"/>
      <c r="G240" s="150" t="n">
        <v>700000</v>
      </c>
      <c r="H240" s="113" t="s">
        <v>217</v>
      </c>
      <c r="I240" s="117" t="n">
        <v>20</v>
      </c>
      <c r="J240" s="117"/>
      <c r="K240" s="118" t="n">
        <f aca="false">G240*I240%</f>
        <v>140000</v>
      </c>
      <c r="L240" s="114" t="n">
        <f aca="false">G240*7%</f>
        <v>49000</v>
      </c>
      <c r="M240" s="114" t="n">
        <f aca="false">G240*5%</f>
        <v>35000</v>
      </c>
    </row>
    <row r="241" customFormat="false" ht="17.35" hidden="false" customHeight="false" outlineLevel="0" collapsed="false">
      <c r="A241" s="112" t="n">
        <v>242</v>
      </c>
      <c r="B241" s="141" t="s">
        <v>450</v>
      </c>
      <c r="C241" s="141"/>
      <c r="D241" s="141"/>
      <c r="E241" s="141" t="s">
        <v>228</v>
      </c>
      <c r="F241" s="141" t="s">
        <v>240</v>
      </c>
      <c r="G241" s="150" t="n">
        <v>1200000</v>
      </c>
      <c r="H241" s="113" t="s">
        <v>217</v>
      </c>
      <c r="I241" s="117" t="n">
        <v>20</v>
      </c>
      <c r="J241" s="117" t="n">
        <f aca="false">Таблица3[[#This Row],[Столбец7]]*5%</f>
        <v>60000</v>
      </c>
      <c r="K241" s="118" t="n">
        <f aca="false">G241*I241%</f>
        <v>240000</v>
      </c>
      <c r="L241" s="114" t="n">
        <f aca="false">G241*7%</f>
        <v>84000</v>
      </c>
      <c r="M241" s="114" t="n">
        <f aca="false">G241*5%</f>
        <v>60000</v>
      </c>
    </row>
    <row r="242" customFormat="false" ht="17.35" hidden="false" customHeight="false" outlineLevel="0" collapsed="false">
      <c r="A242" s="112" t="n">
        <v>243</v>
      </c>
      <c r="B242" s="141" t="s">
        <v>451</v>
      </c>
      <c r="C242" s="141"/>
      <c r="D242" s="141"/>
      <c r="E242" s="141" t="s">
        <v>228</v>
      </c>
      <c r="F242" s="141" t="s">
        <v>240</v>
      </c>
      <c r="G242" s="150" t="n">
        <v>800000</v>
      </c>
      <c r="H242" s="113" t="s">
        <v>217</v>
      </c>
      <c r="I242" s="117" t="n">
        <v>20</v>
      </c>
      <c r="J242" s="117" t="n">
        <f aca="false">Таблица3[[#This Row],[Столбец7]]*5%</f>
        <v>40000</v>
      </c>
      <c r="K242" s="118" t="n">
        <f aca="false">G242*I242%</f>
        <v>160000</v>
      </c>
      <c r="L242" s="114" t="n">
        <f aca="false">G242*7%</f>
        <v>56000</v>
      </c>
      <c r="M242" s="114" t="n">
        <f aca="false">G242*5%</f>
        <v>40000</v>
      </c>
    </row>
    <row r="243" customFormat="false" ht="17.35" hidden="false" customHeight="false" outlineLevel="0" collapsed="false">
      <c r="A243" s="112" t="n">
        <v>244</v>
      </c>
      <c r="B243" s="141" t="s">
        <v>452</v>
      </c>
      <c r="C243" s="141"/>
      <c r="D243" s="141"/>
      <c r="E243" s="141" t="s">
        <v>228</v>
      </c>
      <c r="F243" s="141" t="s">
        <v>240</v>
      </c>
      <c r="G243" s="150" t="n">
        <v>0</v>
      </c>
      <c r="H243" s="113" t="s">
        <v>217</v>
      </c>
      <c r="I243" s="117" t="n">
        <v>20</v>
      </c>
      <c r="J243" s="117" t="n">
        <f aca="false">Таблица3[[#This Row],[Столбец7]]*5%</f>
        <v>0</v>
      </c>
      <c r="K243" s="118" t="n">
        <f aca="false">G243*I243%</f>
        <v>0</v>
      </c>
      <c r="L243" s="114" t="n">
        <f aca="false">G243*7%</f>
        <v>0</v>
      </c>
      <c r="M243" s="114" t="n">
        <f aca="false">G243*5%</f>
        <v>0</v>
      </c>
    </row>
    <row r="244" customFormat="false" ht="17.35" hidden="false" customHeight="false" outlineLevel="0" collapsed="false">
      <c r="A244" s="112" t="n">
        <v>245</v>
      </c>
      <c r="B244" s="141" t="s">
        <v>453</v>
      </c>
      <c r="C244" s="141"/>
      <c r="D244" s="141"/>
      <c r="E244" s="141" t="s">
        <v>218</v>
      </c>
      <c r="F244" s="141"/>
      <c r="G244" s="150" t="n">
        <v>500000</v>
      </c>
      <c r="H244" s="113" t="s">
        <v>210</v>
      </c>
      <c r="I244" s="117" t="n">
        <v>20</v>
      </c>
      <c r="J244" s="117"/>
      <c r="K244" s="118" t="n">
        <f aca="false">G244*I244%</f>
        <v>100000</v>
      </c>
      <c r="L244" s="114" t="n">
        <f aca="false">G244*7%</f>
        <v>35000</v>
      </c>
      <c r="M244" s="114" t="n">
        <f aca="false">G244*5%</f>
        <v>25000</v>
      </c>
    </row>
    <row r="245" customFormat="false" ht="17.35" hidden="false" customHeight="false" outlineLevel="0" collapsed="false">
      <c r="A245" s="112" t="n">
        <v>246</v>
      </c>
      <c r="B245" s="141" t="s">
        <v>454</v>
      </c>
      <c r="C245" s="141"/>
      <c r="D245" s="141"/>
      <c r="E245" s="141" t="s">
        <v>218</v>
      </c>
      <c r="F245" s="141"/>
      <c r="G245" s="150" t="n">
        <v>1000000</v>
      </c>
      <c r="H245" s="113" t="s">
        <v>210</v>
      </c>
      <c r="I245" s="117" t="n">
        <v>20</v>
      </c>
      <c r="J245" s="117"/>
      <c r="K245" s="118" t="n">
        <f aca="false">G245*I245%</f>
        <v>200000</v>
      </c>
      <c r="L245" s="114" t="n">
        <f aca="false">G245*7%</f>
        <v>70000</v>
      </c>
      <c r="M245" s="114" t="n">
        <f aca="false">G245*5%</f>
        <v>50000</v>
      </c>
    </row>
    <row r="246" customFormat="false" ht="17.35" hidden="false" customHeight="false" outlineLevel="0" collapsed="false">
      <c r="A246" s="112" t="n">
        <v>247</v>
      </c>
      <c r="B246" s="141" t="s">
        <v>455</v>
      </c>
      <c r="C246" s="141"/>
      <c r="D246" s="141"/>
      <c r="E246" s="141" t="s">
        <v>218</v>
      </c>
      <c r="F246" s="141"/>
      <c r="G246" s="150" t="n">
        <v>500000</v>
      </c>
      <c r="H246" s="113" t="s">
        <v>210</v>
      </c>
      <c r="I246" s="117" t="n">
        <v>20</v>
      </c>
      <c r="J246" s="117"/>
      <c r="K246" s="118" t="n">
        <f aca="false">G246*I246%</f>
        <v>100000</v>
      </c>
      <c r="L246" s="114" t="n">
        <f aca="false">G246*7%</f>
        <v>35000</v>
      </c>
      <c r="M246" s="114" t="n">
        <f aca="false">G246*5%</f>
        <v>25000</v>
      </c>
    </row>
    <row r="247" customFormat="false" ht="17.35" hidden="false" customHeight="false" outlineLevel="0" collapsed="false">
      <c r="A247" s="112" t="n">
        <v>248</v>
      </c>
      <c r="B247" s="141" t="s">
        <v>456</v>
      </c>
      <c r="C247" s="141"/>
      <c r="D247" s="141"/>
      <c r="E247" s="141" t="s">
        <v>229</v>
      </c>
      <c r="F247" s="141"/>
      <c r="G247" s="150" t="n">
        <v>500000</v>
      </c>
      <c r="H247" s="113" t="s">
        <v>217</v>
      </c>
      <c r="I247" s="117" t="n">
        <v>20</v>
      </c>
      <c r="J247" s="117"/>
      <c r="K247" s="118" t="n">
        <f aca="false">G247*I247%</f>
        <v>100000</v>
      </c>
      <c r="L247" s="114" t="n">
        <f aca="false">G247*7%</f>
        <v>35000</v>
      </c>
      <c r="M247" s="114" t="n">
        <f aca="false">G247*5%</f>
        <v>25000</v>
      </c>
    </row>
    <row r="248" customFormat="false" ht="17.35" hidden="false" customHeight="false" outlineLevel="0" collapsed="false">
      <c r="A248" s="112" t="n">
        <v>249</v>
      </c>
      <c r="B248" s="141" t="s">
        <v>457</v>
      </c>
      <c r="C248" s="141"/>
      <c r="D248" s="141"/>
      <c r="E248" s="141" t="s">
        <v>229</v>
      </c>
      <c r="F248" s="141"/>
      <c r="G248" s="150" t="n">
        <v>500000</v>
      </c>
      <c r="H248" s="113" t="s">
        <v>217</v>
      </c>
      <c r="I248" s="117" t="n">
        <v>20</v>
      </c>
      <c r="J248" s="117"/>
      <c r="K248" s="118" t="n">
        <f aca="false">G248*I248%</f>
        <v>100000</v>
      </c>
      <c r="L248" s="114" t="n">
        <f aca="false">G248*7%</f>
        <v>35000</v>
      </c>
      <c r="M248" s="114" t="n">
        <f aca="false">G248*5%</f>
        <v>25000</v>
      </c>
    </row>
    <row r="249" customFormat="false" ht="17.35" hidden="false" customHeight="false" outlineLevel="0" collapsed="false">
      <c r="A249" s="112" t="n">
        <v>250</v>
      </c>
      <c r="B249" s="141" t="s">
        <v>458</v>
      </c>
      <c r="C249" s="141"/>
      <c r="D249" s="141"/>
      <c r="E249" s="141" t="s">
        <v>230</v>
      </c>
      <c r="F249" s="141" t="s">
        <v>224</v>
      </c>
      <c r="G249" s="150" t="n">
        <v>2000000</v>
      </c>
      <c r="H249" s="113" t="s">
        <v>213</v>
      </c>
      <c r="I249" s="117" t="n">
        <v>20</v>
      </c>
      <c r="J249" s="117" t="n">
        <f aca="false">Таблица3[[#This Row],[Столбец7]]*5%</f>
        <v>100000</v>
      </c>
      <c r="K249" s="118" t="n">
        <f aca="false">G249*I249%</f>
        <v>400000</v>
      </c>
      <c r="L249" s="114" t="n">
        <f aca="false">G249*7%</f>
        <v>140000</v>
      </c>
      <c r="M249" s="114" t="n">
        <f aca="false">G249*5%</f>
        <v>100000</v>
      </c>
    </row>
    <row r="250" customFormat="false" ht="17.35" hidden="false" customHeight="false" outlineLevel="0" collapsed="false">
      <c r="A250" s="112" t="n">
        <v>251</v>
      </c>
      <c r="B250" s="141" t="s">
        <v>459</v>
      </c>
      <c r="C250" s="141"/>
      <c r="D250" s="141"/>
      <c r="E250" s="141" t="s">
        <v>229</v>
      </c>
      <c r="F250" s="141"/>
      <c r="G250" s="150" t="n">
        <v>300000</v>
      </c>
      <c r="H250" s="113" t="s">
        <v>217</v>
      </c>
      <c r="I250" s="117" t="n">
        <v>20</v>
      </c>
      <c r="J250" s="117"/>
      <c r="K250" s="118" t="n">
        <f aca="false">G250*I250%</f>
        <v>60000</v>
      </c>
      <c r="L250" s="114" t="n">
        <f aca="false">G250*7%</f>
        <v>21000</v>
      </c>
      <c r="M250" s="114" t="n">
        <f aca="false">G250*5%</f>
        <v>15000</v>
      </c>
    </row>
    <row r="251" customFormat="false" ht="17.35" hidden="false" customHeight="false" outlineLevel="0" collapsed="false">
      <c r="A251" s="112" t="n">
        <v>252</v>
      </c>
      <c r="B251" s="141"/>
      <c r="C251" s="141"/>
      <c r="D251" s="141"/>
      <c r="E251" s="141"/>
      <c r="F251" s="141"/>
      <c r="G251" s="150"/>
      <c r="H251" s="113"/>
      <c r="I251" s="117"/>
      <c r="J251" s="117"/>
      <c r="K251" s="118"/>
      <c r="L251" s="114"/>
      <c r="M251" s="114"/>
    </row>
    <row r="252" customFormat="false" ht="17.35" hidden="false" customHeight="false" outlineLevel="0" collapsed="false">
      <c r="A252" s="112" t="n">
        <v>253</v>
      </c>
      <c r="B252" s="141" t="s">
        <v>460</v>
      </c>
      <c r="C252" s="141"/>
      <c r="D252" s="141"/>
      <c r="E252" s="141" t="s">
        <v>229</v>
      </c>
      <c r="F252" s="141"/>
      <c r="G252" s="150" t="n">
        <v>1000000</v>
      </c>
      <c r="H252" s="113" t="s">
        <v>217</v>
      </c>
      <c r="I252" s="117" t="n">
        <v>20</v>
      </c>
      <c r="J252" s="117"/>
      <c r="K252" s="118" t="n">
        <f aca="false">G252*I252%</f>
        <v>200000</v>
      </c>
      <c r="L252" s="114" t="n">
        <f aca="false">G252*7%</f>
        <v>70000</v>
      </c>
      <c r="M252" s="114" t="n">
        <f aca="false">G252*5%</f>
        <v>50000</v>
      </c>
    </row>
    <row r="253" customFormat="false" ht="17.35" hidden="false" customHeight="false" outlineLevel="0" collapsed="false">
      <c r="A253" s="112" t="n">
        <v>254</v>
      </c>
      <c r="B253" s="133" t="s">
        <v>461</v>
      </c>
      <c r="C253" s="114" t="n">
        <v>312340250</v>
      </c>
      <c r="D253" s="114"/>
      <c r="E253" s="141" t="s">
        <v>229</v>
      </c>
      <c r="F253" s="141"/>
      <c r="G253" s="129" t="n">
        <v>500000</v>
      </c>
      <c r="H253" s="113" t="s">
        <v>217</v>
      </c>
      <c r="I253" s="117" t="n">
        <v>20</v>
      </c>
      <c r="J253" s="117"/>
      <c r="K253" s="118" t="n">
        <f aca="false">G253*I253%</f>
        <v>100000</v>
      </c>
      <c r="L253" s="114" t="n">
        <f aca="false">G253*7%</f>
        <v>35000</v>
      </c>
      <c r="M253" s="114" t="n">
        <f aca="false">G253*5%</f>
        <v>25000</v>
      </c>
    </row>
    <row r="254" customFormat="false" ht="17.35" hidden="false" customHeight="false" outlineLevel="0" collapsed="false">
      <c r="A254" s="112" t="n">
        <v>255</v>
      </c>
      <c r="B254" s="133" t="s">
        <v>462</v>
      </c>
      <c r="C254" s="114"/>
      <c r="D254" s="114"/>
      <c r="E254" s="141" t="s">
        <v>229</v>
      </c>
      <c r="F254" s="141"/>
      <c r="G254" s="129" t="n">
        <v>500000</v>
      </c>
      <c r="H254" s="113" t="s">
        <v>217</v>
      </c>
      <c r="I254" s="117" t="n">
        <v>20</v>
      </c>
      <c r="J254" s="117"/>
      <c r="K254" s="118" t="n">
        <f aca="false">G254*I254%</f>
        <v>100000</v>
      </c>
      <c r="L254" s="114" t="n">
        <f aca="false">G254*7%</f>
        <v>35000</v>
      </c>
      <c r="M254" s="114" t="n">
        <f aca="false">G254*5%</f>
        <v>25000</v>
      </c>
    </row>
    <row r="255" customFormat="false" ht="17.35" hidden="false" customHeight="false" outlineLevel="0" collapsed="false">
      <c r="A255" s="112" t="n">
        <v>256</v>
      </c>
      <c r="B255" s="133" t="s">
        <v>463</v>
      </c>
      <c r="C255" s="114"/>
      <c r="D255" s="114"/>
      <c r="E255" s="141" t="s">
        <v>213</v>
      </c>
      <c r="F255" s="141" t="s">
        <v>238</v>
      </c>
      <c r="G255" s="129" t="n">
        <v>1000000</v>
      </c>
      <c r="H255" s="113" t="s">
        <v>210</v>
      </c>
      <c r="I255" s="117" t="n">
        <v>20</v>
      </c>
      <c r="J255" s="117" t="n">
        <f aca="false">Таблица3[[#This Row],[Столбец7]]*5%</f>
        <v>50000</v>
      </c>
      <c r="K255" s="118" t="n">
        <f aca="false">G255*I255%</f>
        <v>200000</v>
      </c>
      <c r="L255" s="114" t="n">
        <f aca="false">G255*7%</f>
        <v>70000</v>
      </c>
      <c r="M255" s="114" t="n">
        <f aca="false">G255*5%</f>
        <v>50000</v>
      </c>
    </row>
    <row r="256" customFormat="false" ht="17.35" hidden="false" customHeight="false" outlineLevel="0" collapsed="false">
      <c r="A256" s="112" t="n">
        <v>257</v>
      </c>
      <c r="B256" s="133" t="s">
        <v>464</v>
      </c>
      <c r="C256" s="114"/>
      <c r="D256" s="114"/>
      <c r="E256" s="113" t="s">
        <v>220</v>
      </c>
      <c r="F256" s="114" t="s">
        <v>238</v>
      </c>
      <c r="G256" s="129" t="n">
        <v>3500000</v>
      </c>
      <c r="H256" s="113" t="s">
        <v>213</v>
      </c>
      <c r="I256" s="117" t="n">
        <v>20</v>
      </c>
      <c r="J256" s="117" t="n">
        <f aca="false">Таблица3[[#This Row],[Столбец7]]*5%</f>
        <v>175000</v>
      </c>
      <c r="K256" s="118" t="n">
        <f aca="false">G256*I256%</f>
        <v>700000</v>
      </c>
      <c r="L256" s="114" t="n">
        <f aca="false">G256*7%</f>
        <v>245000</v>
      </c>
      <c r="M256" s="114" t="n">
        <f aca="false">G256*5%</f>
        <v>175000</v>
      </c>
    </row>
    <row r="257" customFormat="false" ht="17.35" hidden="false" customHeight="false" outlineLevel="0" collapsed="false">
      <c r="A257" s="112" t="n">
        <v>258</v>
      </c>
      <c r="B257" s="133" t="s">
        <v>465</v>
      </c>
      <c r="C257" s="114"/>
      <c r="D257" s="114"/>
      <c r="E257" s="113" t="s">
        <v>213</v>
      </c>
      <c r="F257" s="114"/>
      <c r="G257" s="129" t="n">
        <v>5000000</v>
      </c>
      <c r="H257" s="113" t="s">
        <v>210</v>
      </c>
      <c r="I257" s="117" t="n">
        <v>20</v>
      </c>
      <c r="J257" s="117"/>
      <c r="K257" s="118" t="n">
        <f aca="false">G257*I257%</f>
        <v>1000000</v>
      </c>
      <c r="L257" s="114" t="n">
        <f aca="false">G257*7%</f>
        <v>350000</v>
      </c>
      <c r="M257" s="114" t="n">
        <f aca="false">G257*5%</f>
        <v>250000</v>
      </c>
    </row>
    <row r="258" customFormat="false" ht="17.35" hidden="false" customHeight="false" outlineLevel="0" collapsed="false">
      <c r="A258" s="112" t="n">
        <v>259</v>
      </c>
      <c r="B258" s="133" t="s">
        <v>466</v>
      </c>
      <c r="C258" s="114"/>
      <c r="D258" s="114"/>
      <c r="E258" s="113" t="s">
        <v>216</v>
      </c>
      <c r="F258" s="114"/>
      <c r="G258" s="129" t="n">
        <v>700000</v>
      </c>
      <c r="H258" s="113" t="s">
        <v>210</v>
      </c>
      <c r="I258" s="117" t="n">
        <v>20</v>
      </c>
      <c r="J258" s="117"/>
      <c r="K258" s="118" t="n">
        <f aca="false">G258*I258%</f>
        <v>140000</v>
      </c>
      <c r="L258" s="114" t="n">
        <f aca="false">G258*7%</f>
        <v>49000</v>
      </c>
      <c r="M258" s="114" t="n">
        <f aca="false">G258*5%</f>
        <v>35000</v>
      </c>
    </row>
    <row r="259" customFormat="false" ht="17.35" hidden="false" customHeight="false" outlineLevel="0" collapsed="false">
      <c r="A259" s="112" t="n">
        <v>260</v>
      </c>
      <c r="B259" s="133" t="s">
        <v>467</v>
      </c>
      <c r="C259" s="114"/>
      <c r="D259" s="114"/>
      <c r="E259" s="113" t="s">
        <v>216</v>
      </c>
      <c r="F259" s="114"/>
      <c r="G259" s="129" t="n">
        <v>700000</v>
      </c>
      <c r="H259" s="113" t="s">
        <v>210</v>
      </c>
      <c r="I259" s="117" t="n">
        <v>20</v>
      </c>
      <c r="J259" s="117"/>
      <c r="K259" s="118" t="n">
        <f aca="false">G259*I259%</f>
        <v>140000</v>
      </c>
      <c r="L259" s="114" t="n">
        <f aca="false">G259*7%</f>
        <v>49000</v>
      </c>
      <c r="M259" s="114" t="n">
        <f aca="false">G259*5%</f>
        <v>35000</v>
      </c>
    </row>
    <row r="260" customFormat="false" ht="17.35" hidden="false" customHeight="false" outlineLevel="0" collapsed="false">
      <c r="A260" s="112" t="n">
        <v>261</v>
      </c>
      <c r="B260" s="133" t="s">
        <v>468</v>
      </c>
      <c r="C260" s="114"/>
      <c r="D260" s="114"/>
      <c r="E260" s="113" t="s">
        <v>216</v>
      </c>
      <c r="F260" s="114"/>
      <c r="G260" s="129" t="n">
        <v>1000000</v>
      </c>
      <c r="H260" s="113" t="s">
        <v>210</v>
      </c>
      <c r="I260" s="117" t="n">
        <v>20</v>
      </c>
      <c r="J260" s="117"/>
      <c r="K260" s="118" t="n">
        <f aca="false">G260*I260%</f>
        <v>200000</v>
      </c>
      <c r="L260" s="114" t="n">
        <f aca="false">G260*7%</f>
        <v>70000</v>
      </c>
      <c r="M260" s="114" t="n">
        <f aca="false">G260*5%</f>
        <v>50000</v>
      </c>
    </row>
    <row r="261" customFormat="false" ht="17.35" hidden="false" customHeight="false" outlineLevel="0" collapsed="false">
      <c r="A261" s="112" t="n">
        <v>262</v>
      </c>
      <c r="B261" s="133" t="s">
        <v>469</v>
      </c>
      <c r="C261" s="114"/>
      <c r="D261" s="114"/>
      <c r="E261" s="113" t="s">
        <v>211</v>
      </c>
      <c r="F261" s="114"/>
      <c r="G261" s="129" t="n">
        <v>500000</v>
      </c>
      <c r="H261" s="113" t="s">
        <v>210</v>
      </c>
      <c r="I261" s="117" t="n">
        <v>20</v>
      </c>
      <c r="J261" s="117"/>
      <c r="K261" s="118" t="n">
        <f aca="false">G261*I261%</f>
        <v>100000</v>
      </c>
      <c r="L261" s="114" t="n">
        <f aca="false">G261*7%</f>
        <v>35000</v>
      </c>
      <c r="M261" s="114" t="n">
        <f aca="false">G261*5%</f>
        <v>25000</v>
      </c>
    </row>
    <row r="262" customFormat="false" ht="17.35" hidden="false" customHeight="false" outlineLevel="0" collapsed="false">
      <c r="A262" s="112" t="n">
        <v>263</v>
      </c>
      <c r="B262" s="133" t="s">
        <v>470</v>
      </c>
      <c r="C262" s="114"/>
      <c r="D262" s="114"/>
      <c r="E262" s="113" t="s">
        <v>210</v>
      </c>
      <c r="F262" s="114"/>
      <c r="G262" s="129" t="n">
        <v>700000</v>
      </c>
      <c r="H262" s="113" t="s">
        <v>213</v>
      </c>
      <c r="I262" s="117" t="n">
        <v>20</v>
      </c>
      <c r="J262" s="117"/>
      <c r="K262" s="118" t="n">
        <f aca="false">G262*I262%</f>
        <v>140000</v>
      </c>
      <c r="L262" s="114" t="n">
        <f aca="false">G262*7%</f>
        <v>49000</v>
      </c>
      <c r="M262" s="114" t="n">
        <f aca="false">G262*5%</f>
        <v>35000</v>
      </c>
    </row>
    <row r="263" customFormat="false" ht="17.35" hidden="false" customHeight="false" outlineLevel="0" collapsed="false">
      <c r="A263" s="112" t="n">
        <v>264</v>
      </c>
      <c r="B263" s="133" t="s">
        <v>471</v>
      </c>
      <c r="C263" s="114"/>
      <c r="D263" s="114"/>
      <c r="E263" s="113" t="s">
        <v>210</v>
      </c>
      <c r="F263" s="114"/>
      <c r="G263" s="129" t="n">
        <v>1000000</v>
      </c>
      <c r="H263" s="113" t="s">
        <v>213</v>
      </c>
      <c r="I263" s="117" t="n">
        <v>20</v>
      </c>
      <c r="J263" s="117"/>
      <c r="K263" s="118" t="n">
        <f aca="false">G263*I263%</f>
        <v>200000</v>
      </c>
      <c r="L263" s="114" t="n">
        <f aca="false">G263*7%</f>
        <v>70000</v>
      </c>
      <c r="M263" s="114" t="n">
        <f aca="false">G263*5%</f>
        <v>50000</v>
      </c>
    </row>
    <row r="264" customFormat="false" ht="17.35" hidden="false" customHeight="false" outlineLevel="0" collapsed="false">
      <c r="A264" s="112"/>
      <c r="B264" s="133" t="s">
        <v>472</v>
      </c>
      <c r="C264" s="114"/>
      <c r="D264" s="114"/>
      <c r="E264" s="113" t="s">
        <v>225</v>
      </c>
      <c r="F264" s="114"/>
      <c r="G264" s="129" t="n">
        <v>2000000</v>
      </c>
      <c r="H264" s="113" t="s">
        <v>210</v>
      </c>
      <c r="I264" s="117" t="n">
        <v>20</v>
      </c>
      <c r="J264" s="117"/>
      <c r="K264" s="118" t="n">
        <f aca="false">G264*I264%</f>
        <v>400000</v>
      </c>
      <c r="L264" s="114" t="n">
        <f aca="false">G264*7%</f>
        <v>140000</v>
      </c>
      <c r="M264" s="114" t="n">
        <f aca="false">G264*5%</f>
        <v>100000</v>
      </c>
    </row>
    <row r="265" customFormat="false" ht="17.35" hidden="false" customHeight="false" outlineLevel="0" collapsed="false">
      <c r="A265" s="112"/>
      <c r="B265" s="133" t="s">
        <v>473</v>
      </c>
      <c r="C265" s="114"/>
      <c r="D265" s="114"/>
      <c r="E265" s="113" t="s">
        <v>232</v>
      </c>
      <c r="F265" s="114"/>
      <c r="G265" s="129" t="n">
        <v>1500000</v>
      </c>
      <c r="H265" s="113" t="s">
        <v>217</v>
      </c>
      <c r="I265" s="117" t="n">
        <v>20</v>
      </c>
      <c r="J265" s="117"/>
      <c r="K265" s="118" t="n">
        <f aca="false">G265*I265%</f>
        <v>300000</v>
      </c>
      <c r="L265" s="114" t="n">
        <f aca="false">G265*7%</f>
        <v>105000</v>
      </c>
      <c r="M265" s="114" t="n">
        <f aca="false">G265*5%</f>
        <v>75000</v>
      </c>
    </row>
    <row r="266" customFormat="false" ht="17.35" hidden="false" customHeight="false" outlineLevel="0" collapsed="false">
      <c r="A266" s="112"/>
      <c r="B266" s="133" t="s">
        <v>474</v>
      </c>
      <c r="C266" s="114"/>
      <c r="D266" s="114"/>
      <c r="E266" s="113" t="s">
        <v>232</v>
      </c>
      <c r="F266" s="114"/>
      <c r="G266" s="129" t="n">
        <v>1500000</v>
      </c>
      <c r="H266" s="113" t="s">
        <v>217</v>
      </c>
      <c r="I266" s="117" t="n">
        <v>20</v>
      </c>
      <c r="J266" s="117"/>
      <c r="K266" s="118" t="n">
        <f aca="false">G266*I266%</f>
        <v>300000</v>
      </c>
      <c r="L266" s="114" t="n">
        <f aca="false">G266*7%</f>
        <v>105000</v>
      </c>
      <c r="M266" s="114" t="n">
        <f aca="false">G266*5%</f>
        <v>75000</v>
      </c>
    </row>
    <row r="267" customFormat="false" ht="17.35" hidden="false" customHeight="false" outlineLevel="0" collapsed="false">
      <c r="A267" s="151"/>
      <c r="B267" s="141" t="s">
        <v>475</v>
      </c>
      <c r="C267" s="146"/>
      <c r="D267" s="146"/>
      <c r="E267" s="113" t="s">
        <v>232</v>
      </c>
      <c r="F267" s="146"/>
      <c r="G267" s="148" t="n">
        <v>0</v>
      </c>
      <c r="H267" s="113" t="s">
        <v>217</v>
      </c>
      <c r="I267" s="117" t="n">
        <v>20</v>
      </c>
      <c r="J267" s="149"/>
      <c r="K267" s="118" t="n">
        <f aca="false">G267*I267%</f>
        <v>0</v>
      </c>
      <c r="L267" s="114" t="n">
        <f aca="false">G267*7%</f>
        <v>0</v>
      </c>
      <c r="M267" s="114" t="n">
        <f aca="false">G267*5%</f>
        <v>0</v>
      </c>
    </row>
    <row r="268" customFormat="false" ht="17.35" hidden="false" customHeight="false" outlineLevel="0" collapsed="false">
      <c r="A268" s="152"/>
      <c r="B268" s="141" t="s">
        <v>476</v>
      </c>
      <c r="C268" s="141"/>
      <c r="D268" s="141"/>
      <c r="E268" s="143" t="s">
        <v>233</v>
      </c>
      <c r="F268" s="141"/>
      <c r="G268" s="142" t="n">
        <v>1500000</v>
      </c>
      <c r="H268" s="113" t="s">
        <v>217</v>
      </c>
      <c r="I268" s="117" t="n">
        <v>20</v>
      </c>
      <c r="J268" s="116"/>
      <c r="K268" s="118" t="n">
        <f aca="false">G268*I268%</f>
        <v>300000</v>
      </c>
      <c r="L268" s="114" t="n">
        <f aca="false">G268*7%</f>
        <v>105000</v>
      </c>
      <c r="M268" s="114" t="n">
        <f aca="false">G268*5%</f>
        <v>75000</v>
      </c>
    </row>
    <row r="269" customFormat="false" ht="17.35" hidden="false" customHeight="false" outlineLevel="0" collapsed="false">
      <c r="A269" s="152"/>
      <c r="B269" s="141" t="s">
        <v>477</v>
      </c>
      <c r="C269" s="141"/>
      <c r="D269" s="141"/>
      <c r="E269" s="143" t="s">
        <v>230</v>
      </c>
      <c r="F269" s="141"/>
      <c r="G269" s="142"/>
      <c r="H269" s="116" t="s">
        <v>213</v>
      </c>
      <c r="I269" s="117" t="n">
        <v>20</v>
      </c>
      <c r="J269" s="116"/>
      <c r="K269" s="118" t="n">
        <f aca="false">G269*I269%</f>
        <v>0</v>
      </c>
      <c r="L269" s="114" t="n">
        <f aca="false">G269*7%</f>
        <v>0</v>
      </c>
      <c r="M269" s="114" t="n">
        <f aca="false">G269*5%</f>
        <v>0</v>
      </c>
      <c r="N269" s="114"/>
    </row>
    <row r="270" customFormat="false" ht="17.35" hidden="false" customHeight="false" outlineLevel="0" collapsed="false">
      <c r="A270" s="152"/>
      <c r="B270" s="141" t="s">
        <v>478</v>
      </c>
      <c r="C270" s="141"/>
      <c r="D270" s="141"/>
      <c r="E270" s="143" t="s">
        <v>232</v>
      </c>
      <c r="F270" s="141"/>
      <c r="G270" s="142" t="n">
        <v>1500000</v>
      </c>
      <c r="H270" s="116" t="s">
        <v>217</v>
      </c>
      <c r="I270" s="117" t="n">
        <v>20</v>
      </c>
      <c r="J270" s="116"/>
      <c r="K270" s="118" t="n">
        <f aca="false">G270*I270%</f>
        <v>300000</v>
      </c>
      <c r="L270" s="114" t="n">
        <f aca="false">G270*7%</f>
        <v>105000</v>
      </c>
      <c r="M270" s="114" t="n">
        <f aca="false">G270*5%</f>
        <v>75000</v>
      </c>
      <c r="N270" s="114"/>
    </row>
    <row r="271" customFormat="false" ht="17.35" hidden="false" customHeight="false" outlineLevel="0" collapsed="false">
      <c r="A271" s="152"/>
      <c r="B271" s="141" t="s">
        <v>479</v>
      </c>
      <c r="C271" s="141"/>
      <c r="D271" s="141"/>
      <c r="E271" s="143" t="s">
        <v>231</v>
      </c>
      <c r="F271" s="141"/>
      <c r="G271" s="142"/>
      <c r="H271" s="116" t="s">
        <v>216</v>
      </c>
      <c r="I271" s="117" t="n">
        <v>20</v>
      </c>
      <c r="J271" s="116"/>
      <c r="K271" s="118" t="n">
        <f aca="false">G271*I271%</f>
        <v>0</v>
      </c>
      <c r="L271" s="114" t="n">
        <f aca="false">G271*7%</f>
        <v>0</v>
      </c>
      <c r="M271" s="114" t="n">
        <f aca="false">G271*5%</f>
        <v>0</v>
      </c>
      <c r="N271" s="114"/>
    </row>
    <row r="272" customFormat="false" ht="17.35" hidden="false" customHeight="false" outlineLevel="0" collapsed="false">
      <c r="A272" s="152"/>
      <c r="B272" s="141" t="s">
        <v>480</v>
      </c>
      <c r="C272" s="141"/>
      <c r="D272" s="141"/>
      <c r="E272" s="143" t="s">
        <v>213</v>
      </c>
      <c r="F272" s="141"/>
      <c r="G272" s="142" t="n">
        <v>5000000</v>
      </c>
      <c r="H272" s="116" t="s">
        <v>210</v>
      </c>
      <c r="I272" s="117" t="n">
        <v>20</v>
      </c>
      <c r="J272" s="116"/>
      <c r="K272" s="118" t="n">
        <f aca="false">G272*I272%</f>
        <v>1000000</v>
      </c>
      <c r="L272" s="114" t="n">
        <f aca="false">G272*7%</f>
        <v>350000</v>
      </c>
      <c r="M272" s="114" t="n">
        <f aca="false">G272*5%</f>
        <v>250000</v>
      </c>
      <c r="N272" s="114"/>
    </row>
    <row r="273" customFormat="false" ht="17.35" hidden="false" customHeight="false" outlineLevel="0" collapsed="false">
      <c r="A273" s="152"/>
      <c r="B273" s="141" t="s">
        <v>481</v>
      </c>
      <c r="C273" s="141"/>
      <c r="D273" s="141"/>
      <c r="E273" s="143" t="s">
        <v>210</v>
      </c>
      <c r="F273" s="141"/>
      <c r="G273" s="142" t="n">
        <v>4000000</v>
      </c>
      <c r="H273" s="116" t="s">
        <v>213</v>
      </c>
      <c r="I273" s="117" t="n">
        <v>20</v>
      </c>
      <c r="J273" s="116"/>
      <c r="K273" s="118" t="n">
        <f aca="false">G273*I273%</f>
        <v>800000</v>
      </c>
      <c r="L273" s="114" t="n">
        <f aca="false">G273*7%</f>
        <v>280000</v>
      </c>
      <c r="M273" s="114" t="n">
        <f aca="false">G273*5%</f>
        <v>200000</v>
      </c>
      <c r="N273" s="114"/>
    </row>
    <row r="274" customFormat="false" ht="17.35" hidden="false" customHeight="false" outlineLevel="0" collapsed="false">
      <c r="A274" s="152"/>
      <c r="B274" s="141" t="s">
        <v>482</v>
      </c>
      <c r="C274" s="141"/>
      <c r="D274" s="141"/>
      <c r="E274" s="143" t="s">
        <v>220</v>
      </c>
      <c r="F274" s="141"/>
      <c r="G274" s="142" t="n">
        <v>2000000</v>
      </c>
      <c r="H274" s="116" t="s">
        <v>210</v>
      </c>
      <c r="I274" s="117" t="n">
        <v>20</v>
      </c>
      <c r="J274" s="116"/>
      <c r="K274" s="118" t="n">
        <f aca="false">G274*I274%</f>
        <v>400000</v>
      </c>
      <c r="L274" s="114" t="n">
        <f aca="false">G274*7%</f>
        <v>140000</v>
      </c>
      <c r="M274" s="114" t="n">
        <f aca="false">G274*5%</f>
        <v>100000</v>
      </c>
      <c r="N274" s="114"/>
    </row>
    <row r="275" customFormat="false" ht="17.35" hidden="false" customHeight="false" outlineLevel="0" collapsed="false">
      <c r="A275" s="152"/>
      <c r="B275" s="141" t="s">
        <v>483</v>
      </c>
      <c r="C275" s="141"/>
      <c r="D275" s="141"/>
      <c r="E275" s="143" t="s">
        <v>232</v>
      </c>
      <c r="F275" s="141"/>
      <c r="G275" s="142" t="n">
        <v>2000000</v>
      </c>
      <c r="H275" s="116" t="s">
        <v>217</v>
      </c>
      <c r="I275" s="117" t="n">
        <v>20</v>
      </c>
      <c r="J275" s="116"/>
      <c r="K275" s="118" t="n">
        <f aca="false">G275*I275%</f>
        <v>400000</v>
      </c>
      <c r="L275" s="114" t="n">
        <f aca="false">G275*7%</f>
        <v>140000</v>
      </c>
      <c r="M275" s="114" t="n">
        <f aca="false">G275*5%</f>
        <v>100000</v>
      </c>
      <c r="N275" s="114"/>
    </row>
    <row r="276" customFormat="false" ht="17.35" hidden="false" customHeight="false" outlineLevel="0" collapsed="false">
      <c r="A276" s="152"/>
      <c r="B276" s="141" t="s">
        <v>484</v>
      </c>
      <c r="C276" s="141"/>
      <c r="D276" s="141"/>
      <c r="E276" s="143" t="s">
        <v>229</v>
      </c>
      <c r="F276" s="141"/>
      <c r="G276" s="142" t="n">
        <v>3000000</v>
      </c>
      <c r="H276" s="116" t="s">
        <v>217</v>
      </c>
      <c r="I276" s="117" t="n">
        <v>20</v>
      </c>
      <c r="J276" s="116"/>
      <c r="K276" s="118" t="n">
        <f aca="false">G276*I276%</f>
        <v>600000</v>
      </c>
      <c r="L276" s="114" t="n">
        <f aca="false">G276*7%</f>
        <v>210000</v>
      </c>
      <c r="M276" s="114" t="n">
        <f aca="false">G276*5%</f>
        <v>150000</v>
      </c>
      <c r="N276" s="114"/>
    </row>
    <row r="277" customFormat="false" ht="17.35" hidden="false" customHeight="false" outlineLevel="0" collapsed="false">
      <c r="A277" s="152"/>
      <c r="B277" s="141" t="s">
        <v>485</v>
      </c>
      <c r="C277" s="141"/>
      <c r="D277" s="141"/>
      <c r="E277" s="143" t="s">
        <v>226</v>
      </c>
      <c r="F277" s="141"/>
      <c r="G277" s="142" t="n">
        <v>1500000</v>
      </c>
      <c r="H277" s="116" t="s">
        <v>213</v>
      </c>
      <c r="I277" s="117" t="n">
        <v>20</v>
      </c>
      <c r="J277" s="116"/>
      <c r="K277" s="118" t="n">
        <f aca="false">G277*I277%</f>
        <v>300000</v>
      </c>
      <c r="L277" s="114" t="n">
        <f aca="false">G277*7%</f>
        <v>105000</v>
      </c>
      <c r="M277" s="114" t="n">
        <f aca="false">G277*5%</f>
        <v>75000</v>
      </c>
      <c r="N277" s="114"/>
    </row>
    <row r="278" customFormat="false" ht="17.35" hidden="false" customHeight="false" outlineLevel="0" collapsed="false">
      <c r="A278" s="152"/>
      <c r="B278" s="141" t="s">
        <v>486</v>
      </c>
      <c r="C278" s="141"/>
      <c r="D278" s="141"/>
      <c r="E278" s="143" t="s">
        <v>233</v>
      </c>
      <c r="F278" s="141"/>
      <c r="G278" s="142" t="n">
        <v>500000</v>
      </c>
      <c r="H278" s="116" t="s">
        <v>217</v>
      </c>
      <c r="I278" s="117" t="n">
        <v>20</v>
      </c>
      <c r="J278" s="116"/>
      <c r="K278" s="118" t="n">
        <f aca="false">G278*I278%</f>
        <v>100000</v>
      </c>
      <c r="L278" s="114" t="n">
        <f aca="false">G278*7%</f>
        <v>35000</v>
      </c>
      <c r="M278" s="114" t="n">
        <f aca="false">G278*5%</f>
        <v>25000</v>
      </c>
      <c r="N278" s="114"/>
    </row>
    <row r="279" customFormat="false" ht="17.35" hidden="false" customHeight="false" outlineLevel="0" collapsed="false">
      <c r="A279" s="152"/>
      <c r="B279" s="141" t="s">
        <v>487</v>
      </c>
      <c r="C279" s="141"/>
      <c r="D279" s="141"/>
      <c r="E279" s="143" t="s">
        <v>233</v>
      </c>
      <c r="F279" s="141"/>
      <c r="G279" s="142" t="n">
        <v>500000</v>
      </c>
      <c r="H279" s="116" t="s">
        <v>217</v>
      </c>
      <c r="I279" s="117" t="n">
        <v>20</v>
      </c>
      <c r="J279" s="116"/>
      <c r="K279" s="118" t="n">
        <f aca="false">G279*I279%</f>
        <v>100000</v>
      </c>
      <c r="L279" s="114" t="n">
        <f aca="false">G279*7%</f>
        <v>35000</v>
      </c>
      <c r="M279" s="114" t="n">
        <f aca="false">G279*5%</f>
        <v>25000</v>
      </c>
      <c r="N279" s="114"/>
    </row>
    <row r="280" customFormat="false" ht="17.35" hidden="false" customHeight="false" outlineLevel="0" collapsed="false">
      <c r="A280" s="152"/>
      <c r="B280" s="141"/>
      <c r="C280" s="141"/>
      <c r="D280" s="141"/>
      <c r="E280" s="143"/>
      <c r="F280" s="141"/>
      <c r="G280" s="142"/>
      <c r="H280" s="116"/>
      <c r="I280" s="116"/>
      <c r="J280" s="116"/>
      <c r="K280" s="153"/>
      <c r="L280" s="141"/>
      <c r="M280" s="141"/>
      <c r="N280" s="114"/>
    </row>
    <row r="281" customFormat="false" ht="17.35" hidden="false" customHeight="false" outlineLevel="0" collapsed="false">
      <c r="A281" s="152"/>
      <c r="B281" s="141"/>
      <c r="C281" s="141"/>
      <c r="D281" s="141"/>
      <c r="E281" s="143"/>
      <c r="F281" s="141"/>
      <c r="G281" s="142"/>
      <c r="H281" s="116"/>
      <c r="I281" s="116"/>
      <c r="J281" s="116"/>
      <c r="K281" s="153"/>
      <c r="L281" s="141"/>
      <c r="M281" s="141"/>
      <c r="N281" s="114"/>
    </row>
    <row r="282" customFormat="false" ht="17.35" hidden="false" customHeight="false" outlineLevel="0" collapsed="false">
      <c r="A282" s="152"/>
      <c r="B282" s="141"/>
      <c r="C282" s="141"/>
      <c r="D282" s="141"/>
      <c r="E282" s="143"/>
      <c r="F282" s="141"/>
      <c r="G282" s="142"/>
      <c r="H282" s="116"/>
      <c r="I282" s="116"/>
      <c r="J282" s="116"/>
      <c r="K282" s="153"/>
      <c r="L282" s="141"/>
      <c r="M282" s="141"/>
      <c r="N282" s="114"/>
    </row>
    <row r="283" customFormat="false" ht="17.35" hidden="false" customHeight="false" outlineLevel="0" collapsed="false">
      <c r="A283" s="152"/>
      <c r="B283" s="141"/>
      <c r="C283" s="141"/>
      <c r="D283" s="141"/>
      <c r="E283" s="143"/>
      <c r="F283" s="141"/>
      <c r="G283" s="142"/>
      <c r="H283" s="116"/>
      <c r="I283" s="116"/>
      <c r="J283" s="116"/>
      <c r="K283" s="153"/>
      <c r="L283" s="141"/>
      <c r="M283" s="141"/>
      <c r="N283" s="114"/>
    </row>
    <row r="284" customFormat="false" ht="17.35" hidden="false" customHeight="false" outlineLevel="0" collapsed="false">
      <c r="A284" s="118"/>
      <c r="B284" s="114"/>
      <c r="C284" s="114"/>
      <c r="D284" s="114"/>
      <c r="E284" s="114"/>
      <c r="F284" s="114"/>
      <c r="G284" s="154" t="n">
        <f aca="false">SUM(G3:G279)</f>
        <v>652820000</v>
      </c>
      <c r="H284" s="155"/>
      <c r="I284" s="130"/>
      <c r="J284" s="156" t="n">
        <f aca="false">SUM(J3:J270)</f>
        <v>19955000</v>
      </c>
      <c r="K284" s="156" t="n">
        <f aca="false">SUM(K3:K268)</f>
        <v>109674000</v>
      </c>
      <c r="L284" s="156" t="n">
        <f aca="false">SUM(L3:L279)</f>
        <v>44757400</v>
      </c>
      <c r="M284" s="156" t="n">
        <f aca="false">SUM(M3:M268)</f>
        <v>28791000</v>
      </c>
      <c r="N284" s="114"/>
    </row>
    <row r="285" customFormat="false" ht="17.35" hidden="false" customHeight="false" outlineLevel="0" collapsed="false">
      <c r="A285" s="118"/>
      <c r="B285" s="114"/>
      <c r="C285" s="114"/>
      <c r="D285" s="114"/>
      <c r="E285" s="114"/>
      <c r="F285" s="114"/>
      <c r="G285" s="154" t="n">
        <f aca="false">+G284-5000000-7500000-1300000</f>
        <v>639020000</v>
      </c>
      <c r="H285" s="155"/>
      <c r="I285" s="130"/>
      <c r="J285" s="156"/>
      <c r="K285" s="156"/>
      <c r="L285" s="156"/>
      <c r="M285" s="156"/>
      <c r="N285" s="114"/>
    </row>
    <row r="286" customFormat="false" ht="17.35" hidden="false" customHeight="false" outlineLevel="0" collapsed="false">
      <c r="A286" s="118"/>
      <c r="B286" s="114"/>
      <c r="C286" s="114"/>
      <c r="D286" s="114"/>
      <c r="E286" s="114"/>
      <c r="F286" s="114"/>
      <c r="G286" s="154"/>
      <c r="H286" s="155"/>
      <c r="I286" s="130"/>
      <c r="J286" s="156"/>
      <c r="K286" s="156"/>
      <c r="L286" s="156"/>
      <c r="M286" s="156"/>
      <c r="N286" s="114"/>
    </row>
    <row r="287" customFormat="false" ht="17.35" hidden="false" customHeight="false" outlineLevel="0" collapsed="false">
      <c r="A287" s="118"/>
      <c r="B287" s="114"/>
      <c r="C287" s="114"/>
      <c r="D287" s="114"/>
      <c r="E287" s="114"/>
      <c r="F287" s="114"/>
      <c r="G287" s="154"/>
      <c r="H287" s="155"/>
      <c r="I287" s="130"/>
      <c r="J287" s="156"/>
      <c r="K287" s="156"/>
      <c r="L287" s="156"/>
      <c r="M287" s="156"/>
      <c r="N287" s="114"/>
    </row>
    <row r="288" customFormat="false" ht="17.35" hidden="false" customHeight="false" outlineLevel="0" collapsed="false">
      <c r="A288" s="118"/>
      <c r="B288" s="114"/>
      <c r="C288" s="114"/>
      <c r="D288" s="114"/>
      <c r="E288" s="114"/>
      <c r="F288" s="114"/>
      <c r="G288" s="114"/>
      <c r="H288" s="114"/>
      <c r="I288" s="155"/>
      <c r="J288" s="155" t="s">
        <v>488</v>
      </c>
      <c r="K288" s="155"/>
      <c r="L288" s="157"/>
      <c r="M288" s="157"/>
      <c r="N288" s="114"/>
    </row>
    <row r="289" customFormat="false" ht="17.35" hidden="false" customHeight="false" outlineLevel="0" collapsed="false">
      <c r="A289" s="114"/>
      <c r="B289" s="114"/>
      <c r="C289" s="118" t="s">
        <v>489</v>
      </c>
      <c r="D289" s="118" t="s">
        <v>490</v>
      </c>
      <c r="E289" s="118" t="s">
        <v>491</v>
      </c>
      <c r="F289" s="118" t="s">
        <v>492</v>
      </c>
      <c r="G289" s="118" t="s">
        <v>493</v>
      </c>
      <c r="H289" s="118" t="s">
        <v>494</v>
      </c>
      <c r="I289" s="118" t="s">
        <v>495</v>
      </c>
      <c r="J289" s="155" t="s">
        <v>496</v>
      </c>
      <c r="K289" s="130"/>
      <c r="L289" s="130" t="s">
        <v>497</v>
      </c>
      <c r="M289" s="157"/>
      <c r="N289" s="114"/>
    </row>
    <row r="290" customFormat="false" ht="17.35" hidden="false" customHeight="false" outlineLevel="0" collapsed="false">
      <c r="A290" s="114" t="n">
        <v>1</v>
      </c>
      <c r="B290" s="114" t="s">
        <v>208</v>
      </c>
      <c r="C290" s="158" t="n">
        <f aca="false">GETPIVOTDATA("% бухгалтер",'bugalter oylik'!$A$3,"Бухгалтер","Abrorbek")</f>
        <v>7040000</v>
      </c>
      <c r="D290" s="158" t="n">
        <f aca="false">1000000</f>
        <v>1000000</v>
      </c>
      <c r="E290" s="158" t="n">
        <f aca="false">SUMIF(Таблица32[Бухгалтер],Royxat!B290,Таблица32[Buxgalter KPI])</f>
        <v>437850</v>
      </c>
      <c r="F290" s="159" t="n">
        <f aca="false">C290+D290+E290</f>
        <v>8477850</v>
      </c>
      <c r="G290" s="158"/>
      <c r="H290" s="158"/>
      <c r="I290" s="158"/>
      <c r="J290" s="130" t="n">
        <f aca="false">F290-G290-H290-I290</f>
        <v>8477850</v>
      </c>
      <c r="K290" s="129" t="n">
        <f aca="false">H322</f>
        <v>65866410</v>
      </c>
      <c r="L290" s="130" t="s">
        <v>498</v>
      </c>
      <c r="M290" s="160"/>
      <c r="N290" s="114"/>
    </row>
    <row r="291" customFormat="false" ht="17.35" hidden="false" customHeight="false" outlineLevel="0" collapsed="false">
      <c r="A291" s="114" t="n">
        <v>2</v>
      </c>
      <c r="B291" s="131" t="s">
        <v>217</v>
      </c>
      <c r="C291" s="158" t="n">
        <f aca="false">GETPIVOTDATA("% бухгалтер",'bugalter oylik'!$A$3,"Бухгалтер","Musobek")</f>
        <v>13210000</v>
      </c>
      <c r="D291" s="158"/>
      <c r="E291" s="158" t="n">
        <f aca="false">SUMIF(Таблица32[Бухгалтер],Royxat!B291,Таблица32[Buxgalter KPI])</f>
        <v>997700</v>
      </c>
      <c r="F291" s="159" t="n">
        <f aca="false">C291+D291+E291</f>
        <v>14207700</v>
      </c>
      <c r="G291" s="158" t="n">
        <f aca="false">4000000+2000000</f>
        <v>6000000</v>
      </c>
      <c r="H291" s="158"/>
      <c r="I291" s="158"/>
      <c r="J291" s="130" t="n">
        <f aca="false">F291-G291-H291-I291</f>
        <v>8207700</v>
      </c>
      <c r="K291" s="129" t="n">
        <f aca="false">K289-K290</f>
        <v>-65866410</v>
      </c>
      <c r="L291" s="130"/>
      <c r="M291" s="114"/>
      <c r="N291" s="114"/>
    </row>
    <row r="292" customFormat="false" ht="17.35" hidden="false" customHeight="false" outlineLevel="0" collapsed="false">
      <c r="A292" s="114" t="n">
        <v>3</v>
      </c>
      <c r="B292" s="114" t="s">
        <v>209</v>
      </c>
      <c r="C292" s="158" t="n">
        <f aca="false">GETPIVOTDATA("% бухгалтер",'bugalter oylik'!$A$3,"Бухгалтер","Axmadjon")</f>
        <v>0</v>
      </c>
      <c r="D292" s="158" t="n">
        <v>5000000</v>
      </c>
      <c r="E292" s="158" t="n">
        <f aca="false">SUMIF(Таблица32[Бухгалтер],Royxat!B292,Таблица32[Buxgalter KPI])</f>
        <v>422500</v>
      </c>
      <c r="F292" s="159" t="n">
        <f aca="false">C292+D292+E292</f>
        <v>5422500</v>
      </c>
      <c r="G292" s="158" t="n">
        <v>1500000</v>
      </c>
      <c r="H292" s="158"/>
      <c r="I292" s="158" t="n">
        <v>5722500</v>
      </c>
      <c r="J292" s="130" t="n">
        <f aca="false">F292-G292-H292-I292</f>
        <v>-1800000</v>
      </c>
      <c r="K292" s="129"/>
      <c r="L292" s="130"/>
      <c r="M292" s="114"/>
      <c r="N292" s="114"/>
    </row>
    <row r="293" customFormat="false" ht="17.35" hidden="false" customHeight="false" outlineLevel="0" collapsed="false">
      <c r="A293" s="114" t="n">
        <v>4</v>
      </c>
      <c r="B293" s="114" t="s">
        <v>238</v>
      </c>
      <c r="C293" s="158" t="n">
        <v>0</v>
      </c>
      <c r="D293" s="159" t="n">
        <f aca="false">GETPIVOTDATA("% банк клиент",'bank klient oylik'!$A$3,"bank klient","Azizbek")</f>
        <v>8917500</v>
      </c>
      <c r="E293" s="158" t="n">
        <f aca="false">SUMIF(Таблица32[bank klient],Royxat!B293,Таблица32[Bank klient KPI])</f>
        <v>3539000</v>
      </c>
      <c r="F293" s="159" t="n">
        <f aca="false">C293+D293+E293</f>
        <v>12456500</v>
      </c>
      <c r="G293" s="161"/>
      <c r="H293" s="161" t="n">
        <v>12486500</v>
      </c>
      <c r="I293" s="161"/>
      <c r="J293" s="130" t="n">
        <f aca="false">F293-G293-H293-I293</f>
        <v>-30000</v>
      </c>
      <c r="K293" s="129"/>
      <c r="L293" s="130"/>
      <c r="M293" s="114"/>
      <c r="N293" s="114"/>
    </row>
    <row r="294" customFormat="false" ht="17.35" hidden="false" customHeight="false" outlineLevel="0" collapsed="false">
      <c r="A294" s="114" t="n">
        <v>5</v>
      </c>
      <c r="B294" s="114" t="s">
        <v>225</v>
      </c>
      <c r="C294" s="158" t="n">
        <f aca="false">GETPIVOTDATA("% бухгалтер",'bugalter oylik'!$A$3,"Бухгалтер","Olloshukur")</f>
        <v>7600000</v>
      </c>
      <c r="D294" s="162" t="n">
        <v>2000000</v>
      </c>
      <c r="E294" s="158" t="n">
        <f aca="false">SUMIF(Таблица32[Бухгалтер],Royxat!B294,Таблица32[Buxgalter KPI])+SUMIF(Таблица32[Назоратчи],Royxat!B294,Таблица32[NazoratchiKPI])</f>
        <v>-84500</v>
      </c>
      <c r="F294" s="159" t="n">
        <f aca="false">C294+D294+E294</f>
        <v>9515500</v>
      </c>
      <c r="G294" s="158" t="n">
        <v>2000000</v>
      </c>
      <c r="H294" s="158"/>
      <c r="I294" s="158" t="n">
        <v>7915500</v>
      </c>
      <c r="J294" s="130" t="n">
        <f aca="false">F294-G294-H294-I294</f>
        <v>-400000</v>
      </c>
      <c r="K294" s="129"/>
      <c r="L294" s="130"/>
      <c r="M294" s="114"/>
      <c r="N294" s="114"/>
    </row>
    <row r="295" customFormat="false" ht="17.35" hidden="false" customHeight="false" outlineLevel="0" collapsed="false">
      <c r="A295" s="114" t="n">
        <v>6</v>
      </c>
      <c r="B295" s="114" t="s">
        <v>499</v>
      </c>
      <c r="C295" s="158" t="n">
        <v>0</v>
      </c>
      <c r="D295" s="158" t="n">
        <v>9000000</v>
      </c>
      <c r="E295" s="158" t="n">
        <f aca="false">SUMIF(Таблица32[Бухгалтер],Royxat!B295,Таблица32[Buxgalter KPI])</f>
        <v>0</v>
      </c>
      <c r="F295" s="159" t="n">
        <f aca="false">C295+D295+E295</f>
        <v>9000000</v>
      </c>
      <c r="G295" s="158" t="n">
        <v>1000000</v>
      </c>
      <c r="H295" s="158"/>
      <c r="I295" s="158" t="n">
        <v>8000000</v>
      </c>
      <c r="J295" s="130" t="n">
        <f aca="false">F295-G295-H295-I295</f>
        <v>0</v>
      </c>
      <c r="K295" s="129"/>
      <c r="L295" s="130"/>
      <c r="M295" s="114"/>
      <c r="N295" s="114"/>
    </row>
    <row r="296" customFormat="false" ht="17.35" hidden="false" customHeight="false" outlineLevel="0" collapsed="false">
      <c r="A296" s="114" t="n">
        <v>7</v>
      </c>
      <c r="B296" s="114" t="s">
        <v>239</v>
      </c>
      <c r="C296" s="158" t="n">
        <v>0</v>
      </c>
      <c r="D296" s="159" t="n">
        <f aca="false">GETPIVOTDATA("% банк клиент",'bank klient oylik'!$A$3,"bank klient","Bekzod")+4000000</f>
        <v>6750000</v>
      </c>
      <c r="E296" s="158" t="n">
        <f aca="false">SUMIF(Таблица32[bank klient],Royxat!B296,Таблица32[Bank klient KPI])</f>
        <v>860000</v>
      </c>
      <c r="F296" s="159" t="n">
        <f aca="false">C296+D296+E296</f>
        <v>7610000</v>
      </c>
      <c r="G296" s="161" t="n">
        <v>2000000</v>
      </c>
      <c r="H296" s="161"/>
      <c r="I296" s="161" t="n">
        <v>5610000</v>
      </c>
      <c r="J296" s="130" t="n">
        <f aca="false">F296-G296-H296-I296</f>
        <v>0</v>
      </c>
      <c r="K296" s="129"/>
      <c r="L296" s="130"/>
      <c r="M296" s="114"/>
      <c r="N296" s="114"/>
    </row>
    <row r="297" customFormat="false" ht="17.35" hidden="false" customHeight="false" outlineLevel="0" collapsed="false">
      <c r="A297" s="114" t="n">
        <v>8</v>
      </c>
      <c r="B297" s="114" t="s">
        <v>226</v>
      </c>
      <c r="C297" s="158" t="n">
        <f aca="false">GETPIVOTDATA("% бухгалтер",'bugalter oylik'!$A$3,"Бухгалтер","Otabek")</f>
        <v>2645000</v>
      </c>
      <c r="D297" s="159"/>
      <c r="E297" s="158" t="n">
        <f aca="false">SUMIF(Таблица32[Бухгалтер],Royxat!B297,Таблица32[Buxgalter KPI])+SUMIF(Таблица32[Назоратчи],Royxat!B297,Таблица32[NazoratchiKPI])</f>
        <v>299575</v>
      </c>
      <c r="F297" s="159" t="n">
        <f aca="false">C297+D297+E297</f>
        <v>2944575</v>
      </c>
      <c r="G297" s="161"/>
      <c r="H297" s="161" t="n">
        <v>2669575</v>
      </c>
      <c r="I297" s="161"/>
      <c r="J297" s="130" t="n">
        <f aca="false">F297-G297-H297-I297</f>
        <v>275000</v>
      </c>
      <c r="K297" s="129"/>
      <c r="L297" s="130"/>
      <c r="M297" s="114"/>
      <c r="N297" s="114"/>
    </row>
    <row r="298" customFormat="false" ht="17.35" hidden="false" customHeight="false" outlineLevel="0" collapsed="false">
      <c r="A298" s="114" t="n">
        <v>9</v>
      </c>
      <c r="B298" s="114" t="s">
        <v>210</v>
      </c>
      <c r="C298" s="158" t="n">
        <f aca="false">GETPIVOTDATA("% бухгалтер",'bugalter oylik'!$A$3,"Бухгалтер","Go'zaloy")</f>
        <v>8134000</v>
      </c>
      <c r="D298" s="158" t="n">
        <f aca="false">GETPIVOTDATA("Назоратчи  %",nazoratchi!$A$3,"Назоратчи","Go'zaloy")+2750000</f>
        <v>22072500</v>
      </c>
      <c r="E298" s="158" t="n">
        <f aca="false">SUMIF(Таблица32[Бухгалтер],Royxat!B298,Таблица32[Buxgalter KPI])+SUMIF(Таблица32[Назоратчи],Royxat!B298,Таблица32[NazoratchiKPI])</f>
        <v>1633785</v>
      </c>
      <c r="F298" s="158" t="n">
        <f aca="false">C298+D298+E298</f>
        <v>31840285</v>
      </c>
      <c r="G298" s="161" t="n">
        <v>2000000</v>
      </c>
      <c r="H298" s="161" t="n">
        <v>26180285</v>
      </c>
      <c r="I298" s="161"/>
      <c r="J298" s="130" t="n">
        <f aca="false">F298-G298-H298-I298</f>
        <v>3660000</v>
      </c>
      <c r="K298" s="129"/>
      <c r="L298" s="130"/>
      <c r="M298" s="114"/>
      <c r="N298" s="114"/>
    </row>
    <row r="299" customFormat="false" ht="17.35" hidden="false" customHeight="false" outlineLevel="0" collapsed="false">
      <c r="A299" s="114" t="n">
        <v>10</v>
      </c>
      <c r="B299" s="114" t="s">
        <v>220</v>
      </c>
      <c r="C299" s="158" t="n">
        <f aca="false">GETPIVOTDATA("% бухгалтер",'bugalter oylik'!$A$3,"Бухгалтер","Mirahmad")+744000</f>
        <v>7644000</v>
      </c>
      <c r="D299" s="159"/>
      <c r="E299" s="158" t="n">
        <f aca="false">SUMIF(Таблица32[Бухгалтер],Royxat!B299,Таблица32[Buxgalter KPI])+SUMIF(Таблица32[Назоратчи],Royxat!B299,Таблица32[NazoratchiKPI])</f>
        <v>897500</v>
      </c>
      <c r="F299" s="159" t="n">
        <f aca="false">C299+D299+E299</f>
        <v>8541500</v>
      </c>
      <c r="G299" s="161" t="n">
        <v>2000000</v>
      </c>
      <c r="H299" s="161"/>
      <c r="I299" s="161"/>
      <c r="J299" s="130" t="n">
        <f aca="false">F299-G299-H299-I299</f>
        <v>6541500</v>
      </c>
      <c r="K299" s="129"/>
      <c r="L299" s="130"/>
      <c r="M299" s="114"/>
      <c r="N299" s="114"/>
    </row>
    <row r="300" customFormat="false" ht="17.35" hidden="false" customHeight="false" outlineLevel="0" collapsed="false">
      <c r="A300" s="114" t="n">
        <v>11</v>
      </c>
      <c r="B300" s="114" t="s">
        <v>224</v>
      </c>
      <c r="C300" s="158" t="n">
        <f aca="false">GETPIVOTDATA("% бухгалтер",'bugalter oylik'!$A$3,"Бухгалтер","Ruslan")+140000</f>
        <v>1340000</v>
      </c>
      <c r="D300" s="158" t="n">
        <f aca="false">GETPIVOTDATA("% банк клиент",'bank klient oylik'!$A$3,"bank klient","Ruslan")</f>
        <v>6257500</v>
      </c>
      <c r="E300" s="158" t="n">
        <f aca="false">SUMIF(Таблица32[bank klient],Royxat!B300,Таблица32[Bank klient KPI])</f>
        <v>2572500</v>
      </c>
      <c r="F300" s="159" t="n">
        <f aca="false">C300+D300+E300</f>
        <v>10170000</v>
      </c>
      <c r="G300" s="161" t="n">
        <f aca="false">8000000+1000000</f>
        <v>9000000</v>
      </c>
      <c r="H300" s="161" t="n">
        <v>1170000</v>
      </c>
      <c r="I300" s="161"/>
      <c r="J300" s="130" t="n">
        <f aca="false">F300-G300-H300-I300</f>
        <v>0</v>
      </c>
      <c r="K300" s="129"/>
      <c r="L300" s="130"/>
      <c r="M300" s="114"/>
      <c r="N300" s="114"/>
    </row>
    <row r="301" customFormat="false" ht="17.35" hidden="false" customHeight="false" outlineLevel="0" collapsed="false">
      <c r="A301" s="114" t="n">
        <v>12</v>
      </c>
      <c r="B301" s="114" t="s">
        <v>211</v>
      </c>
      <c r="C301" s="158" t="n">
        <f aca="false">GETPIVOTDATA("% бухгалтер",'bugalter oylik'!$A$3,"Бухгалтер","Maxmuda")</f>
        <v>7320000</v>
      </c>
      <c r="D301" s="158" t="n">
        <f aca="false">6000000</f>
        <v>6000000</v>
      </c>
      <c r="E301" s="158" t="n">
        <f aca="false">SUMIF(Таблица32[Бухгалтер],Royxat!B301,Таблица32[Buxgalter KPI])+SUMIF(Таблица32[Назоратчи],Royxat!B301,Таблица32[NazoratchiKPI])</f>
        <v>640900</v>
      </c>
      <c r="F301" s="159" t="n">
        <f aca="false">C301+D301+E301</f>
        <v>13960900</v>
      </c>
      <c r="G301" s="161" t="n">
        <v>2000000</v>
      </c>
      <c r="H301" s="161"/>
      <c r="I301" s="161" t="n">
        <v>11960900</v>
      </c>
      <c r="J301" s="130" t="n">
        <f aca="false">F301-G301-H301-I301</f>
        <v>0</v>
      </c>
      <c r="K301" s="158"/>
      <c r="L301" s="159"/>
      <c r="M301" s="114"/>
      <c r="N301" s="114"/>
    </row>
    <row r="302" customFormat="false" ht="17.35" hidden="false" customHeight="false" outlineLevel="0" collapsed="false">
      <c r="A302" s="114" t="n">
        <v>13</v>
      </c>
      <c r="B302" s="114" t="s">
        <v>212</v>
      </c>
      <c r="C302" s="158" t="n">
        <f aca="false">GETPIVOTDATA("% бухгалтер",'bugalter oylik'!$A$3,"Бухгалтер","Mirabbos")</f>
        <v>5080000</v>
      </c>
      <c r="D302" s="162" t="n">
        <v>800000</v>
      </c>
      <c r="E302" s="158" t="n">
        <f aca="false">SUMIF(Таблица32[Бухгалтер],Royxat!B302,Таблица32[Buxgalter KPI])</f>
        <v>389600</v>
      </c>
      <c r="F302" s="159" t="n">
        <f aca="false">C302+D302+E302</f>
        <v>6269600</v>
      </c>
      <c r="G302" s="161"/>
      <c r="H302" s="158"/>
      <c r="I302" s="158"/>
      <c r="J302" s="130" t="n">
        <f aca="false">F302-G302-H302-I302</f>
        <v>6269600</v>
      </c>
      <c r="K302" s="129"/>
      <c r="L302" s="130"/>
      <c r="M302" s="114"/>
      <c r="N302" s="114"/>
    </row>
    <row r="303" customFormat="false" ht="17.35" hidden="false" customHeight="false" outlineLevel="0" collapsed="false">
      <c r="A303" s="114" t="n">
        <v>14</v>
      </c>
      <c r="B303" s="114" t="s">
        <v>213</v>
      </c>
      <c r="C303" s="158" t="n">
        <f aca="false">GETPIVOTDATA("% бухгалтер",'bugalter oylik'!$A$3,"Бухгалтер","Muslimbek")</f>
        <v>9740000</v>
      </c>
      <c r="D303" s="158" t="n">
        <f aca="false">GETPIVOTDATA("Назоратчи  %",nazoratchi!$A$3,"Назоратчи","Muslimbek")+1250000</f>
        <v>9318500</v>
      </c>
      <c r="E303" s="158" t="n">
        <f aca="false">SUMIF(Таблица32[Бухгалтер],Royxat!B303,Таблица32[Buxgalter KPI])+SUMIF(Таблица32[Назоратчи],Royxat!B303,Таблица32[NazoratchiKPI])</f>
        <v>1269800</v>
      </c>
      <c r="F303" s="159" t="n">
        <f aca="false">C303+D303+E303</f>
        <v>20328300</v>
      </c>
      <c r="G303" s="158" t="n">
        <f aca="false">2500000+2000000</f>
        <v>4500000</v>
      </c>
      <c r="H303" s="158" t="n">
        <v>12783300</v>
      </c>
      <c r="I303" s="158"/>
      <c r="J303" s="130" t="n">
        <f aca="false">F303-G303-H303-I303</f>
        <v>3045000</v>
      </c>
      <c r="K303" s="129" t="s">
        <v>500</v>
      </c>
      <c r="L303" s="130"/>
      <c r="M303" s="114"/>
      <c r="N303" s="114"/>
    </row>
    <row r="304" customFormat="false" ht="17.35" hidden="false" customHeight="false" outlineLevel="0" collapsed="false">
      <c r="A304" s="114" t="n">
        <v>15</v>
      </c>
      <c r="B304" s="114" t="s">
        <v>218</v>
      </c>
      <c r="C304" s="158" t="n">
        <f aca="false">GETPIVOTDATA("% бухгалтер",'bugalter oylik'!$A$3,"Бухгалтер","Humora")-744000</f>
        <v>7096000</v>
      </c>
      <c r="D304" s="162" t="n">
        <v>400000</v>
      </c>
      <c r="E304" s="158" t="n">
        <f aca="false">SUMIF(Таблица32[Бухгалтер],Royxat!B304,Таблица32[Buxgalter KPI])</f>
        <v>1091800</v>
      </c>
      <c r="F304" s="159" t="n">
        <f aca="false">C304+D304+E304</f>
        <v>8587800</v>
      </c>
      <c r="G304" s="158"/>
      <c r="H304" s="158" t="n">
        <v>7787800</v>
      </c>
      <c r="I304" s="158"/>
      <c r="J304" s="130" t="n">
        <f aca="false">F304-G304-H304-I304</f>
        <v>800000</v>
      </c>
      <c r="K304" s="129"/>
      <c r="L304" s="130"/>
      <c r="M304" s="114"/>
      <c r="N304" s="114"/>
    </row>
    <row r="305" customFormat="false" ht="17.35" hidden="false" customHeight="false" outlineLevel="0" collapsed="false">
      <c r="A305" s="114" t="n">
        <v>16</v>
      </c>
      <c r="B305" s="114" t="s">
        <v>216</v>
      </c>
      <c r="C305" s="158" t="n">
        <f aca="false">GETPIVOTDATA("% бухгалтер",'bugalter oylik'!$A$3,"Бухгалтер","Zamira")</f>
        <v>8280000</v>
      </c>
      <c r="D305" s="159"/>
      <c r="E305" s="158" t="n">
        <f aca="false">SUMIF(Таблица32[Бухгалтер],Royxat!B305,Таблица32[Buxgalter KPI])</f>
        <v>825000</v>
      </c>
      <c r="F305" s="159" t="n">
        <f aca="false">C305+D305+E305</f>
        <v>9105000</v>
      </c>
      <c r="G305" s="158" t="n">
        <f aca="false">1750000+500000</f>
        <v>2250000</v>
      </c>
      <c r="H305" s="158"/>
      <c r="I305" s="158" t="n">
        <v>6855000</v>
      </c>
      <c r="J305" s="130" t="n">
        <f aca="false">F305-G305-H305-I305</f>
        <v>0</v>
      </c>
      <c r="K305" s="129"/>
      <c r="L305" s="130"/>
      <c r="M305" s="114"/>
      <c r="N305" s="114"/>
    </row>
    <row r="306" customFormat="false" ht="17.35" hidden="false" customHeight="false" outlineLevel="0" collapsed="false">
      <c r="A306" s="114" t="n">
        <v>17</v>
      </c>
      <c r="B306" s="114" t="s">
        <v>214</v>
      </c>
      <c r="C306" s="158" t="n">
        <f aca="false">GETPIVOTDATA("% бухгалтер",'bugalter oylik'!$A$3,"Бухгалтер","Sherzod")+100000</f>
        <v>200000</v>
      </c>
      <c r="D306" s="159" t="n">
        <v>2000000</v>
      </c>
      <c r="E306" s="158" t="n">
        <f aca="false">SUMIF(Таблица32[Бухгалтер],Royxat!B306,Таблица32[Buxgalter KPI])</f>
        <v>0</v>
      </c>
      <c r="F306" s="159" t="n">
        <f aca="false">C306+D306+E306</f>
        <v>2200000</v>
      </c>
      <c r="G306" s="158"/>
      <c r="H306" s="158" t="n">
        <v>2200000</v>
      </c>
      <c r="I306" s="158"/>
      <c r="J306" s="130" t="n">
        <f aca="false">F306-G306-H306-I306</f>
        <v>0</v>
      </c>
      <c r="K306" s="129"/>
      <c r="L306" s="130"/>
      <c r="M306" s="114"/>
      <c r="N306" s="114"/>
    </row>
    <row r="307" customFormat="false" ht="17.35" hidden="false" customHeight="false" outlineLevel="0" collapsed="false">
      <c r="A307" s="114" t="n">
        <v>18</v>
      </c>
      <c r="B307" s="114" t="s">
        <v>221</v>
      </c>
      <c r="C307" s="158" t="n">
        <f aca="false">GETPIVOTDATA("% бухгалтер",'bugalter oylik'!$A$3,"Бухгалтер","Dilhush")</f>
        <v>1420000</v>
      </c>
      <c r="D307" s="158" t="n">
        <v>7000000</v>
      </c>
      <c r="E307" s="158" t="n">
        <f aca="false">SUMIF(Таблица32[Бухгалтер],Royxat!B307,Таблица32[Buxgalter KPI])</f>
        <v>168950</v>
      </c>
      <c r="F307" s="159" t="n">
        <f aca="false">C307+D307+E307</f>
        <v>8588950</v>
      </c>
      <c r="G307" s="158" t="n">
        <f aca="false">5000000+3000000</f>
        <v>8000000</v>
      </c>
      <c r="H307" s="158" t="n">
        <v>588950</v>
      </c>
      <c r="I307" s="158"/>
      <c r="J307" s="130" t="n">
        <f aca="false">F307-G307-H307-I307</f>
        <v>0</v>
      </c>
      <c r="K307" s="129"/>
      <c r="L307" s="130"/>
      <c r="M307" s="114"/>
    </row>
    <row r="308" customFormat="false" ht="17.35" hidden="false" customHeight="false" outlineLevel="0" collapsed="false">
      <c r="A308" s="114" t="n">
        <v>19</v>
      </c>
      <c r="B308" s="114" t="s">
        <v>223</v>
      </c>
      <c r="C308" s="158" t="n">
        <f aca="false">GETPIVOTDATA("% бухгалтер",'bugalter oylik'!$A$3,"Бухгалтер","Abdugani")</f>
        <v>7140000</v>
      </c>
      <c r="D308" s="159"/>
      <c r="E308" s="158" t="n">
        <f aca="false">SUMIF(Таблица32[Бухгалтер],Royxat!B308,Таблица32[Buxgalter KPI])</f>
        <v>355900</v>
      </c>
      <c r="F308" s="159" t="n">
        <f aca="false">C308+D308+E308</f>
        <v>7495900</v>
      </c>
      <c r="G308" s="158"/>
      <c r="H308" s="158"/>
      <c r="I308" s="158" t="n">
        <v>6095900</v>
      </c>
      <c r="J308" s="130" t="n">
        <f aca="false">F308-G308-H308-I308</f>
        <v>1400000</v>
      </c>
      <c r="K308" s="129"/>
      <c r="L308" s="130"/>
      <c r="M308" s="114"/>
    </row>
    <row r="309" customFormat="false" ht="17.35" hidden="false" customHeight="false" outlineLevel="0" collapsed="false">
      <c r="A309" s="114" t="n">
        <v>20</v>
      </c>
      <c r="B309" s="114" t="s">
        <v>227</v>
      </c>
      <c r="C309" s="158" t="n">
        <f aca="false">GETPIVOTDATA("% бухгалтер",'bugalter oylik'!$A$3,"Бухгалтер","Adxam")+1400000</f>
        <v>3800000</v>
      </c>
      <c r="D309" s="159" t="n">
        <v>6500000</v>
      </c>
      <c r="E309" s="158" t="n">
        <f aca="false">SUMIF(Таблица32[Бухгалтер],Royxat!B309,Таблица32[Buxgalter KPI])</f>
        <v>477600</v>
      </c>
      <c r="F309" s="159" t="n">
        <f aca="false">C309+D309+E309</f>
        <v>10777600</v>
      </c>
      <c r="G309" s="158" t="n">
        <f aca="false">1500000+1000000</f>
        <v>2500000</v>
      </c>
      <c r="H309" s="158"/>
      <c r="I309" s="158" t="n">
        <v>8277600</v>
      </c>
      <c r="J309" s="130" t="n">
        <f aca="false">F309-G309-H309-I309</f>
        <v>0</v>
      </c>
      <c r="K309" s="129"/>
      <c r="L309" s="130"/>
      <c r="M309" s="114"/>
    </row>
    <row r="310" customFormat="false" ht="17.35" hidden="false" customHeight="false" outlineLevel="0" collapsed="false">
      <c r="A310" s="114" t="n">
        <v>21</v>
      </c>
      <c r="B310" s="114" t="s">
        <v>219</v>
      </c>
      <c r="C310" s="158" t="n">
        <f aca="false">GETPIVOTDATA("% бухгалтер",'bugalter oylik'!$A$3,"Бухгалтер","Ilhom")</f>
        <v>3000000</v>
      </c>
      <c r="D310" s="159" t="n">
        <v>6000000</v>
      </c>
      <c r="E310" s="158"/>
      <c r="F310" s="159" t="n">
        <f aca="false">C310+D310+E310</f>
        <v>9000000</v>
      </c>
      <c r="G310" s="158"/>
      <c r="H310" s="158"/>
      <c r="I310" s="158" t="n">
        <v>9000000</v>
      </c>
      <c r="J310" s="129" t="n">
        <f aca="false">F310-G310-H310-I310</f>
        <v>0</v>
      </c>
      <c r="K310" s="129"/>
      <c r="L310" s="130"/>
      <c r="M310" s="114"/>
    </row>
    <row r="311" customFormat="false" ht="17.35" hidden="false" customHeight="false" outlineLevel="0" collapsed="false">
      <c r="A311" s="114" t="n">
        <v>22</v>
      </c>
      <c r="B311" s="114" t="s">
        <v>222</v>
      </c>
      <c r="C311" s="158" t="n">
        <f aca="false">GETPIVOTDATA("% бухгалтер",'bugalter oylik'!$A$3,"Бухгалтер","Javohir")</f>
        <v>1850000</v>
      </c>
      <c r="D311" s="162" t="n">
        <v>2100000</v>
      </c>
      <c r="E311" s="158" t="n">
        <f aca="false">SUMIF(Таблица32[Бухгалтер],Royxat!B311,Таблица32[Buxgalter KPI])</f>
        <v>368550</v>
      </c>
      <c r="F311" s="159" t="n">
        <f aca="false">C311+D311+E311</f>
        <v>4318550</v>
      </c>
      <c r="G311" s="158" t="n">
        <f aca="false">2325000+1500000</f>
        <v>3825000</v>
      </c>
      <c r="H311" s="158"/>
      <c r="I311" s="158" t="n">
        <v>3403550</v>
      </c>
      <c r="J311" s="129" t="n">
        <f aca="false">F311-G311-H311-I311</f>
        <v>-2910000</v>
      </c>
      <c r="K311" s="129"/>
      <c r="L311" s="130"/>
      <c r="M311" s="114"/>
    </row>
    <row r="312" customFormat="false" ht="17.35" hidden="false" customHeight="false" outlineLevel="0" collapsed="false">
      <c r="A312" s="114" t="n">
        <v>23</v>
      </c>
      <c r="B312" s="114" t="s">
        <v>229</v>
      </c>
      <c r="C312" s="158" t="n">
        <f aca="false">GETPIVOTDATA("% бухгалтер",'bugalter oylik'!$A$3,"Бухгалтер","Kamron")</f>
        <v>4400000</v>
      </c>
      <c r="D312" s="162" t="n">
        <v>940000</v>
      </c>
      <c r="E312" s="158" t="n">
        <f aca="false">SUMIF(Таблица32[Бухгалтер],Royxat!B312,Таблица32[Buxgalter KPI])</f>
        <v>-128700</v>
      </c>
      <c r="F312" s="159" t="n">
        <f aca="false">C312+D312+E312</f>
        <v>5211300</v>
      </c>
      <c r="G312" s="158"/>
      <c r="H312" s="158"/>
      <c r="I312" s="158" t="n">
        <v>3331300</v>
      </c>
      <c r="J312" s="129" t="n">
        <f aca="false">F312-G312-H312-I312</f>
        <v>1880000</v>
      </c>
      <c r="K312" s="129"/>
      <c r="L312" s="130"/>
      <c r="M312" s="114"/>
    </row>
    <row r="313" customFormat="false" ht="17.35" hidden="false" customHeight="false" outlineLevel="0" collapsed="false">
      <c r="A313" s="114" t="n">
        <v>24</v>
      </c>
      <c r="B313" s="114" t="s">
        <v>228</v>
      </c>
      <c r="C313" s="158" t="n">
        <f aca="false">GETPIVOTDATA("% бухгалтер",'bugalter oylik'!$A$3,"Бухгалтер","Elbek")</f>
        <v>3040000</v>
      </c>
      <c r="D313" s="162" t="n">
        <v>1536000</v>
      </c>
      <c r="E313" s="158" t="n">
        <f aca="false">SUMIF(Таблица32[Бухгалтер],Royxat!B313,Таблица32[Buxgalter KPI])</f>
        <v>-478450</v>
      </c>
      <c r="F313" s="159" t="n">
        <f aca="false">C313+D313+E313</f>
        <v>4097550</v>
      </c>
      <c r="G313" s="158" t="n">
        <v>700000</v>
      </c>
      <c r="H313" s="158"/>
      <c r="I313" s="158"/>
      <c r="J313" s="129" t="n">
        <f aca="false">F313-G313-H313-I313</f>
        <v>3397550</v>
      </c>
      <c r="K313" s="129"/>
      <c r="L313" s="130"/>
      <c r="M313" s="114"/>
    </row>
    <row r="314" customFormat="false" ht="17.35" hidden="false" customHeight="false" outlineLevel="0" collapsed="false">
      <c r="A314" s="114" t="n">
        <v>25</v>
      </c>
      <c r="B314" s="114" t="s">
        <v>240</v>
      </c>
      <c r="C314" s="158"/>
      <c r="D314" s="159" t="n">
        <f aca="false">GETPIVOTDATA("% банк клиент",'bank klient oylik'!$A$3,"bank klient","Abdulaziz")</f>
        <v>2030000</v>
      </c>
      <c r="E314" s="158" t="n">
        <f aca="false">SUMIF(Таблица32[bank klient],Royxat!B314,Таблица32[Bank klient KPI])</f>
        <v>322000</v>
      </c>
      <c r="F314" s="159" t="n">
        <f aca="false">C314+D314+E314</f>
        <v>2352000</v>
      </c>
      <c r="G314" s="158" t="n">
        <f aca="false">800000+500000</f>
        <v>1300000</v>
      </c>
      <c r="H314" s="158"/>
      <c r="I314" s="158" t="n">
        <v>1052000</v>
      </c>
      <c r="J314" s="129" t="n">
        <f aca="false">F314-G314-H314-I314</f>
        <v>0</v>
      </c>
      <c r="K314" s="129"/>
      <c r="L314" s="130"/>
      <c r="M314" s="114"/>
    </row>
    <row r="315" customFormat="false" ht="17.35" hidden="false" customHeight="false" outlineLevel="0" collapsed="false">
      <c r="A315" s="114" t="n">
        <v>26</v>
      </c>
      <c r="B315" s="114" t="s">
        <v>230</v>
      </c>
      <c r="C315" s="158" t="n">
        <f aca="false">GETPIVOTDATA("% бухгалтер",'bugalter oylik'!$A$3,"Бухгалтер","Hasan")</f>
        <v>1460000</v>
      </c>
      <c r="D315" s="159"/>
      <c r="E315" s="158" t="n">
        <f aca="false">SUMIF(Таблица32[Бухгалтер],Royxat!B315,Таблица32[Buxgalter KPI])</f>
        <v>-346000</v>
      </c>
      <c r="F315" s="159" t="n">
        <f aca="false">C315+D315+E315</f>
        <v>1114000</v>
      </c>
      <c r="G315" s="158"/>
      <c r="H315" s="158"/>
      <c r="I315" s="158" t="n">
        <v>1114000</v>
      </c>
      <c r="J315" s="129" t="n">
        <f aca="false">F315-G315-H315-I315</f>
        <v>0</v>
      </c>
      <c r="K315" s="129"/>
      <c r="L315" s="130"/>
      <c r="M315" s="114"/>
    </row>
    <row r="316" customFormat="false" ht="17.35" hidden="false" customHeight="false" outlineLevel="0" collapsed="false">
      <c r="A316" s="114"/>
      <c r="B316" s="114" t="s">
        <v>232</v>
      </c>
      <c r="C316" s="158" t="n">
        <f aca="false">GETPIVOTDATA("% бухгалтер",'bugalter oylik'!$A$3,"Бухгалтер","Alisher")</f>
        <v>1620000</v>
      </c>
      <c r="D316" s="159"/>
      <c r="E316" s="158"/>
      <c r="F316" s="159"/>
      <c r="G316" s="158"/>
      <c r="H316" s="158"/>
      <c r="I316" s="158"/>
      <c r="J316" s="129"/>
      <c r="K316" s="129"/>
      <c r="L316" s="130"/>
      <c r="M316" s="114"/>
    </row>
    <row r="317" customFormat="false" ht="17.35" hidden="false" customHeight="false" outlineLevel="0" collapsed="false">
      <c r="A317" s="114"/>
      <c r="B317" s="114" t="s">
        <v>233</v>
      </c>
      <c r="C317" s="158" t="n">
        <f aca="false">GETPIVOTDATA("% бухгалтер",'bugalter oylik'!$A$3,"Бухгалтер","Mohirbek")</f>
        <v>940000</v>
      </c>
      <c r="D317" s="159"/>
      <c r="E317" s="158"/>
      <c r="F317" s="159"/>
      <c r="G317" s="158"/>
      <c r="H317" s="158"/>
      <c r="I317" s="158"/>
      <c r="J317" s="129"/>
      <c r="K317" s="129"/>
      <c r="L317" s="130"/>
      <c r="M317" s="114"/>
    </row>
    <row r="318" customFormat="false" ht="17.35" hidden="false" customHeight="false" outlineLevel="0" collapsed="false">
      <c r="A318" s="114"/>
      <c r="B318" s="114" t="s">
        <v>231</v>
      </c>
      <c r="C318" s="158" t="n">
        <f aca="false">GETPIVOTDATA("% бухгалтер",'bugalter oylik'!$A$3,"Бухгалтер","Sevara")</f>
        <v>750000</v>
      </c>
      <c r="D318" s="159"/>
      <c r="E318" s="158"/>
      <c r="F318" s="159"/>
      <c r="G318" s="158"/>
      <c r="H318" s="158"/>
      <c r="I318" s="158"/>
      <c r="J318" s="129"/>
      <c r="K318" s="129"/>
      <c r="L318" s="130"/>
      <c r="M318" s="114"/>
    </row>
    <row r="319" customFormat="false" ht="17.35" hidden="false" customHeight="false" outlineLevel="0" collapsed="false">
      <c r="A319" s="114"/>
      <c r="B319" s="114" t="s">
        <v>234</v>
      </c>
      <c r="C319" s="158" t="n">
        <f aca="false">GETPIVOTDATA("% бухгалтер",'bugalter oylik'!$A$3,"Бухгалтер","Aziz shogird")</f>
        <v>565000</v>
      </c>
      <c r="D319" s="159"/>
      <c r="E319" s="158"/>
      <c r="F319" s="159"/>
      <c r="G319" s="158"/>
      <c r="H319" s="158"/>
      <c r="I319" s="158"/>
      <c r="J319" s="129"/>
      <c r="K319" s="129"/>
      <c r="L319" s="130"/>
      <c r="M319" s="114"/>
    </row>
    <row r="320" customFormat="false" ht="17.35" hidden="false" customHeight="false" outlineLevel="0" collapsed="false">
      <c r="A320" s="114" t="n">
        <v>27</v>
      </c>
      <c r="B320" s="114"/>
      <c r="C320" s="159" t="n">
        <f aca="false">L284</f>
        <v>44757400</v>
      </c>
      <c r="D320" s="158" t="n">
        <f aca="false">50000+300000</f>
        <v>350000</v>
      </c>
      <c r="E320" s="158" t="n">
        <f aca="false">SUMIF(Таблица32[Бухгалтер],Royxat!B320,Таблица32[Buxgalter KPI])</f>
        <v>0</v>
      </c>
      <c r="F320" s="159" t="n">
        <f aca="false">C320+D320+E320</f>
        <v>45107400</v>
      </c>
      <c r="G320" s="158"/>
      <c r="H320" s="158"/>
      <c r="I320" s="158"/>
      <c r="J320" s="129" t="n">
        <f aca="false">F320-G320-H320-I320</f>
        <v>45107400</v>
      </c>
      <c r="K320" s="129"/>
      <c r="L320" s="130"/>
      <c r="M320" s="114"/>
    </row>
    <row r="321" customFormat="false" ht="17.35" hidden="false" customHeight="false" outlineLevel="0" collapsed="false">
      <c r="A321" s="114"/>
      <c r="B321" s="114"/>
      <c r="C321" s="159"/>
      <c r="D321" s="159"/>
      <c r="E321" s="159"/>
      <c r="F321" s="159"/>
      <c r="G321" s="159"/>
      <c r="H321" s="159"/>
      <c r="I321" s="129"/>
      <c r="J321" s="129"/>
      <c r="K321" s="130"/>
      <c r="L321" s="114"/>
      <c r="M321" s="114"/>
    </row>
    <row r="322" customFormat="false" ht="17.35" hidden="false" customHeight="false" outlineLevel="0" collapsed="false">
      <c r="A322" s="114"/>
      <c r="B322" s="163" t="s">
        <v>501</v>
      </c>
      <c r="C322" s="164" t="n">
        <f aca="false">SUM(C290:C321)</f>
        <v>160071400</v>
      </c>
      <c r="D322" s="164" t="n">
        <f aca="false">SUM(D290:D321)</f>
        <v>105972000</v>
      </c>
      <c r="E322" s="164" t="n">
        <f aca="false">SUM(E290:E321)</f>
        <v>16532860</v>
      </c>
      <c r="F322" s="164" t="n">
        <f aca="false">SUM(F290:F321)</f>
        <v>278701260</v>
      </c>
      <c r="G322" s="164" t="n">
        <f aca="false">SUM(G290:G321)</f>
        <v>50575000</v>
      </c>
      <c r="H322" s="164" t="n">
        <f aca="false">SUM(H290:H321)</f>
        <v>65866410</v>
      </c>
      <c r="I322" s="164" t="n">
        <f aca="false">SUM(I290:I321)</f>
        <v>78338250</v>
      </c>
      <c r="J322" s="129" t="n">
        <f aca="false">SUM(J290:J321)</f>
        <v>83921600</v>
      </c>
      <c r="K322" s="130"/>
      <c r="L322" s="114"/>
      <c r="M322" s="114"/>
    </row>
    <row r="323" customFormat="false" ht="17.35" hidden="false" customHeight="false" outlineLevel="0" collapsed="false">
      <c r="A323" s="114"/>
      <c r="B323" s="114"/>
      <c r="C323" s="114"/>
      <c r="D323" s="114"/>
      <c r="E323" s="114"/>
      <c r="F323" s="114"/>
      <c r="G323" s="130"/>
      <c r="H323" s="130"/>
      <c r="I323" s="130"/>
      <c r="J323" s="130"/>
      <c r="K323" s="114"/>
      <c r="L323" s="114"/>
      <c r="M323" s="114"/>
    </row>
    <row r="324" customFormat="false" ht="17.35" hidden="false" customHeight="false" outlineLevel="0" collapsed="false">
      <c r="A324" s="114"/>
      <c r="B324" s="160" t="e">
        <f aca="false">E322+#REF!</f>
        <v>#REF!</v>
      </c>
      <c r="C324" s="160"/>
      <c r="D324" s="114"/>
      <c r="E324" s="113"/>
      <c r="F324" s="114"/>
      <c r="G324" s="165"/>
      <c r="H324" s="130"/>
      <c r="I324" s="130"/>
      <c r="J324" s="130"/>
      <c r="K324" s="114"/>
      <c r="L324" s="114"/>
      <c r="M324" s="114"/>
    </row>
    <row r="325" customFormat="false" ht="17.35" hidden="false" customHeight="false" outlineLevel="0" collapsed="false">
      <c r="A325" s="114"/>
      <c r="B325" s="130" t="n">
        <v>22000000</v>
      </c>
      <c r="C325" s="130" t="s">
        <v>502</v>
      </c>
      <c r="D325" s="114"/>
      <c r="E325" s="114"/>
      <c r="F325" s="114"/>
      <c r="G325" s="130"/>
      <c r="H325" s="130"/>
      <c r="I325" s="130"/>
      <c r="J325" s="130"/>
      <c r="K325" s="114"/>
      <c r="L325" s="114"/>
      <c r="M325" s="114"/>
    </row>
    <row r="326" customFormat="false" ht="17.35" hidden="false" customHeight="false" outlineLevel="0" collapsed="false">
      <c r="A326" s="114"/>
      <c r="B326" s="130" t="n">
        <v>8000000</v>
      </c>
      <c r="C326" s="130" t="s">
        <v>503</v>
      </c>
      <c r="D326" s="114"/>
      <c r="E326" s="114"/>
      <c r="F326" s="114"/>
      <c r="G326" s="130"/>
      <c r="H326" s="130"/>
      <c r="I326" s="130"/>
      <c r="J326" s="130"/>
      <c r="K326" s="114"/>
      <c r="L326" s="114"/>
      <c r="M326" s="114"/>
    </row>
    <row r="327" customFormat="false" ht="17.35" hidden="false" customHeight="false" outlineLevel="0" collapsed="false">
      <c r="A327" s="114"/>
      <c r="B327" s="130" t="n">
        <v>3000000</v>
      </c>
      <c r="C327" s="130" t="s">
        <v>504</v>
      </c>
      <c r="D327" s="114"/>
      <c r="E327" s="114"/>
      <c r="F327" s="114"/>
      <c r="G327" s="130"/>
      <c r="H327" s="130"/>
      <c r="I327" s="130"/>
      <c r="J327" s="130"/>
      <c r="K327" s="114"/>
      <c r="L327" s="114"/>
      <c r="M327" s="114"/>
    </row>
    <row r="328" customFormat="false" ht="32.8" hidden="false" customHeight="false" outlineLevel="0" collapsed="false">
      <c r="A328" s="114"/>
      <c r="B328" s="130" t="n">
        <v>2000000</v>
      </c>
      <c r="C328" s="130" t="s">
        <v>505</v>
      </c>
      <c r="D328" s="114"/>
      <c r="E328" s="113"/>
      <c r="F328" s="114"/>
      <c r="G328" s="130"/>
      <c r="H328" s="130"/>
      <c r="I328" s="130"/>
      <c r="J328" s="130"/>
      <c r="K328" s="114"/>
      <c r="L328" s="114"/>
      <c r="M328" s="114"/>
    </row>
    <row r="329" customFormat="false" ht="17.35" hidden="false" customHeight="false" outlineLevel="0" collapsed="false">
      <c r="A329" s="114"/>
      <c r="B329" s="130" t="n">
        <v>1000000</v>
      </c>
      <c r="C329" s="130" t="s">
        <v>506</v>
      </c>
      <c r="D329" s="114"/>
      <c r="E329" s="114"/>
      <c r="F329" s="114"/>
      <c r="G329" s="130"/>
      <c r="H329" s="130"/>
      <c r="I329" s="130"/>
      <c r="J329" s="130"/>
      <c r="K329" s="114"/>
      <c r="L329" s="114"/>
      <c r="M329" s="114"/>
    </row>
    <row r="330" customFormat="false" ht="17.35" hidden="false" customHeight="false" outlineLevel="0" collapsed="false">
      <c r="A330" s="114"/>
      <c r="B330" s="130" t="e">
        <f aca="false">+B324*1%</f>
        <v>#REF!</v>
      </c>
      <c r="C330" s="130" t="s">
        <v>507</v>
      </c>
      <c r="D330" s="114"/>
      <c r="E330" s="114"/>
      <c r="F330" s="114"/>
      <c r="G330" s="130"/>
      <c r="H330" s="130"/>
      <c r="I330" s="130"/>
      <c r="J330" s="130"/>
      <c r="K330" s="114"/>
      <c r="L330" s="114"/>
      <c r="M330" s="114"/>
    </row>
    <row r="331" customFormat="false" ht="17.35" hidden="false" customHeight="false" outlineLevel="0" collapsed="false">
      <c r="A331" s="114"/>
      <c r="B331" s="130" t="e">
        <f aca="false">+B324*4%</f>
        <v>#REF!</v>
      </c>
      <c r="C331" s="130" t="s">
        <v>508</v>
      </c>
      <c r="D331" s="114"/>
      <c r="E331" s="114"/>
      <c r="F331" s="114"/>
      <c r="G331" s="130"/>
      <c r="H331" s="130"/>
      <c r="I331" s="130"/>
      <c r="J331" s="130"/>
      <c r="K331" s="114"/>
      <c r="L331" s="114"/>
      <c r="M331" s="114"/>
    </row>
    <row r="332" customFormat="false" ht="17.35" hidden="false" customHeight="false" outlineLevel="0" collapsed="false">
      <c r="A332" s="114"/>
      <c r="B332" s="130" t="n">
        <v>1500000</v>
      </c>
      <c r="C332" s="130" t="s">
        <v>509</v>
      </c>
      <c r="D332" s="114"/>
      <c r="E332" s="114"/>
      <c r="F332" s="114"/>
      <c r="G332" s="130"/>
      <c r="H332" s="130"/>
      <c r="I332" s="130"/>
      <c r="J332" s="130"/>
      <c r="K332" s="114"/>
      <c r="L332" s="114"/>
      <c r="M332" s="114"/>
    </row>
    <row r="333" customFormat="false" ht="17.35" hidden="false" customHeight="false" outlineLevel="0" collapsed="false">
      <c r="A333" s="114"/>
      <c r="B333" s="160" t="e">
        <f aca="false">SUM(B324:B332)</f>
        <v>#REF!</v>
      </c>
      <c r="C333" s="160"/>
      <c r="D333" s="114"/>
      <c r="E333" s="114"/>
      <c r="F333" s="114"/>
      <c r="G333" s="130"/>
      <c r="H333" s="130"/>
      <c r="I333" s="130"/>
      <c r="J333" s="130"/>
      <c r="K333" s="114"/>
      <c r="L333" s="114"/>
      <c r="M333" s="114"/>
    </row>
    <row r="334" customFormat="false" ht="17.35" hidden="false" customHeight="false" outlineLevel="0" collapsed="false">
      <c r="A334" s="114"/>
      <c r="B334" s="114"/>
      <c r="C334" s="114"/>
      <c r="D334" s="114"/>
      <c r="E334" s="114"/>
      <c r="F334" s="114"/>
      <c r="G334" s="130"/>
      <c r="H334" s="130"/>
      <c r="I334" s="130"/>
      <c r="J334" s="130"/>
      <c r="K334" s="114"/>
      <c r="L334" s="114"/>
      <c r="M334" s="114"/>
    </row>
    <row r="335" customFormat="false" ht="17.35" hidden="false" customHeight="false" outlineLevel="0" collapsed="false">
      <c r="A335" s="114"/>
      <c r="B335" s="114"/>
      <c r="C335" s="114"/>
      <c r="D335" s="114"/>
      <c r="E335" s="114"/>
      <c r="F335" s="114"/>
      <c r="G335" s="130"/>
      <c r="H335" s="130"/>
      <c r="I335" s="130"/>
      <c r="J335" s="130"/>
      <c r="K335" s="114"/>
      <c r="L335" s="114"/>
      <c r="M335" s="114"/>
    </row>
    <row r="336" customFormat="false" ht="17.35" hidden="false" customHeight="false" outlineLevel="0" collapsed="false">
      <c r="A336" s="114"/>
      <c r="B336" s="114"/>
      <c r="C336" s="114"/>
      <c r="D336" s="114"/>
      <c r="E336" s="114"/>
      <c r="F336" s="114"/>
      <c r="G336" s="130"/>
      <c r="H336" s="130"/>
      <c r="I336" s="130"/>
      <c r="J336" s="130"/>
      <c r="K336" s="114"/>
      <c r="L336" s="114"/>
      <c r="M336" s="114"/>
    </row>
    <row r="337" customFormat="false" ht="17.35" hidden="false" customHeight="false" outlineLevel="0" collapsed="false">
      <c r="A337" s="114"/>
      <c r="B337" s="114"/>
      <c r="C337" s="114"/>
      <c r="D337" s="114"/>
      <c r="E337" s="114"/>
      <c r="F337" s="114"/>
      <c r="G337" s="130"/>
      <c r="H337" s="130"/>
      <c r="I337" s="130"/>
      <c r="J337" s="130"/>
      <c r="K337" s="114"/>
      <c r="L337" s="114"/>
      <c r="M337" s="114"/>
    </row>
    <row r="338" customFormat="false" ht="17.35" hidden="false" customHeight="false" outlineLevel="0" collapsed="false">
      <c r="A338" s="114"/>
      <c r="B338" s="114"/>
      <c r="C338" s="114"/>
      <c r="D338" s="114"/>
      <c r="E338" s="114"/>
      <c r="F338" s="114"/>
      <c r="G338" s="130"/>
      <c r="H338" s="130"/>
      <c r="I338" s="130"/>
      <c r="J338" s="130"/>
      <c r="K338" s="114"/>
      <c r="L338" s="114"/>
      <c r="M338" s="114"/>
    </row>
    <row r="339" customFormat="false" ht="17.35" hidden="false" customHeight="false" outlineLevel="0" collapsed="false">
      <c r="A339" s="114"/>
      <c r="B339" s="114"/>
      <c r="C339" s="114"/>
      <c r="D339" s="114"/>
      <c r="E339" s="114"/>
      <c r="F339" s="114"/>
      <c r="G339" s="130"/>
      <c r="H339" s="130"/>
      <c r="I339" s="130"/>
      <c r="J339" s="130"/>
      <c r="K339" s="114"/>
      <c r="L339" s="114"/>
      <c r="M339" s="114"/>
    </row>
    <row r="340" customFormat="false" ht="17.35" hidden="false" customHeight="false" outlineLevel="0" collapsed="false">
      <c r="A340" s="114"/>
      <c r="B340" s="114"/>
      <c r="C340" s="114"/>
      <c r="D340" s="114"/>
      <c r="E340" s="114"/>
      <c r="F340" s="114"/>
      <c r="G340" s="130"/>
      <c r="H340" s="130"/>
      <c r="I340" s="130"/>
      <c r="J340" s="130"/>
      <c r="K340" s="114"/>
      <c r="L340" s="114"/>
      <c r="M340" s="114"/>
    </row>
    <row r="341" customFormat="false" ht="17.35" hidden="false" customHeight="false" outlineLevel="0" collapsed="false">
      <c r="A341" s="114"/>
      <c r="B341" s="114"/>
      <c r="C341" s="114"/>
      <c r="D341" s="114"/>
      <c r="E341" s="114"/>
      <c r="F341" s="114"/>
      <c r="G341" s="130"/>
      <c r="H341" s="130"/>
      <c r="I341" s="130"/>
      <c r="J341" s="130"/>
      <c r="K341" s="114"/>
      <c r="L341" s="114"/>
      <c r="M341" s="114"/>
    </row>
    <row r="342" customFormat="false" ht="17.35" hidden="false" customHeight="false" outlineLevel="0" collapsed="false">
      <c r="A342" s="114"/>
      <c r="B342" s="114"/>
      <c r="C342" s="114"/>
      <c r="D342" s="114"/>
      <c r="E342" s="114"/>
      <c r="F342" s="114"/>
      <c r="G342" s="130"/>
      <c r="H342" s="130"/>
      <c r="I342" s="130"/>
      <c r="J342" s="130"/>
      <c r="K342" s="114"/>
      <c r="L342" s="114"/>
      <c r="M342" s="114"/>
    </row>
    <row r="343" customFormat="false" ht="17.35" hidden="false" customHeight="false" outlineLevel="0" collapsed="false">
      <c r="A343" s="114"/>
      <c r="B343" s="114"/>
      <c r="C343" s="114"/>
      <c r="D343" s="114"/>
      <c r="E343" s="114"/>
      <c r="F343" s="114"/>
      <c r="G343" s="130"/>
      <c r="H343" s="130"/>
      <c r="I343" s="130"/>
      <c r="J343" s="130"/>
      <c r="K343" s="114"/>
      <c r="L343" s="114"/>
      <c r="M343" s="114"/>
    </row>
    <row r="344" customFormat="false" ht="17.35" hidden="false" customHeight="false" outlineLevel="0" collapsed="false">
      <c r="A344" s="114"/>
      <c r="B344" s="114"/>
      <c r="C344" s="114"/>
      <c r="D344" s="114"/>
      <c r="E344" s="114"/>
      <c r="F344" s="114"/>
      <c r="G344" s="130"/>
      <c r="H344" s="130"/>
      <c r="I344" s="130"/>
      <c r="J344" s="130"/>
      <c r="K344" s="114"/>
      <c r="L344" s="114"/>
      <c r="M344" s="114"/>
    </row>
    <row r="345" customFormat="false" ht="17.35" hidden="false" customHeight="false" outlineLevel="0" collapsed="false">
      <c r="A345" s="114"/>
      <c r="B345" s="114"/>
      <c r="C345" s="114"/>
      <c r="D345" s="114"/>
      <c r="E345" s="114"/>
      <c r="F345" s="114"/>
      <c r="G345" s="130"/>
      <c r="H345" s="130"/>
      <c r="I345" s="130"/>
      <c r="J345" s="130"/>
      <c r="K345" s="114"/>
      <c r="L345" s="114"/>
      <c r="M345" s="114"/>
    </row>
    <row r="346" customFormat="false" ht="17.35" hidden="false" customHeight="false" outlineLevel="0" collapsed="false">
      <c r="A346" s="114"/>
      <c r="B346" s="114"/>
      <c r="C346" s="114"/>
      <c r="D346" s="114"/>
      <c r="E346" s="114"/>
      <c r="F346" s="114"/>
      <c r="G346" s="130"/>
      <c r="H346" s="130"/>
      <c r="I346" s="130"/>
      <c r="J346" s="130"/>
      <c r="K346" s="114"/>
      <c r="L346" s="114"/>
      <c r="M346" s="114"/>
    </row>
    <row r="347" customFormat="false" ht="17.35" hidden="false" customHeight="false" outlineLevel="0" collapsed="false">
      <c r="A347" s="114"/>
      <c r="B347" s="114"/>
      <c r="C347" s="114"/>
      <c r="D347" s="114"/>
      <c r="E347" s="114"/>
      <c r="F347" s="114"/>
      <c r="G347" s="130"/>
      <c r="H347" s="130"/>
      <c r="I347" s="130"/>
      <c r="J347" s="130"/>
      <c r="K347" s="114"/>
      <c r="L347" s="114"/>
      <c r="M347" s="114"/>
    </row>
    <row r="348" customFormat="false" ht="17.35" hidden="false" customHeight="false" outlineLevel="0" collapsed="false">
      <c r="A348" s="114"/>
      <c r="B348" s="114"/>
      <c r="C348" s="114"/>
      <c r="D348" s="114"/>
      <c r="E348" s="114"/>
      <c r="F348" s="114"/>
      <c r="G348" s="130"/>
      <c r="H348" s="130"/>
      <c r="I348" s="130"/>
      <c r="J348" s="130"/>
      <c r="K348" s="114"/>
      <c r="L348" s="114"/>
      <c r="M348" s="114"/>
    </row>
    <row r="349" customFormat="false" ht="17.35" hidden="false" customHeight="false" outlineLevel="0" collapsed="false">
      <c r="A349" s="114"/>
      <c r="B349" s="114"/>
      <c r="C349" s="114"/>
      <c r="D349" s="114"/>
      <c r="E349" s="114"/>
      <c r="F349" s="114"/>
      <c r="G349" s="130"/>
      <c r="H349" s="130"/>
      <c r="I349" s="130"/>
      <c r="J349" s="130"/>
      <c r="K349" s="114"/>
      <c r="L349" s="114"/>
      <c r="M349" s="114"/>
    </row>
    <row r="350" customFormat="false" ht="17.35" hidden="false" customHeight="false" outlineLevel="0" collapsed="false">
      <c r="A350" s="114"/>
      <c r="B350" s="114"/>
      <c r="C350" s="114"/>
      <c r="D350" s="114"/>
      <c r="E350" s="114"/>
      <c r="F350" s="114"/>
      <c r="G350" s="130"/>
      <c r="H350" s="130"/>
      <c r="I350" s="130"/>
      <c r="J350" s="130"/>
      <c r="K350" s="114"/>
      <c r="L350" s="114"/>
      <c r="M350" s="114"/>
    </row>
    <row r="351" customFormat="false" ht="17.35" hidden="false" customHeight="false" outlineLevel="0" collapsed="false">
      <c r="A351" s="114"/>
      <c r="B351" s="114"/>
      <c r="C351" s="114"/>
      <c r="D351" s="114"/>
      <c r="E351" s="114"/>
      <c r="F351" s="114"/>
      <c r="G351" s="130"/>
      <c r="H351" s="130"/>
      <c r="I351" s="130"/>
      <c r="J351" s="130"/>
      <c r="K351" s="114"/>
      <c r="L351" s="114"/>
      <c r="M351" s="114"/>
    </row>
    <row r="352" customFormat="false" ht="17.35" hidden="false" customHeight="false" outlineLevel="0" collapsed="false">
      <c r="A352" s="114"/>
      <c r="B352" s="114"/>
      <c r="C352" s="114"/>
      <c r="D352" s="114"/>
      <c r="E352" s="114"/>
      <c r="F352" s="114"/>
      <c r="G352" s="130"/>
      <c r="H352" s="130"/>
      <c r="I352" s="130"/>
      <c r="J352" s="130"/>
      <c r="K352" s="114"/>
      <c r="L352" s="114"/>
      <c r="M352" s="114"/>
    </row>
    <row r="353" customFormat="false" ht="17.35" hidden="false" customHeight="false" outlineLevel="0" collapsed="false">
      <c r="A353" s="114"/>
      <c r="B353" s="114"/>
      <c r="C353" s="114"/>
      <c r="D353" s="114"/>
      <c r="E353" s="114"/>
      <c r="F353" s="114"/>
      <c r="G353" s="130"/>
      <c r="H353" s="130"/>
      <c r="I353" s="130"/>
      <c r="J353" s="130"/>
      <c r="K353" s="114"/>
      <c r="L353" s="114"/>
      <c r="M353" s="114"/>
    </row>
    <row r="354" customFormat="false" ht="17.35" hidden="false" customHeight="false" outlineLevel="0" collapsed="false">
      <c r="A354" s="114"/>
      <c r="B354" s="114"/>
      <c r="C354" s="114"/>
      <c r="D354" s="114"/>
      <c r="E354" s="114"/>
      <c r="F354" s="114"/>
      <c r="G354" s="130"/>
      <c r="H354" s="130"/>
      <c r="I354" s="130"/>
      <c r="J354" s="130"/>
      <c r="K354" s="114"/>
      <c r="L354" s="114"/>
      <c r="M354" s="114"/>
    </row>
    <row r="355" customFormat="false" ht="17.35" hidden="false" customHeight="false" outlineLevel="0" collapsed="false">
      <c r="A355" s="114"/>
      <c r="B355" s="114"/>
      <c r="C355" s="114"/>
      <c r="D355" s="114"/>
      <c r="E355" s="114"/>
      <c r="F355" s="114"/>
      <c r="G355" s="130"/>
      <c r="H355" s="130"/>
      <c r="I355" s="130"/>
      <c r="J355" s="130"/>
      <c r="K355" s="114"/>
      <c r="L355" s="114"/>
      <c r="M355" s="114"/>
    </row>
    <row r="356" customFormat="false" ht="17.35" hidden="false" customHeight="false" outlineLevel="0" collapsed="false">
      <c r="A356" s="114"/>
      <c r="B356" s="114"/>
      <c r="C356" s="114"/>
      <c r="D356" s="114"/>
      <c r="E356" s="114"/>
      <c r="F356" s="114"/>
      <c r="G356" s="130"/>
      <c r="H356" s="130"/>
      <c r="I356" s="130"/>
      <c r="J356" s="130"/>
      <c r="K356" s="114"/>
      <c r="L356" s="114"/>
      <c r="M356" s="114"/>
    </row>
    <row r="357" customFormat="false" ht="17.35" hidden="false" customHeight="false" outlineLevel="0" collapsed="false">
      <c r="A357" s="114"/>
      <c r="B357" s="114"/>
      <c r="C357" s="114"/>
      <c r="D357" s="114"/>
      <c r="E357" s="114"/>
      <c r="F357" s="114"/>
      <c r="G357" s="130"/>
      <c r="H357" s="130"/>
      <c r="I357" s="130"/>
      <c r="J357" s="130"/>
      <c r="K357" s="114"/>
      <c r="L357" s="114"/>
      <c r="M357" s="114"/>
    </row>
    <row r="358" customFormat="false" ht="17.35" hidden="false" customHeight="false" outlineLevel="0" collapsed="false">
      <c r="A358" s="114"/>
      <c r="B358" s="114"/>
      <c r="C358" s="114"/>
      <c r="D358" s="114"/>
      <c r="E358" s="114"/>
      <c r="F358" s="114"/>
      <c r="G358" s="130"/>
      <c r="H358" s="130"/>
      <c r="I358" s="130"/>
      <c r="J358" s="130"/>
      <c r="K358" s="114"/>
      <c r="L358" s="114"/>
      <c r="M358" s="114"/>
    </row>
    <row r="359" customFormat="false" ht="17.35" hidden="false" customHeight="false" outlineLevel="0" collapsed="false">
      <c r="A359" s="114"/>
      <c r="B359" s="114"/>
      <c r="C359" s="114"/>
      <c r="D359" s="114"/>
      <c r="E359" s="114"/>
      <c r="F359" s="114"/>
      <c r="G359" s="130"/>
      <c r="H359" s="130"/>
      <c r="I359" s="130"/>
      <c r="J359" s="130"/>
      <c r="K359" s="114"/>
      <c r="L359" s="114"/>
      <c r="M359" s="114"/>
    </row>
    <row r="360" customFormat="false" ht="17.35" hidden="false" customHeight="false" outlineLevel="0" collapsed="false">
      <c r="A360" s="114"/>
      <c r="B360" s="114"/>
      <c r="C360" s="114"/>
      <c r="D360" s="114"/>
      <c r="E360" s="114"/>
      <c r="F360" s="114"/>
      <c r="G360" s="130"/>
      <c r="H360" s="130"/>
      <c r="I360" s="130"/>
      <c r="J360" s="130"/>
      <c r="K360" s="114"/>
      <c r="L360" s="114"/>
      <c r="M360" s="114"/>
    </row>
    <row r="361" customFormat="false" ht="17.35" hidden="false" customHeight="false" outlineLevel="0" collapsed="false">
      <c r="A361" s="114"/>
      <c r="B361" s="114"/>
      <c r="C361" s="114"/>
      <c r="D361" s="114"/>
      <c r="E361" s="114"/>
      <c r="F361" s="114"/>
      <c r="G361" s="130"/>
      <c r="H361" s="130"/>
      <c r="I361" s="130"/>
      <c r="J361" s="130"/>
      <c r="K361" s="114"/>
      <c r="L361" s="114"/>
      <c r="M361" s="114"/>
    </row>
    <row r="362" customFormat="false" ht="17.35" hidden="false" customHeight="false" outlineLevel="0" collapsed="false">
      <c r="A362" s="114"/>
      <c r="B362" s="114"/>
      <c r="C362" s="114"/>
      <c r="D362" s="114"/>
      <c r="E362" s="114"/>
      <c r="F362" s="114"/>
      <c r="G362" s="130"/>
      <c r="H362" s="130"/>
      <c r="I362" s="130"/>
      <c r="J362" s="130"/>
      <c r="K362" s="114"/>
      <c r="L362" s="114"/>
      <c r="M362" s="114"/>
    </row>
    <row r="363" customFormat="false" ht="17.35" hidden="false" customHeight="false" outlineLevel="0" collapsed="false">
      <c r="A363" s="114"/>
      <c r="B363" s="114"/>
      <c r="C363" s="114"/>
      <c r="D363" s="114"/>
      <c r="E363" s="114"/>
      <c r="F363" s="114"/>
      <c r="G363" s="130"/>
      <c r="H363" s="130"/>
      <c r="I363" s="130"/>
      <c r="J363" s="130"/>
      <c r="K363" s="114"/>
      <c r="L363" s="114"/>
      <c r="M363" s="114"/>
    </row>
    <row r="364" customFormat="false" ht="17.35" hidden="false" customHeight="false" outlineLevel="0" collapsed="false">
      <c r="A364" s="114"/>
      <c r="B364" s="114"/>
      <c r="C364" s="114"/>
      <c r="D364" s="114"/>
      <c r="E364" s="114"/>
      <c r="F364" s="114"/>
      <c r="G364" s="130"/>
      <c r="H364" s="130"/>
      <c r="I364" s="130"/>
      <c r="J364" s="130"/>
      <c r="K364" s="114"/>
      <c r="L364" s="114"/>
      <c r="M364" s="114"/>
    </row>
    <row r="365" customFormat="false" ht="17.35" hidden="false" customHeight="false" outlineLevel="0" collapsed="false">
      <c r="A365" s="114"/>
      <c r="B365" s="114"/>
      <c r="C365" s="114"/>
      <c r="D365" s="114"/>
      <c r="E365" s="114"/>
      <c r="F365" s="114"/>
      <c r="G365" s="130"/>
      <c r="H365" s="130"/>
      <c r="I365" s="130"/>
      <c r="J365" s="130"/>
      <c r="K365" s="114"/>
      <c r="L365" s="114"/>
      <c r="M365" s="114"/>
    </row>
    <row r="366" customFormat="false" ht="17.35" hidden="false" customHeight="false" outlineLevel="0" collapsed="false">
      <c r="A366" s="114"/>
      <c r="B366" s="114"/>
      <c r="C366" s="114"/>
      <c r="D366" s="114"/>
      <c r="E366" s="114"/>
      <c r="F366" s="114"/>
      <c r="G366" s="130"/>
      <c r="H366" s="130"/>
      <c r="I366" s="130"/>
      <c r="J366" s="130"/>
      <c r="K366" s="114"/>
      <c r="L366" s="114"/>
      <c r="M366" s="114"/>
    </row>
    <row r="367" customFormat="false" ht="17.35" hidden="false" customHeight="false" outlineLevel="0" collapsed="false">
      <c r="A367" s="114"/>
      <c r="B367" s="114"/>
      <c r="C367" s="114"/>
      <c r="D367" s="114"/>
      <c r="E367" s="114"/>
      <c r="F367" s="114"/>
      <c r="G367" s="130"/>
      <c r="H367" s="130"/>
      <c r="I367" s="130"/>
      <c r="J367" s="130"/>
      <c r="K367" s="114"/>
      <c r="L367" s="114"/>
      <c r="M367" s="114"/>
    </row>
    <row r="368" customFormat="false" ht="17.35" hidden="false" customHeight="false" outlineLevel="0" collapsed="false">
      <c r="A368" s="114"/>
      <c r="B368" s="114"/>
      <c r="C368" s="114"/>
      <c r="D368" s="114"/>
      <c r="E368" s="114"/>
      <c r="F368" s="114"/>
      <c r="G368" s="130"/>
      <c r="H368" s="130"/>
      <c r="I368" s="130"/>
      <c r="J368" s="130"/>
      <c r="K368" s="114"/>
      <c r="L368" s="114"/>
      <c r="M368" s="114"/>
    </row>
    <row r="369" customFormat="false" ht="17.35" hidden="false" customHeight="false" outlineLevel="0" collapsed="false">
      <c r="A369" s="114"/>
      <c r="B369" s="114"/>
      <c r="C369" s="114"/>
      <c r="D369" s="114"/>
      <c r="E369" s="114"/>
      <c r="F369" s="114"/>
      <c r="G369" s="130"/>
      <c r="H369" s="130"/>
      <c r="I369" s="130"/>
      <c r="J369" s="130"/>
      <c r="K369" s="114"/>
      <c r="L369" s="114"/>
      <c r="M369" s="114"/>
    </row>
    <row r="370" customFormat="false" ht="17.35" hidden="false" customHeight="false" outlineLevel="0" collapsed="false">
      <c r="A370" s="114"/>
      <c r="B370" s="114"/>
      <c r="C370" s="114"/>
      <c r="D370" s="114"/>
      <c r="E370" s="114"/>
      <c r="F370" s="114"/>
      <c r="G370" s="130"/>
      <c r="H370" s="130"/>
      <c r="I370" s="130"/>
      <c r="J370" s="130"/>
      <c r="K370" s="114"/>
      <c r="L370" s="114"/>
      <c r="M370" s="114"/>
    </row>
    <row r="371" customFormat="false" ht="17.35" hidden="false" customHeight="false" outlineLevel="0" collapsed="false">
      <c r="A371" s="114"/>
      <c r="B371" s="114"/>
      <c r="C371" s="114"/>
      <c r="D371" s="114"/>
      <c r="E371" s="114"/>
      <c r="F371" s="114"/>
      <c r="G371" s="130"/>
      <c r="H371" s="130"/>
      <c r="I371" s="130"/>
      <c r="J371" s="130"/>
      <c r="K371" s="114"/>
      <c r="L371" s="114"/>
      <c r="M371" s="114"/>
    </row>
    <row r="372" customFormat="false" ht="17.35" hidden="false" customHeight="false" outlineLevel="0" collapsed="false">
      <c r="A372" s="114"/>
      <c r="B372" s="114"/>
      <c r="C372" s="114"/>
      <c r="D372" s="114"/>
      <c r="E372" s="114"/>
      <c r="F372" s="114"/>
      <c r="G372" s="130"/>
      <c r="H372" s="130"/>
      <c r="I372" s="130"/>
      <c r="J372" s="130"/>
      <c r="K372" s="114"/>
      <c r="L372" s="114"/>
      <c r="M372" s="114"/>
    </row>
    <row r="373" customFormat="false" ht="17.35" hidden="false" customHeight="false" outlineLevel="0" collapsed="false">
      <c r="A373" s="114"/>
      <c r="B373" s="114"/>
      <c r="C373" s="114"/>
      <c r="D373" s="114"/>
      <c r="E373" s="114"/>
      <c r="F373" s="114"/>
      <c r="G373" s="130"/>
      <c r="H373" s="130"/>
      <c r="I373" s="130"/>
      <c r="J373" s="130"/>
      <c r="K373" s="114"/>
      <c r="L373" s="114"/>
      <c r="M373" s="114"/>
    </row>
    <row r="374" customFormat="false" ht="17.35" hidden="false" customHeight="false" outlineLevel="0" collapsed="false">
      <c r="A374" s="114"/>
      <c r="B374" s="114"/>
      <c r="C374" s="114"/>
      <c r="D374" s="114"/>
      <c r="E374" s="114"/>
      <c r="F374" s="114"/>
      <c r="G374" s="130"/>
      <c r="H374" s="130"/>
      <c r="I374" s="130"/>
      <c r="J374" s="130"/>
      <c r="K374" s="114"/>
      <c r="L374" s="114"/>
      <c r="M374" s="114"/>
    </row>
    <row r="375" customFormat="false" ht="17.35" hidden="false" customHeight="false" outlineLevel="0" collapsed="false">
      <c r="A375" s="114"/>
      <c r="B375" s="114"/>
      <c r="C375" s="114"/>
      <c r="D375" s="114"/>
      <c r="E375" s="114"/>
      <c r="F375" s="114"/>
      <c r="G375" s="130"/>
      <c r="H375" s="130"/>
      <c r="I375" s="130"/>
      <c r="J375" s="130"/>
      <c r="K375" s="114"/>
      <c r="L375" s="114"/>
      <c r="M375" s="114"/>
    </row>
    <row r="376" customFormat="false" ht="17.35" hidden="false" customHeight="false" outlineLevel="0" collapsed="false">
      <c r="A376" s="114"/>
      <c r="B376" s="114"/>
      <c r="C376" s="114"/>
      <c r="D376" s="114"/>
      <c r="E376" s="114"/>
      <c r="F376" s="114"/>
      <c r="G376" s="130"/>
      <c r="H376" s="130"/>
      <c r="I376" s="130"/>
      <c r="J376" s="130"/>
      <c r="K376" s="114"/>
      <c r="L376" s="114"/>
      <c r="M376" s="114"/>
    </row>
    <row r="377" customFormat="false" ht="17.35" hidden="false" customHeight="false" outlineLevel="0" collapsed="false">
      <c r="A377" s="114"/>
      <c r="B377" s="114"/>
      <c r="C377" s="114"/>
      <c r="D377" s="114"/>
      <c r="E377" s="114"/>
      <c r="F377" s="114"/>
      <c r="G377" s="130"/>
      <c r="H377" s="130"/>
      <c r="I377" s="130"/>
      <c r="J377" s="130"/>
      <c r="K377" s="114"/>
      <c r="L377" s="114"/>
      <c r="M377" s="114"/>
    </row>
    <row r="378" customFormat="false" ht="17.35" hidden="false" customHeight="false" outlineLevel="0" collapsed="false">
      <c r="A378" s="114"/>
      <c r="B378" s="114"/>
      <c r="C378" s="114"/>
      <c r="D378" s="114"/>
      <c r="E378" s="114"/>
      <c r="F378" s="114"/>
      <c r="G378" s="130"/>
      <c r="H378" s="130"/>
      <c r="I378" s="130"/>
      <c r="J378" s="130"/>
      <c r="K378" s="114"/>
      <c r="L378" s="114"/>
      <c r="M378" s="114"/>
    </row>
    <row r="379" customFormat="false" ht="17.35" hidden="false" customHeight="false" outlineLevel="0" collapsed="false">
      <c r="A379" s="114"/>
      <c r="B379" s="114"/>
      <c r="C379" s="114"/>
      <c r="D379" s="114"/>
      <c r="E379" s="114"/>
      <c r="F379" s="114"/>
      <c r="G379" s="130"/>
      <c r="H379" s="130"/>
      <c r="I379" s="130"/>
      <c r="J379" s="130"/>
      <c r="K379" s="114"/>
      <c r="L379" s="114"/>
      <c r="M379" s="114"/>
    </row>
    <row r="380" customFormat="false" ht="17.35" hidden="false" customHeight="false" outlineLevel="0" collapsed="false">
      <c r="A380" s="114"/>
      <c r="B380" s="114"/>
      <c r="C380" s="114"/>
      <c r="D380" s="114"/>
      <c r="E380" s="114"/>
      <c r="F380" s="114"/>
      <c r="G380" s="130"/>
      <c r="H380" s="130"/>
      <c r="I380" s="130"/>
      <c r="J380" s="130"/>
      <c r="K380" s="114"/>
      <c r="L380" s="114"/>
      <c r="M380" s="114"/>
    </row>
    <row r="381" customFormat="false" ht="17.35" hidden="false" customHeight="false" outlineLevel="0" collapsed="false">
      <c r="A381" s="114"/>
      <c r="B381" s="114"/>
      <c r="C381" s="114"/>
      <c r="D381" s="114"/>
      <c r="E381" s="114"/>
      <c r="F381" s="114"/>
      <c r="G381" s="130"/>
      <c r="H381" s="130"/>
      <c r="I381" s="130"/>
      <c r="J381" s="130"/>
      <c r="K381" s="114"/>
      <c r="L381" s="114"/>
      <c r="M381" s="114"/>
    </row>
    <row r="382" customFormat="false" ht="17.35" hidden="false" customHeight="false" outlineLevel="0" collapsed="false">
      <c r="A382" s="114"/>
      <c r="B382" s="114"/>
      <c r="C382" s="114"/>
      <c r="D382" s="114"/>
      <c r="E382" s="114"/>
      <c r="F382" s="114"/>
      <c r="G382" s="130"/>
      <c r="H382" s="130"/>
      <c r="I382" s="130"/>
      <c r="J382" s="130"/>
      <c r="K382" s="114"/>
      <c r="L382" s="114"/>
      <c r="M382" s="114"/>
    </row>
    <row r="383" customFormat="false" ht="17.35" hidden="false" customHeight="false" outlineLevel="0" collapsed="false">
      <c r="A383" s="114"/>
      <c r="B383" s="114"/>
      <c r="C383" s="114"/>
      <c r="D383" s="114"/>
      <c r="E383" s="114"/>
      <c r="F383" s="114"/>
      <c r="G383" s="130"/>
      <c r="H383" s="130"/>
      <c r="I383" s="130"/>
      <c r="J383" s="130"/>
      <c r="K383" s="114"/>
      <c r="L383" s="114"/>
      <c r="M383" s="114"/>
    </row>
    <row r="384" customFormat="false" ht="17.35" hidden="false" customHeight="false" outlineLevel="0" collapsed="false">
      <c r="A384" s="114"/>
      <c r="B384" s="114"/>
      <c r="C384" s="114"/>
      <c r="D384" s="114"/>
      <c r="E384" s="114"/>
      <c r="F384" s="114"/>
      <c r="G384" s="130"/>
      <c r="H384" s="130"/>
      <c r="I384" s="130"/>
      <c r="J384" s="130"/>
      <c r="K384" s="114"/>
      <c r="L384" s="114"/>
      <c r="M384" s="114"/>
    </row>
    <row r="385" customFormat="false" ht="17.35" hidden="false" customHeight="false" outlineLevel="0" collapsed="false">
      <c r="A385" s="114"/>
      <c r="B385" s="114"/>
      <c r="C385" s="114"/>
      <c r="D385" s="114"/>
      <c r="E385" s="114"/>
      <c r="F385" s="114"/>
      <c r="G385" s="130"/>
      <c r="H385" s="130"/>
      <c r="I385" s="130"/>
      <c r="J385" s="130"/>
      <c r="K385" s="114"/>
      <c r="L385" s="114"/>
      <c r="M385" s="114"/>
    </row>
    <row r="386" customFormat="false" ht="17.35" hidden="false" customHeight="false" outlineLevel="0" collapsed="false">
      <c r="A386" s="114"/>
      <c r="B386" s="114"/>
      <c r="C386" s="114"/>
      <c r="D386" s="114"/>
      <c r="E386" s="114"/>
      <c r="F386" s="114"/>
      <c r="G386" s="130"/>
      <c r="H386" s="130"/>
      <c r="I386" s="130"/>
      <c r="J386" s="130"/>
      <c r="K386" s="114"/>
      <c r="L386" s="114"/>
      <c r="M386" s="114"/>
    </row>
    <row r="387" customFormat="false" ht="17.35" hidden="false" customHeight="false" outlineLevel="0" collapsed="false">
      <c r="A387" s="114"/>
      <c r="B387" s="114"/>
      <c r="C387" s="114"/>
      <c r="D387" s="114"/>
      <c r="E387" s="114"/>
      <c r="F387" s="114"/>
      <c r="G387" s="130"/>
      <c r="H387" s="130"/>
      <c r="I387" s="130"/>
      <c r="J387" s="130"/>
      <c r="K387" s="114"/>
      <c r="L387" s="114"/>
      <c r="M387" s="114"/>
    </row>
    <row r="388" customFormat="false" ht="17.35" hidden="false" customHeight="false" outlineLevel="0" collapsed="false">
      <c r="A388" s="114"/>
      <c r="B388" s="114"/>
      <c r="C388" s="114"/>
      <c r="D388" s="114"/>
      <c r="E388" s="114"/>
      <c r="F388" s="114"/>
      <c r="G388" s="130"/>
      <c r="H388" s="130"/>
      <c r="I388" s="130"/>
      <c r="J388" s="130"/>
      <c r="K388" s="114"/>
      <c r="L388" s="114"/>
      <c r="M388" s="114"/>
    </row>
    <row r="389" customFormat="false" ht="17.35" hidden="false" customHeight="false" outlineLevel="0" collapsed="false">
      <c r="A389" s="114"/>
      <c r="B389" s="114"/>
      <c r="C389" s="114"/>
      <c r="D389" s="114"/>
      <c r="E389" s="114"/>
      <c r="F389" s="114"/>
      <c r="G389" s="130"/>
      <c r="H389" s="130"/>
      <c r="I389" s="130"/>
      <c r="J389" s="130"/>
      <c r="K389" s="114"/>
      <c r="L389" s="114"/>
      <c r="M389" s="114"/>
    </row>
    <row r="390" customFormat="false" ht="17.35" hidden="false" customHeight="false" outlineLevel="0" collapsed="false">
      <c r="A390" s="114"/>
      <c r="B390" s="114"/>
      <c r="C390" s="114"/>
      <c r="D390" s="114"/>
      <c r="E390" s="114"/>
      <c r="F390" s="114"/>
      <c r="G390" s="130"/>
      <c r="H390" s="130"/>
      <c r="I390" s="130"/>
      <c r="J390" s="130"/>
      <c r="K390" s="114"/>
      <c r="L390" s="114"/>
      <c r="M390" s="114"/>
    </row>
    <row r="391" customFormat="false" ht="17.35" hidden="false" customHeight="false" outlineLevel="0" collapsed="false">
      <c r="A391" s="114"/>
      <c r="B391" s="114"/>
      <c r="C391" s="114"/>
      <c r="D391" s="114"/>
      <c r="E391" s="114"/>
      <c r="F391" s="114"/>
      <c r="G391" s="130"/>
      <c r="H391" s="130"/>
      <c r="I391" s="130"/>
      <c r="J391" s="130"/>
      <c r="K391" s="114"/>
      <c r="L391" s="114"/>
      <c r="M391" s="114"/>
    </row>
    <row r="392" customFormat="false" ht="17.35" hidden="false" customHeight="false" outlineLevel="0" collapsed="false">
      <c r="A392" s="114"/>
      <c r="B392" s="114"/>
      <c r="C392" s="114"/>
      <c r="D392" s="114"/>
      <c r="E392" s="114"/>
      <c r="F392" s="114"/>
      <c r="G392" s="130"/>
      <c r="H392" s="130"/>
      <c r="I392" s="130"/>
      <c r="J392" s="130"/>
      <c r="K392" s="114"/>
      <c r="L392" s="114"/>
      <c r="M392" s="114"/>
    </row>
    <row r="393" customFormat="false" ht="17.35" hidden="false" customHeight="false" outlineLevel="0" collapsed="false">
      <c r="A393" s="114"/>
      <c r="B393" s="114"/>
      <c r="C393" s="114"/>
      <c r="D393" s="114"/>
      <c r="E393" s="114"/>
      <c r="F393" s="114"/>
      <c r="G393" s="130"/>
      <c r="H393" s="130"/>
      <c r="I393" s="130"/>
      <c r="J393" s="130"/>
      <c r="K393" s="114"/>
      <c r="L393" s="114"/>
      <c r="M393" s="114"/>
    </row>
    <row r="394" customFormat="false" ht="17.35" hidden="false" customHeight="false" outlineLevel="0" collapsed="false">
      <c r="A394" s="114"/>
      <c r="B394" s="114"/>
      <c r="C394" s="114"/>
      <c r="D394" s="114"/>
      <c r="E394" s="114"/>
      <c r="F394" s="114"/>
      <c r="G394" s="130"/>
      <c r="H394" s="130"/>
      <c r="I394" s="130"/>
      <c r="J394" s="130"/>
      <c r="K394" s="114"/>
      <c r="L394" s="114"/>
      <c r="M394" s="114"/>
    </row>
    <row r="395" customFormat="false" ht="17.35" hidden="false" customHeight="false" outlineLevel="0" collapsed="false">
      <c r="A395" s="114"/>
      <c r="B395" s="114"/>
      <c r="C395" s="114"/>
      <c r="D395" s="114"/>
      <c r="E395" s="114"/>
      <c r="F395" s="114"/>
      <c r="G395" s="130"/>
      <c r="H395" s="130"/>
      <c r="I395" s="130"/>
      <c r="J395" s="130"/>
      <c r="K395" s="114"/>
      <c r="L395" s="114"/>
      <c r="M395" s="114"/>
    </row>
    <row r="396" customFormat="false" ht="17.35" hidden="false" customHeight="false" outlineLevel="0" collapsed="false">
      <c r="A396" s="114"/>
      <c r="B396" s="114"/>
      <c r="C396" s="114"/>
      <c r="D396" s="114"/>
      <c r="E396" s="114"/>
      <c r="F396" s="114"/>
      <c r="G396" s="130"/>
      <c r="H396" s="130"/>
      <c r="I396" s="130"/>
      <c r="J396" s="130"/>
      <c r="K396" s="114"/>
      <c r="L396" s="114"/>
      <c r="M396" s="114"/>
    </row>
    <row r="397" customFormat="false" ht="17.35" hidden="false" customHeight="false" outlineLevel="0" collapsed="false">
      <c r="A397" s="114"/>
      <c r="B397" s="114"/>
      <c r="C397" s="114"/>
      <c r="D397" s="114"/>
      <c r="E397" s="114"/>
      <c r="F397" s="114"/>
      <c r="G397" s="130"/>
      <c r="H397" s="130"/>
      <c r="I397" s="130"/>
      <c r="J397" s="130"/>
      <c r="K397" s="114"/>
      <c r="L397" s="114"/>
      <c r="M397" s="114"/>
    </row>
    <row r="398" customFormat="false" ht="17.35" hidden="false" customHeight="false" outlineLevel="0" collapsed="false">
      <c r="A398" s="114"/>
      <c r="B398" s="114"/>
      <c r="C398" s="114"/>
      <c r="D398" s="114"/>
      <c r="E398" s="114"/>
      <c r="F398" s="114"/>
      <c r="G398" s="130"/>
      <c r="H398" s="130"/>
      <c r="I398" s="130"/>
      <c r="J398" s="130"/>
      <c r="K398" s="114"/>
      <c r="L398" s="114"/>
      <c r="M398" s="114"/>
    </row>
    <row r="399" customFormat="false" ht="17.35" hidden="false" customHeight="false" outlineLevel="0" collapsed="false">
      <c r="A399" s="114"/>
      <c r="B399" s="114"/>
      <c r="C399" s="114"/>
      <c r="D399" s="114"/>
      <c r="E399" s="114"/>
      <c r="F399" s="114"/>
      <c r="G399" s="130"/>
      <c r="H399" s="130"/>
      <c r="I399" s="130"/>
      <c r="J399" s="130"/>
      <c r="K399" s="114"/>
      <c r="L399" s="114"/>
      <c r="M399" s="114"/>
    </row>
    <row r="400" customFormat="false" ht="17.35" hidden="false" customHeight="false" outlineLevel="0" collapsed="false">
      <c r="A400" s="114"/>
      <c r="B400" s="114"/>
      <c r="C400" s="114"/>
      <c r="D400" s="114"/>
      <c r="E400" s="114"/>
      <c r="F400" s="114"/>
      <c r="G400" s="130"/>
      <c r="H400" s="130"/>
      <c r="I400" s="130"/>
      <c r="J400" s="130"/>
      <c r="K400" s="114"/>
      <c r="L400" s="114"/>
      <c r="M400" s="114"/>
    </row>
    <row r="401" customFormat="false" ht="17.35" hidden="false" customHeight="false" outlineLevel="0" collapsed="false">
      <c r="A401" s="114"/>
      <c r="B401" s="114"/>
      <c r="C401" s="114"/>
      <c r="D401" s="114"/>
      <c r="E401" s="114"/>
      <c r="F401" s="114"/>
      <c r="G401" s="130"/>
      <c r="H401" s="130"/>
      <c r="I401" s="130"/>
      <c r="J401" s="130"/>
      <c r="K401" s="114"/>
      <c r="L401" s="114"/>
      <c r="M401" s="114"/>
    </row>
    <row r="402" customFormat="false" ht="17.35" hidden="false" customHeight="false" outlineLevel="0" collapsed="false">
      <c r="A402" s="114"/>
      <c r="B402" s="114"/>
      <c r="C402" s="114"/>
      <c r="D402" s="114"/>
      <c r="E402" s="114"/>
      <c r="F402" s="114"/>
      <c r="G402" s="130"/>
      <c r="H402" s="130"/>
      <c r="I402" s="130"/>
      <c r="J402" s="130"/>
      <c r="K402" s="114"/>
      <c r="L402" s="114"/>
      <c r="M402" s="114"/>
    </row>
    <row r="403" customFormat="false" ht="17.35" hidden="false" customHeight="false" outlineLevel="0" collapsed="false">
      <c r="A403" s="114"/>
      <c r="B403" s="114"/>
      <c r="C403" s="114"/>
      <c r="D403" s="114"/>
      <c r="E403" s="114"/>
      <c r="F403" s="114"/>
      <c r="G403" s="130"/>
      <c r="H403" s="130"/>
      <c r="I403" s="130"/>
      <c r="J403" s="130"/>
      <c r="K403" s="114"/>
      <c r="L403" s="114"/>
      <c r="M403" s="114"/>
    </row>
    <row r="404" customFormat="false" ht="17.35" hidden="false" customHeight="false" outlineLevel="0" collapsed="false">
      <c r="A404" s="114"/>
      <c r="B404" s="114"/>
      <c r="C404" s="114"/>
      <c r="D404" s="114"/>
      <c r="E404" s="114"/>
      <c r="F404" s="114"/>
      <c r="G404" s="130"/>
      <c r="H404" s="130"/>
      <c r="I404" s="130"/>
      <c r="J404" s="130"/>
      <c r="K404" s="114"/>
      <c r="L404" s="114"/>
      <c r="M404" s="114"/>
    </row>
    <row r="405" customFormat="false" ht="17.35" hidden="false" customHeight="false" outlineLevel="0" collapsed="false">
      <c r="A405" s="114"/>
      <c r="B405" s="114"/>
      <c r="C405" s="114"/>
      <c r="D405" s="114"/>
      <c r="E405" s="114"/>
      <c r="F405" s="114"/>
      <c r="G405" s="130"/>
      <c r="H405" s="130"/>
      <c r="I405" s="130"/>
      <c r="J405" s="130"/>
      <c r="K405" s="114"/>
      <c r="L405" s="114"/>
      <c r="M405" s="114"/>
    </row>
    <row r="406" customFormat="false" ht="17.35" hidden="false" customHeight="false" outlineLevel="0" collapsed="false">
      <c r="A406" s="114"/>
      <c r="B406" s="114"/>
      <c r="C406" s="114"/>
      <c r="D406" s="114"/>
      <c r="E406" s="114"/>
      <c r="F406" s="114"/>
      <c r="G406" s="130"/>
      <c r="H406" s="130"/>
      <c r="I406" s="130"/>
      <c r="J406" s="130"/>
      <c r="K406" s="114"/>
      <c r="L406" s="114"/>
      <c r="M406" s="114"/>
    </row>
    <row r="407" customFormat="false" ht="17.35" hidden="false" customHeight="false" outlineLevel="0" collapsed="false">
      <c r="A407" s="114"/>
      <c r="B407" s="114"/>
      <c r="C407" s="114"/>
      <c r="D407" s="114"/>
      <c r="E407" s="114"/>
      <c r="F407" s="114"/>
      <c r="G407" s="130"/>
      <c r="H407" s="130" t="s">
        <v>500</v>
      </c>
      <c r="I407" s="130"/>
      <c r="J407" s="130"/>
      <c r="K407" s="114"/>
      <c r="L407" s="114"/>
      <c r="M407" s="114"/>
    </row>
    <row r="408" customFormat="false" ht="18.75" hidden="false" customHeight="false" outlineLevel="0" collapsed="false">
      <c r="A408" s="114"/>
      <c r="B408" s="114"/>
      <c r="C408" s="114"/>
      <c r="D408" s="114"/>
      <c r="E408" s="114"/>
      <c r="F408" s="114"/>
      <c r="G408" s="130"/>
      <c r="H408" s="130"/>
      <c r="I408" s="130"/>
      <c r="J408" s="130"/>
      <c r="K408" s="114"/>
      <c r="L408" s="114"/>
      <c r="M408" s="114"/>
    </row>
    <row r="409" customFormat="false" ht="18.75" hidden="false" customHeight="false" outlineLevel="0" collapsed="false">
      <c r="A409" s="114"/>
      <c r="B409" s="114"/>
      <c r="C409" s="114"/>
      <c r="D409" s="114"/>
      <c r="E409" s="114"/>
      <c r="F409" s="114"/>
      <c r="G409" s="130"/>
      <c r="H409" s="130"/>
      <c r="I409" s="130"/>
      <c r="J409" s="130"/>
      <c r="K409" s="114"/>
      <c r="L409" s="114"/>
      <c r="M409" s="114"/>
    </row>
    <row r="410" customFormat="false" ht="18.75" hidden="false" customHeight="false" outlineLevel="0" collapsed="false">
      <c r="A410" s="114"/>
      <c r="B410" s="114"/>
      <c r="C410" s="114"/>
      <c r="D410" s="114"/>
      <c r="E410" s="114"/>
      <c r="F410" s="114"/>
      <c r="G410" s="130"/>
      <c r="H410" s="130"/>
      <c r="I410" s="130"/>
      <c r="J410" s="130"/>
      <c r="K410" s="114"/>
      <c r="L410" s="114"/>
      <c r="M410" s="114"/>
    </row>
    <row r="411" customFormat="false" ht="18.75" hidden="false" customHeight="false" outlineLevel="0" collapsed="false">
      <c r="A411" s="114"/>
      <c r="B411" s="114"/>
      <c r="C411" s="114"/>
      <c r="D411" s="114"/>
      <c r="E411" s="114"/>
      <c r="F411" s="114"/>
      <c r="G411" s="130"/>
      <c r="H411" s="130"/>
      <c r="I411" s="130"/>
      <c r="J411" s="130"/>
      <c r="K411" s="114"/>
      <c r="L411" s="114"/>
      <c r="M411" s="114"/>
    </row>
    <row r="412" customFormat="false" ht="18.75" hidden="false" customHeight="false" outlineLevel="0" collapsed="false">
      <c r="A412" s="114"/>
      <c r="B412" s="114"/>
      <c r="C412" s="114"/>
      <c r="D412" s="114"/>
      <c r="E412" s="114"/>
      <c r="F412" s="114"/>
      <c r="G412" s="130"/>
      <c r="H412" s="130"/>
      <c r="I412" s="130"/>
      <c r="J412" s="130"/>
      <c r="K412" s="114"/>
      <c r="L412" s="114"/>
      <c r="M412" s="114"/>
    </row>
    <row r="413" customFormat="false" ht="18.75" hidden="false" customHeight="false" outlineLevel="0" collapsed="false">
      <c r="A413" s="114"/>
      <c r="B413" s="114"/>
      <c r="C413" s="114"/>
      <c r="D413" s="114"/>
      <c r="E413" s="114"/>
      <c r="F413" s="114"/>
      <c r="G413" s="130"/>
      <c r="H413" s="130"/>
      <c r="I413" s="130"/>
      <c r="J413" s="130"/>
      <c r="K413" s="114"/>
      <c r="L413" s="114"/>
      <c r="M413" s="114"/>
    </row>
    <row r="414" customFormat="false" ht="18.75" hidden="false" customHeight="false" outlineLevel="0" collapsed="false">
      <c r="A414" s="114"/>
      <c r="B414" s="114"/>
      <c r="C414" s="114"/>
      <c r="D414" s="114"/>
      <c r="E414" s="114"/>
      <c r="F414" s="114"/>
      <c r="G414" s="130"/>
      <c r="H414" s="130"/>
      <c r="I414" s="130"/>
      <c r="J414" s="130"/>
      <c r="K414" s="114"/>
      <c r="L414" s="114"/>
      <c r="M414" s="114"/>
    </row>
    <row r="415" customFormat="false" ht="18.75" hidden="false" customHeight="false" outlineLevel="0" collapsed="false">
      <c r="A415" s="114"/>
      <c r="B415" s="114"/>
      <c r="C415" s="114"/>
      <c r="D415" s="114"/>
      <c r="E415" s="114"/>
      <c r="F415" s="114"/>
      <c r="G415" s="130"/>
      <c r="H415" s="130"/>
      <c r="I415" s="130"/>
      <c r="J415" s="130"/>
      <c r="K415" s="114"/>
      <c r="L415" s="114"/>
      <c r="M415" s="114"/>
    </row>
    <row r="416" customFormat="false" ht="18.75" hidden="false" customHeight="false" outlineLevel="0" collapsed="false">
      <c r="A416" s="114"/>
      <c r="B416" s="114"/>
      <c r="C416" s="114"/>
      <c r="D416" s="114"/>
      <c r="E416" s="114"/>
      <c r="F416" s="114"/>
      <c r="G416" s="130"/>
      <c r="H416" s="130"/>
      <c r="I416" s="130"/>
      <c r="J416" s="130"/>
      <c r="K416" s="114"/>
      <c r="L416" s="114"/>
      <c r="M416" s="114"/>
    </row>
    <row r="417" customFormat="false" ht="18.75" hidden="false" customHeight="false" outlineLevel="0" collapsed="false">
      <c r="A417" s="114"/>
      <c r="B417" s="114"/>
      <c r="C417" s="114"/>
      <c r="D417" s="114"/>
      <c r="E417" s="114"/>
      <c r="F417" s="114"/>
      <c r="G417" s="130"/>
      <c r="H417" s="130"/>
      <c r="I417" s="130"/>
      <c r="J417" s="130"/>
      <c r="K417" s="114"/>
      <c r="L417" s="114"/>
      <c r="M417" s="114"/>
    </row>
    <row r="418" customFormat="false" ht="18.75" hidden="false" customHeight="false" outlineLevel="0" collapsed="false">
      <c r="A418" s="114"/>
      <c r="B418" s="114"/>
      <c r="C418" s="114"/>
      <c r="D418" s="114"/>
      <c r="E418" s="114"/>
      <c r="F418" s="114"/>
      <c r="G418" s="130"/>
      <c r="H418" s="130"/>
      <c r="I418" s="130"/>
      <c r="J418" s="130"/>
      <c r="K418" s="114"/>
      <c r="L418" s="114"/>
      <c r="M418" s="114"/>
    </row>
    <row r="419" customFormat="false" ht="18.75" hidden="false" customHeight="false" outlineLevel="0" collapsed="false">
      <c r="A419" s="114"/>
      <c r="B419" s="114"/>
      <c r="C419" s="114"/>
      <c r="D419" s="114"/>
      <c r="E419" s="114"/>
      <c r="F419" s="114"/>
      <c r="G419" s="130"/>
      <c r="H419" s="130"/>
      <c r="I419" s="130"/>
      <c r="J419" s="130"/>
      <c r="K419" s="114"/>
      <c r="L419" s="114"/>
      <c r="M419" s="114"/>
    </row>
    <row r="420" customFormat="false" ht="18.75" hidden="false" customHeight="false" outlineLevel="0" collapsed="false">
      <c r="A420" s="114"/>
      <c r="B420" s="114"/>
      <c r="C420" s="114"/>
      <c r="D420" s="114"/>
      <c r="E420" s="114"/>
      <c r="F420" s="114"/>
      <c r="G420" s="130"/>
      <c r="H420" s="130"/>
      <c r="I420" s="130"/>
      <c r="J420" s="130"/>
      <c r="K420" s="114"/>
      <c r="L420" s="114"/>
      <c r="M420" s="114"/>
    </row>
    <row r="421" customFormat="false" ht="18.75" hidden="false" customHeight="false" outlineLevel="0" collapsed="false">
      <c r="A421" s="114"/>
      <c r="B421" s="114"/>
      <c r="C421" s="114"/>
      <c r="D421" s="114"/>
      <c r="E421" s="114"/>
      <c r="F421" s="114"/>
      <c r="G421" s="130"/>
      <c r="H421" s="130"/>
      <c r="I421" s="130"/>
      <c r="J421" s="130"/>
      <c r="K421" s="114"/>
      <c r="L421" s="114"/>
      <c r="M421" s="114"/>
    </row>
    <row r="422" customFormat="false" ht="18.75" hidden="false" customHeight="false" outlineLevel="0" collapsed="false">
      <c r="A422" s="114"/>
      <c r="B422" s="114"/>
      <c r="C422" s="114"/>
      <c r="D422" s="114"/>
      <c r="E422" s="114"/>
      <c r="F422" s="114"/>
      <c r="G422" s="130"/>
      <c r="H422" s="130"/>
      <c r="I422" s="130"/>
      <c r="J422" s="130"/>
      <c r="K422" s="114"/>
      <c r="L422" s="114"/>
      <c r="M422" s="114"/>
    </row>
    <row r="423" customFormat="false" ht="18.75" hidden="false" customHeight="false" outlineLevel="0" collapsed="false">
      <c r="A423" s="114"/>
      <c r="B423" s="114"/>
      <c r="C423" s="114"/>
      <c r="D423" s="114"/>
      <c r="E423" s="114"/>
      <c r="F423" s="114"/>
      <c r="G423" s="130"/>
      <c r="H423" s="130"/>
      <c r="I423" s="130"/>
      <c r="J423" s="130"/>
      <c r="K423" s="114"/>
      <c r="L423" s="114"/>
      <c r="M423" s="114"/>
    </row>
    <row r="424" customFormat="false" ht="18.75" hidden="false" customHeight="false" outlineLevel="0" collapsed="false">
      <c r="A424" s="114"/>
      <c r="B424" s="114"/>
      <c r="C424" s="114"/>
      <c r="D424" s="114"/>
      <c r="E424" s="114"/>
      <c r="F424" s="114"/>
      <c r="G424" s="130"/>
      <c r="H424" s="130"/>
      <c r="I424" s="130"/>
      <c r="J424" s="130"/>
      <c r="K424" s="114"/>
      <c r="L424" s="114"/>
      <c r="M424" s="114"/>
    </row>
    <row r="425" customFormat="false" ht="18.75" hidden="false" customHeight="false" outlineLevel="0" collapsed="false">
      <c r="A425" s="114"/>
      <c r="B425" s="114"/>
      <c r="C425" s="114"/>
      <c r="D425" s="114"/>
      <c r="E425" s="114"/>
      <c r="F425" s="114"/>
      <c r="G425" s="130"/>
      <c r="H425" s="130"/>
      <c r="I425" s="130"/>
      <c r="J425" s="130"/>
      <c r="K425" s="114"/>
      <c r="L425" s="114"/>
      <c r="M425" s="114"/>
    </row>
    <row r="426" customFormat="false" ht="18.75" hidden="false" customHeight="false" outlineLevel="0" collapsed="false">
      <c r="A426" s="114"/>
      <c r="B426" s="114"/>
      <c r="C426" s="114"/>
      <c r="D426" s="114"/>
      <c r="E426" s="114"/>
      <c r="F426" s="114"/>
      <c r="G426" s="130"/>
      <c r="H426" s="130"/>
      <c r="I426" s="130"/>
      <c r="J426" s="130"/>
      <c r="K426" s="114"/>
      <c r="L426" s="114"/>
      <c r="M426" s="114"/>
    </row>
    <row r="427" customFormat="false" ht="18.75" hidden="false" customHeight="false" outlineLevel="0" collapsed="false">
      <c r="A427" s="114"/>
      <c r="B427" s="114"/>
      <c r="C427" s="114"/>
      <c r="D427" s="114"/>
      <c r="E427" s="114"/>
      <c r="F427" s="114"/>
      <c r="G427" s="130"/>
      <c r="H427" s="130"/>
      <c r="I427" s="130"/>
      <c r="J427" s="130"/>
      <c r="K427" s="114"/>
      <c r="L427" s="114"/>
      <c r="M427" s="114"/>
    </row>
    <row r="428" customFormat="false" ht="18.75" hidden="false" customHeight="false" outlineLevel="0" collapsed="false">
      <c r="A428" s="114"/>
      <c r="B428" s="114"/>
      <c r="C428" s="114"/>
      <c r="D428" s="114"/>
      <c r="E428" s="114"/>
      <c r="F428" s="114"/>
      <c r="G428" s="130"/>
      <c r="H428" s="130"/>
      <c r="I428" s="130"/>
      <c r="J428" s="130"/>
      <c r="K428" s="114"/>
      <c r="L428" s="114"/>
      <c r="M428" s="114"/>
    </row>
    <row r="429" customFormat="false" ht="18.75" hidden="false" customHeight="false" outlineLevel="0" collapsed="false">
      <c r="A429" s="114"/>
      <c r="B429" s="114"/>
      <c r="C429" s="114"/>
      <c r="D429" s="114"/>
      <c r="E429" s="114"/>
      <c r="F429" s="114"/>
      <c r="G429" s="130"/>
      <c r="H429" s="130"/>
      <c r="I429" s="130"/>
      <c r="J429" s="130"/>
      <c r="K429" s="114"/>
      <c r="L429" s="114"/>
      <c r="M429" s="114"/>
    </row>
    <row r="430" customFormat="false" ht="18.75" hidden="false" customHeight="false" outlineLevel="0" collapsed="false">
      <c r="A430" s="114"/>
      <c r="B430" s="114"/>
      <c r="C430" s="114"/>
      <c r="D430" s="114"/>
      <c r="E430" s="114"/>
      <c r="F430" s="114"/>
      <c r="G430" s="130"/>
      <c r="H430" s="130"/>
      <c r="I430" s="130"/>
      <c r="J430" s="130"/>
      <c r="K430" s="114"/>
      <c r="L430" s="114"/>
      <c r="M430" s="114"/>
    </row>
    <row r="431" customFormat="false" ht="18.75" hidden="false" customHeight="false" outlineLevel="0" collapsed="false">
      <c r="A431" s="114"/>
      <c r="B431" s="114"/>
      <c r="C431" s="114"/>
      <c r="D431" s="114"/>
      <c r="E431" s="114"/>
      <c r="F431" s="114"/>
      <c r="G431" s="130"/>
      <c r="H431" s="130"/>
      <c r="I431" s="130"/>
      <c r="J431" s="130"/>
      <c r="K431" s="114"/>
      <c r="L431" s="114"/>
      <c r="M431" s="114"/>
    </row>
    <row r="432" customFormat="false" ht="18.75" hidden="false" customHeight="false" outlineLevel="0" collapsed="false">
      <c r="A432" s="114"/>
      <c r="B432" s="114"/>
      <c r="C432" s="114"/>
      <c r="D432" s="114"/>
      <c r="E432" s="114"/>
      <c r="F432" s="114"/>
      <c r="G432" s="130"/>
      <c r="H432" s="130"/>
      <c r="I432" s="130"/>
      <c r="J432" s="130"/>
      <c r="K432" s="114"/>
      <c r="L432" s="114"/>
      <c r="M432" s="114"/>
    </row>
    <row r="433" customFormat="false" ht="18.75" hidden="false" customHeight="false" outlineLevel="0" collapsed="false">
      <c r="A433" s="114"/>
      <c r="B433" s="114"/>
      <c r="C433" s="114"/>
      <c r="D433" s="114"/>
      <c r="E433" s="114"/>
      <c r="F433" s="114"/>
      <c r="G433" s="130"/>
      <c r="H433" s="130"/>
      <c r="I433" s="130"/>
      <c r="J433" s="130"/>
      <c r="K433" s="114"/>
      <c r="L433" s="114"/>
      <c r="M433" s="114"/>
    </row>
    <row r="434" customFormat="false" ht="18.75" hidden="false" customHeight="false" outlineLevel="0" collapsed="false">
      <c r="A434" s="114"/>
      <c r="B434" s="114"/>
      <c r="C434" s="114"/>
      <c r="D434" s="114"/>
      <c r="E434" s="114"/>
      <c r="F434" s="114"/>
      <c r="G434" s="130"/>
      <c r="H434" s="130"/>
      <c r="I434" s="130"/>
      <c r="J434" s="130"/>
      <c r="K434" s="114"/>
      <c r="L434" s="114"/>
      <c r="M434" s="114"/>
    </row>
    <row r="435" customFormat="false" ht="18.75" hidden="false" customHeight="false" outlineLevel="0" collapsed="false">
      <c r="A435" s="114"/>
      <c r="B435" s="114"/>
      <c r="C435" s="114"/>
      <c r="D435" s="114"/>
      <c r="E435" s="114"/>
      <c r="F435" s="114"/>
      <c r="G435" s="130"/>
      <c r="H435" s="130"/>
      <c r="I435" s="130"/>
      <c r="J435" s="130"/>
      <c r="K435" s="114"/>
      <c r="L435" s="114"/>
      <c r="M435" s="114"/>
    </row>
    <row r="436" customFormat="false" ht="18.75" hidden="false" customHeight="false" outlineLevel="0" collapsed="false">
      <c r="A436" s="114"/>
      <c r="B436" s="114"/>
      <c r="C436" s="114"/>
      <c r="D436" s="114"/>
      <c r="E436" s="114"/>
      <c r="F436" s="114"/>
      <c r="G436" s="130"/>
      <c r="H436" s="130"/>
      <c r="I436" s="130"/>
      <c r="J436" s="130"/>
      <c r="K436" s="114"/>
      <c r="L436" s="114"/>
      <c r="M436" s="114"/>
    </row>
    <row r="437" customFormat="false" ht="18.75" hidden="false" customHeight="false" outlineLevel="0" collapsed="false">
      <c r="A437" s="114"/>
      <c r="B437" s="114"/>
      <c r="C437" s="114"/>
      <c r="D437" s="114"/>
      <c r="E437" s="114"/>
      <c r="F437" s="114"/>
      <c r="G437" s="130"/>
      <c r="H437" s="130"/>
      <c r="I437" s="130"/>
      <c r="J437" s="130"/>
      <c r="K437" s="114"/>
      <c r="L437" s="114"/>
      <c r="M437" s="114"/>
    </row>
    <row r="438" customFormat="false" ht="18.75" hidden="false" customHeight="false" outlineLevel="0" collapsed="false">
      <c r="A438" s="114"/>
      <c r="B438" s="114"/>
      <c r="C438" s="114"/>
      <c r="D438" s="114"/>
      <c r="E438" s="114"/>
      <c r="F438" s="114"/>
      <c r="G438" s="130"/>
      <c r="H438" s="130"/>
      <c r="I438" s="130"/>
      <c r="J438" s="130"/>
      <c r="K438" s="114"/>
      <c r="L438" s="114"/>
      <c r="M438" s="114"/>
    </row>
    <row r="439" customFormat="false" ht="18.75" hidden="false" customHeight="false" outlineLevel="0" collapsed="false">
      <c r="A439" s="114"/>
      <c r="B439" s="114"/>
      <c r="C439" s="114"/>
      <c r="D439" s="114"/>
      <c r="E439" s="114"/>
      <c r="F439" s="114"/>
      <c r="G439" s="130"/>
      <c r="H439" s="130"/>
      <c r="I439" s="130"/>
      <c r="J439" s="130"/>
      <c r="K439" s="114"/>
      <c r="L439" s="114"/>
      <c r="M439" s="114"/>
    </row>
    <row r="440" customFormat="false" ht="18.75" hidden="false" customHeight="false" outlineLevel="0" collapsed="false">
      <c r="A440" s="114"/>
      <c r="B440" s="114"/>
      <c r="C440" s="114"/>
      <c r="D440" s="114"/>
      <c r="E440" s="114"/>
      <c r="F440" s="114"/>
      <c r="G440" s="130"/>
      <c r="H440" s="130"/>
      <c r="I440" s="130"/>
      <c r="J440" s="130"/>
      <c r="K440" s="114"/>
      <c r="L440" s="114"/>
      <c r="M440" s="114"/>
    </row>
    <row r="441" customFormat="false" ht="18.75" hidden="false" customHeight="false" outlineLevel="0" collapsed="false">
      <c r="A441" s="114"/>
      <c r="B441" s="114"/>
      <c r="C441" s="114"/>
      <c r="D441" s="114"/>
      <c r="E441" s="114"/>
      <c r="F441" s="114"/>
      <c r="G441" s="130"/>
      <c r="H441" s="130"/>
      <c r="I441" s="130"/>
      <c r="J441" s="130"/>
      <c r="K441" s="114"/>
      <c r="L441" s="114"/>
      <c r="M441" s="114"/>
    </row>
    <row r="442" customFormat="false" ht="18.75" hidden="false" customHeight="false" outlineLevel="0" collapsed="false">
      <c r="A442" s="114"/>
      <c r="B442" s="114"/>
      <c r="C442" s="114"/>
      <c r="D442" s="114"/>
      <c r="E442" s="114"/>
      <c r="F442" s="114"/>
      <c r="G442" s="130"/>
      <c r="H442" s="130"/>
      <c r="I442" s="130"/>
      <c r="J442" s="130"/>
      <c r="K442" s="114"/>
      <c r="L442" s="114"/>
      <c r="M442" s="114"/>
    </row>
    <row r="443" customFormat="false" ht="18.75" hidden="false" customHeight="false" outlineLevel="0" collapsed="false">
      <c r="A443" s="114"/>
      <c r="B443" s="114"/>
      <c r="C443" s="114"/>
      <c r="D443" s="114"/>
      <c r="E443" s="114"/>
      <c r="F443" s="114"/>
      <c r="G443" s="130"/>
      <c r="H443" s="130"/>
      <c r="I443" s="130"/>
      <c r="J443" s="130"/>
      <c r="K443" s="114"/>
      <c r="L443" s="114"/>
      <c r="M443" s="114"/>
    </row>
    <row r="444" customFormat="false" ht="18.75" hidden="false" customHeight="false" outlineLevel="0" collapsed="false">
      <c r="A444" s="114"/>
      <c r="B444" s="114"/>
      <c r="C444" s="114"/>
      <c r="D444" s="114"/>
      <c r="E444" s="114"/>
      <c r="F444" s="114"/>
      <c r="G444" s="130"/>
      <c r="H444" s="130"/>
      <c r="I444" s="130"/>
      <c r="J444" s="130"/>
      <c r="K444" s="114"/>
      <c r="L444" s="114"/>
      <c r="M444" s="114"/>
    </row>
    <row r="445" customFormat="false" ht="18.75" hidden="false" customHeight="false" outlineLevel="0" collapsed="false">
      <c r="A445" s="114"/>
      <c r="B445" s="114"/>
      <c r="C445" s="114"/>
      <c r="D445" s="114"/>
      <c r="E445" s="114"/>
      <c r="F445" s="114"/>
      <c r="G445" s="130"/>
      <c r="H445" s="130"/>
      <c r="I445" s="130"/>
      <c r="J445" s="130"/>
      <c r="K445" s="114"/>
      <c r="L445" s="114"/>
      <c r="M445" s="114"/>
    </row>
    <row r="446" customFormat="false" ht="18.75" hidden="false" customHeight="false" outlineLevel="0" collapsed="false">
      <c r="A446" s="114"/>
      <c r="B446" s="114"/>
      <c r="C446" s="114"/>
      <c r="D446" s="114"/>
      <c r="E446" s="114"/>
      <c r="F446" s="114"/>
      <c r="G446" s="130"/>
      <c r="H446" s="130"/>
      <c r="I446" s="130"/>
      <c r="J446" s="130"/>
      <c r="K446" s="114"/>
      <c r="L446" s="114"/>
      <c r="M446" s="114"/>
    </row>
    <row r="447" customFormat="false" ht="18.75" hidden="false" customHeight="false" outlineLevel="0" collapsed="false">
      <c r="A447" s="114"/>
      <c r="B447" s="114"/>
      <c r="C447" s="114"/>
      <c r="D447" s="114"/>
      <c r="E447" s="114"/>
      <c r="F447" s="114"/>
      <c r="G447" s="130"/>
      <c r="H447" s="130"/>
      <c r="I447" s="130"/>
      <c r="J447" s="130"/>
      <c r="K447" s="114"/>
      <c r="L447" s="114"/>
      <c r="M447" s="114"/>
    </row>
    <row r="448" customFormat="false" ht="18.75" hidden="false" customHeight="false" outlineLevel="0" collapsed="false">
      <c r="A448" s="114"/>
      <c r="B448" s="114"/>
      <c r="C448" s="114"/>
      <c r="D448" s="114"/>
      <c r="E448" s="114"/>
      <c r="F448" s="114"/>
      <c r="G448" s="130"/>
      <c r="H448" s="130"/>
      <c r="I448" s="130"/>
      <c r="J448" s="130"/>
      <c r="K448" s="114"/>
      <c r="L448" s="114"/>
      <c r="M448" s="114"/>
    </row>
    <row r="449" customFormat="false" ht="18.75" hidden="false" customHeight="false" outlineLevel="0" collapsed="false">
      <c r="A449" s="114"/>
      <c r="B449" s="114"/>
      <c r="C449" s="114"/>
      <c r="D449" s="114"/>
      <c r="E449" s="114"/>
      <c r="F449" s="114"/>
      <c r="G449" s="130"/>
      <c r="H449" s="130"/>
      <c r="I449" s="130"/>
      <c r="J449" s="130"/>
      <c r="K449" s="114"/>
      <c r="L449" s="114"/>
      <c r="M449" s="114"/>
    </row>
    <row r="450" customFormat="false" ht="18.75" hidden="false" customHeight="false" outlineLevel="0" collapsed="false">
      <c r="A450" s="114"/>
      <c r="B450" s="114"/>
      <c r="C450" s="114"/>
      <c r="D450" s="114"/>
      <c r="E450" s="114"/>
      <c r="F450" s="114"/>
      <c r="G450" s="130"/>
      <c r="H450" s="130"/>
      <c r="I450" s="130"/>
      <c r="J450" s="130"/>
      <c r="K450" s="114"/>
      <c r="L450" s="114"/>
      <c r="M450" s="114"/>
    </row>
    <row r="451" customFormat="false" ht="18.75" hidden="false" customHeight="false" outlineLevel="0" collapsed="false">
      <c r="A451" s="114"/>
      <c r="B451" s="114"/>
      <c r="C451" s="114"/>
      <c r="D451" s="114"/>
      <c r="E451" s="114"/>
      <c r="F451" s="114"/>
      <c r="G451" s="130"/>
      <c r="H451" s="130"/>
      <c r="I451" s="130"/>
      <c r="J451" s="130"/>
      <c r="K451" s="114"/>
      <c r="L451" s="114"/>
      <c r="M451" s="114"/>
    </row>
    <row r="452" customFormat="false" ht="18.75" hidden="false" customHeight="false" outlineLevel="0" collapsed="false">
      <c r="A452" s="114"/>
      <c r="B452" s="114"/>
      <c r="C452" s="114"/>
      <c r="D452" s="114"/>
      <c r="E452" s="114"/>
      <c r="F452" s="114"/>
      <c r="G452" s="130"/>
      <c r="H452" s="130"/>
      <c r="I452" s="130"/>
      <c r="J452" s="130"/>
      <c r="K452" s="114"/>
      <c r="L452" s="114"/>
      <c r="M452" s="114"/>
    </row>
    <row r="453" customFormat="false" ht="18.75" hidden="false" customHeight="false" outlineLevel="0" collapsed="false">
      <c r="A453" s="114"/>
      <c r="B453" s="114"/>
      <c r="C453" s="114"/>
      <c r="D453" s="114"/>
      <c r="E453" s="114"/>
      <c r="F453" s="114"/>
      <c r="G453" s="130"/>
      <c r="H453" s="130"/>
      <c r="I453" s="130"/>
      <c r="J453" s="130"/>
      <c r="K453" s="114"/>
      <c r="L453" s="114"/>
      <c r="M453" s="114"/>
    </row>
    <row r="454" customFormat="false" ht="18.75" hidden="false" customHeight="false" outlineLevel="0" collapsed="false">
      <c r="A454" s="114"/>
      <c r="B454" s="114"/>
      <c r="C454" s="114"/>
      <c r="D454" s="114"/>
      <c r="E454" s="114"/>
      <c r="F454" s="114"/>
      <c r="G454" s="130"/>
      <c r="H454" s="130"/>
      <c r="I454" s="130"/>
      <c r="J454" s="130"/>
      <c r="K454" s="114"/>
      <c r="L454" s="114"/>
      <c r="M454" s="114"/>
    </row>
    <row r="455" customFormat="false" ht="18.75" hidden="false" customHeight="false" outlineLevel="0" collapsed="false">
      <c r="A455" s="114"/>
      <c r="B455" s="114"/>
      <c r="C455" s="114"/>
      <c r="D455" s="114"/>
      <c r="E455" s="114"/>
      <c r="F455" s="114"/>
      <c r="G455" s="130"/>
      <c r="H455" s="130"/>
      <c r="I455" s="130"/>
      <c r="J455" s="130"/>
      <c r="K455" s="114"/>
      <c r="L455" s="114"/>
      <c r="M455" s="114"/>
    </row>
    <row r="456" customFormat="false" ht="18.75" hidden="false" customHeight="false" outlineLevel="0" collapsed="false">
      <c r="A456" s="114"/>
      <c r="B456" s="114"/>
      <c r="C456" s="114"/>
      <c r="D456" s="114"/>
      <c r="E456" s="114"/>
      <c r="F456" s="114"/>
      <c r="G456" s="130"/>
      <c r="H456" s="130"/>
      <c r="I456" s="130"/>
      <c r="J456" s="130"/>
      <c r="K456" s="114"/>
      <c r="L456" s="114"/>
      <c r="M456" s="114"/>
    </row>
    <row r="457" customFormat="false" ht="18.75" hidden="false" customHeight="false" outlineLevel="0" collapsed="false">
      <c r="A457" s="114"/>
      <c r="B457" s="114"/>
      <c r="C457" s="114"/>
      <c r="D457" s="114"/>
      <c r="E457" s="114"/>
      <c r="F457" s="114"/>
      <c r="G457" s="130"/>
      <c r="H457" s="130"/>
      <c r="I457" s="130"/>
      <c r="J457" s="130"/>
      <c r="K457" s="114"/>
      <c r="L457" s="114"/>
      <c r="M457" s="114"/>
    </row>
    <row r="458" customFormat="false" ht="18.75" hidden="false" customHeight="false" outlineLevel="0" collapsed="false">
      <c r="A458" s="114"/>
      <c r="B458" s="114"/>
      <c r="C458" s="114"/>
      <c r="D458" s="114"/>
      <c r="E458" s="114"/>
      <c r="F458" s="114"/>
      <c r="G458" s="130"/>
      <c r="H458" s="130"/>
      <c r="I458" s="130"/>
      <c r="J458" s="130"/>
      <c r="K458" s="114"/>
      <c r="L458" s="114"/>
      <c r="M458" s="114"/>
    </row>
    <row r="459" customFormat="false" ht="18.75" hidden="false" customHeight="false" outlineLevel="0" collapsed="false">
      <c r="A459" s="114"/>
      <c r="B459" s="114"/>
      <c r="C459" s="114"/>
      <c r="D459" s="114"/>
      <c r="E459" s="114"/>
      <c r="F459" s="114"/>
      <c r="G459" s="130"/>
      <c r="H459" s="130"/>
      <c r="I459" s="130"/>
      <c r="J459" s="130"/>
      <c r="K459" s="114"/>
      <c r="L459" s="114"/>
      <c r="M459" s="114"/>
    </row>
    <row r="460" customFormat="false" ht="18.75" hidden="false" customHeight="false" outlineLevel="0" collapsed="false">
      <c r="A460" s="114"/>
      <c r="B460" s="114"/>
      <c r="C460" s="114"/>
      <c r="D460" s="114"/>
      <c r="E460" s="114"/>
      <c r="F460" s="114"/>
      <c r="G460" s="130"/>
      <c r="H460" s="130"/>
      <c r="I460" s="130"/>
      <c r="J460" s="130"/>
      <c r="K460" s="114"/>
      <c r="L460" s="114"/>
      <c r="M460" s="114"/>
    </row>
    <row r="461" customFormat="false" ht="18.75" hidden="false" customHeight="false" outlineLevel="0" collapsed="false">
      <c r="A461" s="114"/>
      <c r="B461" s="114"/>
      <c r="C461" s="114"/>
      <c r="D461" s="114"/>
      <c r="E461" s="114"/>
      <c r="F461" s="114"/>
      <c r="G461" s="130"/>
      <c r="H461" s="130"/>
      <c r="I461" s="130"/>
      <c r="J461" s="130"/>
      <c r="K461" s="114"/>
      <c r="L461" s="114"/>
      <c r="M461" s="114"/>
    </row>
    <row r="462" customFormat="false" ht="18.75" hidden="false" customHeight="false" outlineLevel="0" collapsed="false">
      <c r="A462" s="114"/>
      <c r="B462" s="114"/>
      <c r="C462" s="114"/>
      <c r="D462" s="114"/>
      <c r="E462" s="114"/>
      <c r="F462" s="114"/>
      <c r="G462" s="130"/>
      <c r="H462" s="130"/>
      <c r="I462" s="130"/>
      <c r="J462" s="130"/>
      <c r="K462" s="114"/>
      <c r="L462" s="114"/>
      <c r="M462" s="114"/>
    </row>
    <row r="463" customFormat="false" ht="18.75" hidden="false" customHeight="false" outlineLevel="0" collapsed="false">
      <c r="A463" s="114"/>
      <c r="B463" s="114"/>
      <c r="C463" s="114"/>
      <c r="D463" s="114"/>
      <c r="E463" s="114"/>
      <c r="F463" s="114"/>
      <c r="G463" s="130"/>
      <c r="H463" s="130"/>
      <c r="I463" s="130"/>
      <c r="J463" s="130"/>
      <c r="K463" s="114"/>
      <c r="L463" s="114"/>
      <c r="M463" s="114"/>
    </row>
    <row r="464" customFormat="false" ht="18.75" hidden="false" customHeight="false" outlineLevel="0" collapsed="false">
      <c r="A464" s="114"/>
      <c r="B464" s="114"/>
      <c r="C464" s="114"/>
      <c r="D464" s="114"/>
      <c r="E464" s="114"/>
      <c r="F464" s="114"/>
      <c r="G464" s="130"/>
      <c r="H464" s="130"/>
      <c r="I464" s="130"/>
      <c r="J464" s="130"/>
      <c r="K464" s="114"/>
      <c r="L464" s="114"/>
      <c r="M464" s="114"/>
    </row>
    <row r="465" customFormat="false" ht="18.75" hidden="false" customHeight="false" outlineLevel="0" collapsed="false">
      <c r="A465" s="114"/>
      <c r="B465" s="114"/>
      <c r="C465" s="114"/>
      <c r="D465" s="114"/>
      <c r="E465" s="114"/>
      <c r="F465" s="114"/>
      <c r="G465" s="130"/>
      <c r="H465" s="130"/>
      <c r="I465" s="130"/>
      <c r="J465" s="130"/>
      <c r="K465" s="114"/>
      <c r="L465" s="114"/>
      <c r="M465" s="114"/>
    </row>
    <row r="466" customFormat="false" ht="18.75" hidden="false" customHeight="false" outlineLevel="0" collapsed="false">
      <c r="A466" s="114"/>
      <c r="B466" s="114"/>
      <c r="C466" s="114"/>
      <c r="D466" s="114"/>
      <c r="E466" s="114"/>
      <c r="F466" s="114"/>
      <c r="G466" s="130"/>
      <c r="H466" s="130"/>
      <c r="I466" s="130"/>
      <c r="J466" s="130"/>
      <c r="K466" s="114"/>
      <c r="L466" s="114"/>
      <c r="M466" s="114"/>
    </row>
    <row r="467" customFormat="false" ht="18.75" hidden="false" customHeight="false" outlineLevel="0" collapsed="false">
      <c r="A467" s="114"/>
      <c r="B467" s="114"/>
      <c r="C467" s="114"/>
      <c r="D467" s="114"/>
      <c r="E467" s="114"/>
      <c r="F467" s="114"/>
      <c r="G467" s="130"/>
      <c r="H467" s="130"/>
      <c r="I467" s="130"/>
      <c r="J467" s="130"/>
      <c r="K467" s="114"/>
      <c r="L467" s="114"/>
      <c r="M467" s="114"/>
    </row>
    <row r="468" customFormat="false" ht="18.75" hidden="false" customHeight="false" outlineLevel="0" collapsed="false">
      <c r="A468" s="114"/>
      <c r="B468" s="114"/>
      <c r="C468" s="114"/>
      <c r="D468" s="114"/>
      <c r="E468" s="114"/>
      <c r="F468" s="114"/>
      <c r="G468" s="130"/>
      <c r="H468" s="130"/>
      <c r="I468" s="130"/>
      <c r="J468" s="130"/>
      <c r="K468" s="114"/>
      <c r="L468" s="114"/>
      <c r="M468" s="114"/>
    </row>
    <row r="469" customFormat="false" ht="18.75" hidden="false" customHeight="false" outlineLevel="0" collapsed="false">
      <c r="A469" s="114"/>
      <c r="B469" s="114"/>
      <c r="C469" s="114"/>
      <c r="D469" s="114"/>
      <c r="E469" s="114"/>
      <c r="F469" s="114"/>
      <c r="G469" s="130"/>
      <c r="H469" s="130"/>
      <c r="I469" s="130"/>
      <c r="J469" s="130"/>
      <c r="K469" s="114"/>
      <c r="L469" s="114"/>
      <c r="M469" s="114"/>
    </row>
    <row r="470" customFormat="false" ht="18.75" hidden="false" customHeight="false" outlineLevel="0" collapsed="false">
      <c r="A470" s="114"/>
      <c r="B470" s="114"/>
      <c r="C470" s="114"/>
      <c r="D470" s="114"/>
      <c r="E470" s="114"/>
      <c r="F470" s="114"/>
      <c r="G470" s="130"/>
      <c r="H470" s="130"/>
      <c r="I470" s="130"/>
      <c r="J470" s="130"/>
      <c r="K470" s="114"/>
      <c r="L470" s="114"/>
      <c r="M470" s="114"/>
    </row>
    <row r="471" customFormat="false" ht="18.75" hidden="false" customHeight="false" outlineLevel="0" collapsed="false">
      <c r="A471" s="114"/>
      <c r="B471" s="114"/>
      <c r="C471" s="114"/>
      <c r="D471" s="114"/>
      <c r="E471" s="114"/>
      <c r="F471" s="114"/>
      <c r="G471" s="130"/>
      <c r="H471" s="130"/>
      <c r="I471" s="130"/>
      <c r="J471" s="130"/>
      <c r="K471" s="114"/>
      <c r="L471" s="114"/>
      <c r="M471" s="114"/>
    </row>
    <row r="472" customFormat="false" ht="18.75" hidden="false" customHeight="false" outlineLevel="0" collapsed="false">
      <c r="A472" s="114"/>
      <c r="B472" s="114"/>
      <c r="C472" s="114"/>
      <c r="D472" s="114"/>
      <c r="E472" s="114"/>
      <c r="F472" s="114"/>
      <c r="G472" s="130"/>
      <c r="H472" s="130"/>
      <c r="I472" s="130"/>
      <c r="J472" s="130"/>
      <c r="K472" s="114"/>
      <c r="L472" s="114"/>
      <c r="M472" s="114"/>
    </row>
    <row r="473" customFormat="false" ht="18.75" hidden="false" customHeight="false" outlineLevel="0" collapsed="false">
      <c r="A473" s="114"/>
      <c r="B473" s="114"/>
      <c r="C473" s="114"/>
      <c r="D473" s="114"/>
      <c r="E473" s="114"/>
      <c r="F473" s="114"/>
      <c r="G473" s="130"/>
      <c r="H473" s="130"/>
      <c r="I473" s="130"/>
      <c r="J473" s="130"/>
      <c r="K473" s="114"/>
      <c r="L473" s="114"/>
      <c r="M473" s="114"/>
    </row>
    <row r="474" customFormat="false" ht="18.75" hidden="false" customHeight="false" outlineLevel="0" collapsed="false">
      <c r="A474" s="114"/>
      <c r="B474" s="114"/>
      <c r="C474" s="114"/>
      <c r="D474" s="114"/>
      <c r="E474" s="114"/>
      <c r="F474" s="114"/>
      <c r="G474" s="130"/>
      <c r="H474" s="130"/>
      <c r="I474" s="130"/>
      <c r="J474" s="130"/>
      <c r="K474" s="114"/>
      <c r="L474" s="114"/>
      <c r="M474" s="114"/>
    </row>
    <row r="475" customFormat="false" ht="18.75" hidden="false" customHeight="false" outlineLevel="0" collapsed="false">
      <c r="A475" s="114"/>
      <c r="B475" s="114"/>
      <c r="C475" s="114"/>
      <c r="D475" s="114"/>
      <c r="E475" s="114"/>
      <c r="F475" s="114"/>
      <c r="G475" s="130"/>
      <c r="H475" s="130"/>
      <c r="I475" s="130"/>
      <c r="J475" s="130"/>
      <c r="K475" s="114"/>
      <c r="L475" s="114"/>
      <c r="M475" s="114"/>
    </row>
    <row r="476" customFormat="false" ht="18.75" hidden="false" customHeight="false" outlineLevel="0" collapsed="false">
      <c r="A476" s="114"/>
      <c r="B476" s="114"/>
      <c r="C476" s="114"/>
      <c r="D476" s="114"/>
      <c r="E476" s="114"/>
      <c r="F476" s="114"/>
      <c r="G476" s="130"/>
      <c r="H476" s="130"/>
      <c r="I476" s="130"/>
      <c r="J476" s="130"/>
      <c r="K476" s="114"/>
      <c r="L476" s="114"/>
      <c r="M476" s="114"/>
    </row>
    <row r="477" customFormat="false" ht="18.75" hidden="false" customHeight="false" outlineLevel="0" collapsed="false">
      <c r="A477" s="114"/>
      <c r="B477" s="114"/>
      <c r="C477" s="114"/>
      <c r="D477" s="114"/>
      <c r="E477" s="114"/>
      <c r="F477" s="114"/>
      <c r="G477" s="130"/>
      <c r="H477" s="130"/>
      <c r="I477" s="130"/>
      <c r="J477" s="130"/>
      <c r="K477" s="114"/>
      <c r="L477" s="114"/>
      <c r="M477" s="114"/>
    </row>
    <row r="478" customFormat="false" ht="18.75" hidden="false" customHeight="false" outlineLevel="0" collapsed="false">
      <c r="A478" s="114"/>
      <c r="B478" s="114"/>
      <c r="C478" s="114"/>
      <c r="D478" s="114"/>
      <c r="E478" s="114"/>
      <c r="F478" s="114"/>
      <c r="G478" s="130"/>
      <c r="H478" s="130"/>
      <c r="I478" s="130"/>
      <c r="J478" s="130"/>
      <c r="K478" s="114"/>
      <c r="L478" s="114"/>
      <c r="M478" s="114"/>
    </row>
    <row r="479" customFormat="false" ht="18.75" hidden="false" customHeight="false" outlineLevel="0" collapsed="false">
      <c r="A479" s="114"/>
      <c r="B479" s="114"/>
      <c r="C479" s="114"/>
      <c r="D479" s="114"/>
      <c r="E479" s="114"/>
      <c r="F479" s="114"/>
      <c r="G479" s="130"/>
      <c r="H479" s="130"/>
      <c r="I479" s="130"/>
      <c r="J479" s="130"/>
      <c r="K479" s="114"/>
      <c r="L479" s="114"/>
      <c r="M479" s="114"/>
    </row>
    <row r="480" customFormat="false" ht="18.75" hidden="false" customHeight="false" outlineLevel="0" collapsed="false">
      <c r="A480" s="114"/>
      <c r="B480" s="114"/>
      <c r="C480" s="114"/>
      <c r="D480" s="114"/>
      <c r="E480" s="114"/>
      <c r="F480" s="114"/>
      <c r="G480" s="130"/>
      <c r="H480" s="130"/>
      <c r="I480" s="130"/>
      <c r="J480" s="130"/>
      <c r="K480" s="114"/>
      <c r="L480" s="114"/>
      <c r="M480" s="114"/>
    </row>
    <row r="481" customFormat="false" ht="18.75" hidden="false" customHeight="false" outlineLevel="0" collapsed="false">
      <c r="A481" s="114"/>
      <c r="B481" s="114"/>
      <c r="C481" s="114"/>
      <c r="D481" s="114"/>
      <c r="E481" s="114"/>
      <c r="F481" s="114"/>
      <c r="G481" s="130"/>
      <c r="H481" s="130"/>
      <c r="I481" s="130"/>
      <c r="J481" s="130"/>
      <c r="K481" s="114"/>
      <c r="L481" s="114"/>
      <c r="M481" s="114"/>
    </row>
    <row r="482" customFormat="false" ht="18.75" hidden="false" customHeight="false" outlineLevel="0" collapsed="false">
      <c r="A482" s="114"/>
      <c r="B482" s="114"/>
      <c r="C482" s="114"/>
      <c r="D482" s="114"/>
      <c r="E482" s="114"/>
      <c r="F482" s="114"/>
      <c r="G482" s="130"/>
      <c r="H482" s="130"/>
      <c r="I482" s="130"/>
      <c r="J482" s="130"/>
      <c r="K482" s="114"/>
      <c r="L482" s="114"/>
      <c r="M482" s="114"/>
    </row>
    <row r="483" customFormat="false" ht="18.75" hidden="false" customHeight="false" outlineLevel="0" collapsed="false">
      <c r="A483" s="114"/>
      <c r="B483" s="114"/>
      <c r="C483" s="114"/>
      <c r="D483" s="114"/>
      <c r="E483" s="114"/>
      <c r="F483" s="114"/>
      <c r="G483" s="130"/>
      <c r="H483" s="130"/>
      <c r="I483" s="130"/>
      <c r="J483" s="130"/>
      <c r="K483" s="114"/>
      <c r="L483" s="114"/>
      <c r="M483" s="114"/>
    </row>
    <row r="484" customFormat="false" ht="18.75" hidden="false" customHeight="false" outlineLevel="0" collapsed="false">
      <c r="A484" s="114"/>
      <c r="B484" s="114"/>
      <c r="C484" s="114"/>
      <c r="D484" s="114"/>
      <c r="E484" s="114"/>
      <c r="F484" s="114"/>
      <c r="G484" s="130"/>
      <c r="H484" s="130"/>
      <c r="I484" s="130"/>
      <c r="J484" s="130"/>
      <c r="K484" s="114"/>
      <c r="L484" s="114"/>
      <c r="M484" s="114"/>
    </row>
    <row r="485" customFormat="false" ht="18.75" hidden="false" customHeight="false" outlineLevel="0" collapsed="false">
      <c r="A485" s="114"/>
      <c r="B485" s="114"/>
      <c r="C485" s="114"/>
      <c r="D485" s="114"/>
      <c r="E485" s="114"/>
      <c r="F485" s="114"/>
      <c r="G485" s="130"/>
      <c r="H485" s="130"/>
      <c r="I485" s="130"/>
      <c r="J485" s="130"/>
      <c r="K485" s="114"/>
      <c r="L485" s="114"/>
      <c r="M485" s="114"/>
    </row>
    <row r="486" customFormat="false" ht="18.75" hidden="false" customHeight="false" outlineLevel="0" collapsed="false">
      <c r="A486" s="114"/>
      <c r="B486" s="114"/>
      <c r="C486" s="114"/>
      <c r="D486" s="114"/>
      <c r="E486" s="114"/>
      <c r="F486" s="114"/>
      <c r="G486" s="130"/>
      <c r="H486" s="130"/>
      <c r="I486" s="130"/>
      <c r="J486" s="130"/>
      <c r="K486" s="114"/>
      <c r="L486" s="114"/>
      <c r="M486" s="114"/>
    </row>
    <row r="487" customFormat="false" ht="18.75" hidden="false" customHeight="false" outlineLevel="0" collapsed="false">
      <c r="A487" s="114"/>
      <c r="B487" s="114"/>
      <c r="C487" s="114"/>
      <c r="D487" s="114"/>
      <c r="E487" s="114"/>
      <c r="F487" s="114"/>
      <c r="G487" s="130"/>
      <c r="H487" s="130"/>
      <c r="I487" s="130"/>
      <c r="J487" s="130"/>
      <c r="K487" s="114"/>
      <c r="L487" s="114"/>
      <c r="M487" s="114"/>
    </row>
    <row r="488" customFormat="false" ht="18.75" hidden="false" customHeight="false" outlineLevel="0" collapsed="false">
      <c r="A488" s="114"/>
      <c r="B488" s="114"/>
      <c r="C488" s="114"/>
      <c r="D488" s="114"/>
      <c r="E488" s="114"/>
      <c r="F488" s="114"/>
      <c r="G488" s="130"/>
      <c r="H488" s="130"/>
      <c r="I488" s="130"/>
      <c r="J488" s="130"/>
      <c r="K488" s="114"/>
      <c r="L488" s="114"/>
      <c r="M488" s="114"/>
    </row>
    <row r="489" customFormat="false" ht="18.75" hidden="false" customHeight="false" outlineLevel="0" collapsed="false">
      <c r="A489" s="114"/>
      <c r="B489" s="114"/>
      <c r="C489" s="114"/>
      <c r="D489" s="114"/>
      <c r="E489" s="114"/>
      <c r="F489" s="114"/>
      <c r="G489" s="130"/>
      <c r="H489" s="130"/>
      <c r="I489" s="130"/>
      <c r="J489" s="130"/>
      <c r="K489" s="114"/>
      <c r="L489" s="114"/>
      <c r="M489" s="114"/>
    </row>
    <row r="490" customFormat="false" ht="18.75" hidden="false" customHeight="false" outlineLevel="0" collapsed="false">
      <c r="A490" s="114"/>
      <c r="B490" s="114"/>
      <c r="C490" s="114"/>
      <c r="D490" s="114"/>
      <c r="E490" s="114"/>
      <c r="F490" s="114"/>
      <c r="G490" s="130"/>
      <c r="H490" s="130"/>
      <c r="I490" s="130"/>
      <c r="J490" s="130"/>
      <c r="K490" s="114"/>
      <c r="L490" s="114"/>
      <c r="M490" s="114"/>
    </row>
    <row r="491" customFormat="false" ht="18.75" hidden="false" customHeight="false" outlineLevel="0" collapsed="false">
      <c r="A491" s="114"/>
      <c r="B491" s="114"/>
      <c r="C491" s="114"/>
      <c r="D491" s="114"/>
      <c r="E491" s="114"/>
      <c r="F491" s="114"/>
      <c r="G491" s="130"/>
      <c r="H491" s="130"/>
      <c r="I491" s="130"/>
      <c r="J491" s="130"/>
      <c r="K491" s="114"/>
      <c r="L491" s="114"/>
      <c r="M491" s="114"/>
    </row>
    <row r="492" customFormat="false" ht="18.75" hidden="false" customHeight="false" outlineLevel="0" collapsed="false">
      <c r="A492" s="114"/>
      <c r="B492" s="114"/>
      <c r="C492" s="114"/>
      <c r="D492" s="114"/>
      <c r="E492" s="114"/>
      <c r="F492" s="114"/>
      <c r="G492" s="130"/>
      <c r="H492" s="130"/>
      <c r="I492" s="130"/>
      <c r="J492" s="130"/>
      <c r="K492" s="114"/>
      <c r="L492" s="114"/>
      <c r="M492" s="114"/>
    </row>
    <row r="493" customFormat="false" ht="18.75" hidden="false" customHeight="false" outlineLevel="0" collapsed="false">
      <c r="A493" s="114"/>
      <c r="B493" s="114"/>
      <c r="C493" s="114"/>
      <c r="D493" s="114"/>
      <c r="E493" s="114"/>
      <c r="F493" s="114"/>
      <c r="G493" s="130"/>
      <c r="H493" s="130"/>
      <c r="I493" s="130"/>
      <c r="J493" s="130"/>
      <c r="K493" s="114"/>
      <c r="L493" s="114"/>
      <c r="M493" s="114"/>
    </row>
    <row r="494" customFormat="false" ht="18.75" hidden="false" customHeight="false" outlineLevel="0" collapsed="false">
      <c r="A494" s="114"/>
      <c r="B494" s="114"/>
      <c r="C494" s="114"/>
      <c r="D494" s="114"/>
      <c r="E494" s="114"/>
      <c r="F494" s="114"/>
      <c r="G494" s="130"/>
      <c r="H494" s="130"/>
      <c r="I494" s="130"/>
      <c r="J494" s="130"/>
      <c r="K494" s="114"/>
      <c r="L494" s="114"/>
      <c r="M494" s="114"/>
    </row>
    <row r="495" customFormat="false" ht="18.75" hidden="false" customHeight="false" outlineLevel="0" collapsed="false">
      <c r="A495" s="114"/>
      <c r="B495" s="114"/>
      <c r="C495" s="114"/>
      <c r="D495" s="114"/>
      <c r="E495" s="114"/>
      <c r="F495" s="114"/>
      <c r="G495" s="130"/>
      <c r="H495" s="130"/>
      <c r="I495" s="130"/>
      <c r="J495" s="130"/>
      <c r="K495" s="114"/>
      <c r="L495" s="114"/>
      <c r="M495" s="114"/>
    </row>
    <row r="496" customFormat="false" ht="18.75" hidden="false" customHeight="false" outlineLevel="0" collapsed="false">
      <c r="A496" s="114"/>
      <c r="B496" s="114"/>
      <c r="C496" s="114"/>
      <c r="D496" s="114"/>
      <c r="E496" s="114"/>
      <c r="F496" s="114"/>
      <c r="G496" s="130"/>
      <c r="H496" s="130"/>
      <c r="I496" s="130"/>
      <c r="J496" s="130"/>
      <c r="K496" s="114"/>
      <c r="L496" s="114"/>
      <c r="M496" s="114"/>
    </row>
    <row r="497" customFormat="false" ht="18.75" hidden="false" customHeight="false" outlineLevel="0" collapsed="false">
      <c r="A497" s="114"/>
      <c r="B497" s="114"/>
      <c r="C497" s="114"/>
      <c r="D497" s="114"/>
      <c r="E497" s="114"/>
      <c r="F497" s="114"/>
      <c r="G497" s="130"/>
      <c r="H497" s="130"/>
      <c r="I497" s="130"/>
      <c r="J497" s="130"/>
      <c r="K497" s="114"/>
      <c r="L497" s="114"/>
      <c r="M497" s="114"/>
    </row>
    <row r="498" customFormat="false" ht="18.75" hidden="false" customHeight="false" outlineLevel="0" collapsed="false">
      <c r="A498" s="114"/>
      <c r="B498" s="114"/>
      <c r="C498" s="114"/>
      <c r="D498" s="114"/>
      <c r="E498" s="114"/>
      <c r="F498" s="114"/>
      <c r="G498" s="130"/>
      <c r="H498" s="130"/>
      <c r="I498" s="130"/>
      <c r="J498" s="130"/>
      <c r="K498" s="114"/>
      <c r="L498" s="114"/>
      <c r="M498" s="114"/>
    </row>
    <row r="499" customFormat="false" ht="18.75" hidden="false" customHeight="false" outlineLevel="0" collapsed="false">
      <c r="A499" s="114"/>
      <c r="B499" s="114"/>
      <c r="C499" s="114"/>
      <c r="D499" s="114"/>
      <c r="E499" s="114"/>
      <c r="F499" s="114"/>
      <c r="G499" s="130"/>
      <c r="H499" s="130"/>
      <c r="I499" s="130"/>
      <c r="J499" s="130"/>
      <c r="K499" s="114"/>
      <c r="L499" s="114"/>
      <c r="M499" s="114"/>
    </row>
    <row r="500" customFormat="false" ht="18.75" hidden="false" customHeight="false" outlineLevel="0" collapsed="false">
      <c r="A500" s="114"/>
      <c r="B500" s="114"/>
      <c r="C500" s="114"/>
      <c r="D500" s="114"/>
      <c r="E500" s="114"/>
      <c r="F500" s="114"/>
      <c r="G500" s="130"/>
      <c r="H500" s="130"/>
      <c r="I500" s="130"/>
      <c r="J500" s="130"/>
      <c r="K500" s="114"/>
      <c r="L500" s="114"/>
      <c r="M500" s="114"/>
    </row>
    <row r="501" customFormat="false" ht="18.75" hidden="false" customHeight="false" outlineLevel="0" collapsed="false">
      <c r="A501" s="114"/>
      <c r="B501" s="114"/>
      <c r="C501" s="114"/>
      <c r="D501" s="114"/>
      <c r="E501" s="114"/>
      <c r="F501" s="114"/>
      <c r="G501" s="130"/>
      <c r="H501" s="130"/>
      <c r="I501" s="130"/>
      <c r="J501" s="130"/>
      <c r="K501" s="114"/>
      <c r="L501" s="114"/>
      <c r="M501" s="114"/>
    </row>
    <row r="502" customFormat="false" ht="18.75" hidden="false" customHeight="false" outlineLevel="0" collapsed="false">
      <c r="A502" s="114"/>
      <c r="B502" s="114"/>
      <c r="C502" s="114"/>
      <c r="D502" s="114"/>
      <c r="E502" s="114"/>
      <c r="F502" s="114"/>
      <c r="G502" s="130"/>
      <c r="H502" s="130"/>
      <c r="I502" s="130"/>
      <c r="J502" s="130"/>
      <c r="K502" s="114"/>
      <c r="L502" s="114"/>
      <c r="M502" s="114"/>
    </row>
    <row r="503" customFormat="false" ht="18.75" hidden="false" customHeight="false" outlineLevel="0" collapsed="false">
      <c r="A503" s="114"/>
      <c r="B503" s="114"/>
      <c r="C503" s="114"/>
      <c r="D503" s="114"/>
      <c r="E503" s="114"/>
      <c r="F503" s="114"/>
      <c r="G503" s="130"/>
      <c r="H503" s="130"/>
      <c r="I503" s="130"/>
      <c r="J503" s="130"/>
      <c r="K503" s="114"/>
      <c r="L503" s="114"/>
      <c r="M503" s="114"/>
    </row>
    <row r="504" customFormat="false" ht="18.75" hidden="false" customHeight="false" outlineLevel="0" collapsed="false">
      <c r="A504" s="114"/>
      <c r="B504" s="114"/>
      <c r="C504" s="114"/>
      <c r="D504" s="114"/>
      <c r="E504" s="114"/>
      <c r="F504" s="114"/>
      <c r="G504" s="130"/>
      <c r="H504" s="130"/>
      <c r="I504" s="130"/>
      <c r="J504" s="130"/>
      <c r="K504" s="114"/>
      <c r="L504" s="114"/>
      <c r="M504" s="114"/>
    </row>
    <row r="505" customFormat="false" ht="18.75" hidden="false" customHeight="false" outlineLevel="0" collapsed="false">
      <c r="A505" s="114"/>
      <c r="B505" s="114"/>
      <c r="C505" s="114"/>
      <c r="D505" s="114"/>
      <c r="E505" s="114"/>
      <c r="F505" s="114"/>
      <c r="G505" s="130"/>
      <c r="H505" s="130"/>
      <c r="I505" s="130"/>
      <c r="J505" s="130"/>
      <c r="K505" s="114"/>
      <c r="L505" s="114"/>
      <c r="M505" s="114"/>
    </row>
    <row r="506" customFormat="false" ht="18.75" hidden="false" customHeight="false" outlineLevel="0" collapsed="false">
      <c r="A506" s="114"/>
      <c r="B506" s="114"/>
      <c r="C506" s="114"/>
      <c r="D506" s="114"/>
      <c r="E506" s="114"/>
      <c r="F506" s="114"/>
      <c r="G506" s="130"/>
      <c r="H506" s="130"/>
      <c r="I506" s="130"/>
      <c r="J506" s="130"/>
      <c r="K506" s="114"/>
      <c r="L506" s="114"/>
      <c r="M506" s="114"/>
    </row>
    <row r="507" customFormat="false" ht="18.75" hidden="false" customHeight="false" outlineLevel="0" collapsed="false">
      <c r="A507" s="114"/>
      <c r="B507" s="114"/>
      <c r="C507" s="114"/>
      <c r="D507" s="114"/>
      <c r="E507" s="114"/>
      <c r="F507" s="114"/>
      <c r="G507" s="130"/>
      <c r="H507" s="130"/>
      <c r="I507" s="130"/>
      <c r="J507" s="130"/>
      <c r="K507" s="114"/>
      <c r="L507" s="114"/>
      <c r="M507" s="114"/>
    </row>
    <row r="508" customFormat="false" ht="18.75" hidden="false" customHeight="false" outlineLevel="0" collapsed="false">
      <c r="A508" s="114"/>
      <c r="B508" s="114"/>
      <c r="C508" s="114"/>
      <c r="D508" s="114"/>
      <c r="E508" s="114"/>
      <c r="F508" s="114"/>
      <c r="G508" s="130"/>
      <c r="H508" s="130"/>
      <c r="I508" s="130"/>
      <c r="J508" s="130"/>
      <c r="K508" s="114"/>
      <c r="L508" s="114"/>
      <c r="M508" s="114"/>
    </row>
    <row r="509" customFormat="false" ht="18.75" hidden="false" customHeight="false" outlineLevel="0" collapsed="false">
      <c r="A509" s="114"/>
      <c r="B509" s="114"/>
      <c r="C509" s="114"/>
      <c r="D509" s="114"/>
      <c r="E509" s="114"/>
      <c r="F509" s="114"/>
      <c r="G509" s="130"/>
      <c r="H509" s="130"/>
      <c r="I509" s="130"/>
      <c r="J509" s="130"/>
      <c r="K509" s="114"/>
      <c r="L509" s="114"/>
      <c r="M509" s="114"/>
    </row>
    <row r="510" customFormat="false" ht="18.75" hidden="false" customHeight="false" outlineLevel="0" collapsed="false">
      <c r="A510" s="114"/>
      <c r="B510" s="114"/>
      <c r="C510" s="114"/>
      <c r="D510" s="114"/>
      <c r="E510" s="114"/>
      <c r="F510" s="114"/>
      <c r="G510" s="130"/>
      <c r="H510" s="130"/>
      <c r="I510" s="130"/>
      <c r="J510" s="130"/>
      <c r="K510" s="114"/>
      <c r="L510" s="114"/>
      <c r="M510" s="114"/>
    </row>
    <row r="511" customFormat="false" ht="18.75" hidden="false" customHeight="false" outlineLevel="0" collapsed="false">
      <c r="A511" s="114"/>
      <c r="B511" s="114"/>
      <c r="C511" s="114"/>
      <c r="D511" s="114"/>
      <c r="E511" s="114"/>
      <c r="F511" s="114"/>
      <c r="G511" s="130"/>
      <c r="H511" s="130"/>
      <c r="I511" s="130"/>
      <c r="J511" s="130"/>
      <c r="K511" s="114"/>
      <c r="L511" s="114"/>
      <c r="M511" s="114"/>
    </row>
    <row r="512" customFormat="false" ht="18.75" hidden="false" customHeight="false" outlineLevel="0" collapsed="false">
      <c r="A512" s="114"/>
      <c r="B512" s="114"/>
      <c r="C512" s="114"/>
      <c r="D512" s="114"/>
      <c r="E512" s="114"/>
      <c r="F512" s="114"/>
      <c r="G512" s="130"/>
      <c r="H512" s="130"/>
      <c r="I512" s="130"/>
      <c r="J512" s="130"/>
      <c r="K512" s="114"/>
      <c r="L512" s="114"/>
      <c r="M512" s="114"/>
    </row>
    <row r="513" customFormat="false" ht="18.75" hidden="false" customHeight="false" outlineLevel="0" collapsed="false">
      <c r="A513" s="114"/>
      <c r="B513" s="114"/>
      <c r="C513" s="114"/>
      <c r="D513" s="114"/>
      <c r="E513" s="114"/>
      <c r="F513" s="114"/>
      <c r="G513" s="130"/>
      <c r="H513" s="130"/>
      <c r="I513" s="130"/>
      <c r="J513" s="130"/>
      <c r="K513" s="114"/>
      <c r="L513" s="114"/>
      <c r="M513" s="114"/>
    </row>
    <row r="514" customFormat="false" ht="18.75" hidden="false" customHeight="false" outlineLevel="0" collapsed="false">
      <c r="A514" s="114"/>
      <c r="B514" s="114"/>
      <c r="C514" s="114"/>
      <c r="D514" s="114"/>
      <c r="E514" s="114"/>
      <c r="F514" s="114"/>
      <c r="G514" s="130"/>
      <c r="H514" s="130"/>
      <c r="I514" s="130"/>
      <c r="J514" s="130"/>
      <c r="K514" s="114"/>
      <c r="L514" s="114"/>
      <c r="M514" s="114"/>
    </row>
    <row r="515" customFormat="false" ht="18.75" hidden="false" customHeight="false" outlineLevel="0" collapsed="false">
      <c r="A515" s="114"/>
      <c r="B515" s="114"/>
      <c r="C515" s="114"/>
      <c r="D515" s="114"/>
      <c r="E515" s="114"/>
      <c r="F515" s="114"/>
      <c r="G515" s="130"/>
      <c r="H515" s="130"/>
      <c r="I515" s="130"/>
      <c r="J515" s="130"/>
      <c r="K515" s="114"/>
      <c r="L515" s="114"/>
      <c r="M515" s="114"/>
    </row>
    <row r="516" customFormat="false" ht="18.75" hidden="false" customHeight="false" outlineLevel="0" collapsed="false">
      <c r="A516" s="114"/>
      <c r="B516" s="114"/>
      <c r="C516" s="114"/>
      <c r="D516" s="114"/>
      <c r="E516" s="114"/>
      <c r="F516" s="114"/>
      <c r="G516" s="130"/>
      <c r="H516" s="130"/>
      <c r="I516" s="130"/>
      <c r="J516" s="130"/>
      <c r="K516" s="114"/>
      <c r="L516" s="114"/>
      <c r="M516" s="114"/>
    </row>
    <row r="517" customFormat="false" ht="18.75" hidden="false" customHeight="false" outlineLevel="0" collapsed="false">
      <c r="A517" s="114"/>
      <c r="B517" s="114"/>
      <c r="C517" s="114"/>
      <c r="D517" s="114"/>
      <c r="E517" s="114"/>
      <c r="F517" s="114"/>
      <c r="G517" s="130"/>
      <c r="H517" s="130"/>
      <c r="I517" s="130"/>
      <c r="J517" s="130"/>
      <c r="K517" s="114"/>
      <c r="L517" s="114"/>
      <c r="M517" s="114"/>
    </row>
    <row r="518" customFormat="false" ht="18.75" hidden="false" customHeight="false" outlineLevel="0" collapsed="false">
      <c r="A518" s="114"/>
      <c r="B518" s="114"/>
      <c r="C518" s="114"/>
      <c r="D518" s="114"/>
      <c r="E518" s="114"/>
      <c r="F518" s="114"/>
      <c r="G518" s="130"/>
      <c r="H518" s="130"/>
      <c r="I518" s="130"/>
      <c r="J518" s="130"/>
      <c r="K518" s="114"/>
      <c r="L518" s="114"/>
      <c r="M518" s="114"/>
    </row>
    <row r="519" customFormat="false" ht="18.75" hidden="false" customHeight="false" outlineLevel="0" collapsed="false">
      <c r="A519" s="114"/>
      <c r="B519" s="114"/>
      <c r="C519" s="114"/>
      <c r="D519" s="114"/>
      <c r="E519" s="114"/>
      <c r="F519" s="114"/>
      <c r="G519" s="130"/>
      <c r="H519" s="130"/>
      <c r="I519" s="130"/>
      <c r="J519" s="130"/>
      <c r="K519" s="114"/>
      <c r="L519" s="114"/>
      <c r="M519" s="114"/>
    </row>
    <row r="520" customFormat="false" ht="18.75" hidden="false" customHeight="false" outlineLevel="0" collapsed="false">
      <c r="A520" s="114"/>
      <c r="B520" s="114"/>
      <c r="C520" s="114"/>
      <c r="D520" s="114"/>
      <c r="E520" s="114"/>
      <c r="F520" s="114"/>
      <c r="G520" s="130"/>
      <c r="H520" s="130"/>
      <c r="I520" s="130"/>
      <c r="J520" s="130"/>
      <c r="K520" s="114"/>
      <c r="L520" s="114"/>
      <c r="M520" s="114"/>
    </row>
    <row r="521" customFormat="false" ht="18.75" hidden="false" customHeight="false" outlineLevel="0" collapsed="false">
      <c r="A521" s="114"/>
      <c r="B521" s="114"/>
      <c r="C521" s="114"/>
      <c r="D521" s="114"/>
      <c r="E521" s="114"/>
      <c r="F521" s="114"/>
      <c r="G521" s="130"/>
      <c r="H521" s="130"/>
      <c r="I521" s="130"/>
      <c r="J521" s="130"/>
      <c r="K521" s="114"/>
      <c r="L521" s="114"/>
      <c r="M521" s="114"/>
    </row>
    <row r="522" customFormat="false" ht="18.75" hidden="false" customHeight="false" outlineLevel="0" collapsed="false">
      <c r="A522" s="114"/>
      <c r="B522" s="114"/>
      <c r="C522" s="114"/>
      <c r="D522" s="114"/>
      <c r="E522" s="114"/>
      <c r="F522" s="114"/>
      <c r="G522" s="130"/>
      <c r="H522" s="130"/>
      <c r="I522" s="130"/>
      <c r="J522" s="130"/>
      <c r="K522" s="114"/>
      <c r="L522" s="114"/>
      <c r="M522" s="114"/>
    </row>
    <row r="523" customFormat="false" ht="18.75" hidden="false" customHeight="false" outlineLevel="0" collapsed="false">
      <c r="A523" s="114"/>
      <c r="B523" s="114"/>
      <c r="C523" s="114"/>
      <c r="D523" s="114"/>
      <c r="E523" s="114"/>
      <c r="F523" s="114"/>
      <c r="G523" s="130"/>
      <c r="H523" s="130"/>
      <c r="I523" s="130"/>
      <c r="J523" s="130"/>
      <c r="K523" s="114"/>
      <c r="L523" s="114"/>
      <c r="M523" s="114"/>
    </row>
    <row r="524" customFormat="false" ht="18.75" hidden="false" customHeight="false" outlineLevel="0" collapsed="false">
      <c r="A524" s="114"/>
      <c r="B524" s="114"/>
      <c r="C524" s="114"/>
      <c r="D524" s="114"/>
      <c r="E524" s="114"/>
      <c r="F524" s="114"/>
      <c r="G524" s="130"/>
      <c r="H524" s="130"/>
      <c r="I524" s="130"/>
      <c r="J524" s="130"/>
      <c r="K524" s="114"/>
      <c r="L524" s="114"/>
      <c r="M524" s="114"/>
    </row>
    <row r="525" customFormat="false" ht="18.75" hidden="false" customHeight="false" outlineLevel="0" collapsed="false">
      <c r="A525" s="114"/>
      <c r="B525" s="114"/>
      <c r="C525" s="114"/>
      <c r="D525" s="114"/>
      <c r="E525" s="114"/>
      <c r="F525" s="114"/>
      <c r="G525" s="130"/>
      <c r="H525" s="130"/>
      <c r="I525" s="130"/>
      <c r="J525" s="130"/>
      <c r="K525" s="114"/>
      <c r="L525" s="114"/>
      <c r="M525" s="114"/>
    </row>
    <row r="526" customFormat="false" ht="18.75" hidden="false" customHeight="false" outlineLevel="0" collapsed="false">
      <c r="A526" s="114"/>
      <c r="D526" s="114"/>
      <c r="E526" s="114"/>
      <c r="H526" s="130"/>
      <c r="I526" s="130"/>
      <c r="J526" s="130"/>
      <c r="K526" s="114"/>
      <c r="L526" s="114"/>
      <c r="M526" s="1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9.1484375" defaultRowHeight="15.75" zeroHeight="false" outlineLevelRow="0" outlineLevelCol="0"/>
  <cols>
    <col collapsed="false" customWidth="true" hidden="false" outlineLevel="0" max="1" min="1" style="13" width="4.57"/>
    <col collapsed="false" customWidth="true" hidden="false" outlineLevel="0" max="2" min="2" style="13" width="59.43"/>
    <col collapsed="false" customWidth="true" hidden="false" outlineLevel="0" max="3" min="3" style="13" width="11.29"/>
    <col collapsed="false" customWidth="false" hidden="false" outlineLevel="0" max="4" min="4" style="13" width="9.14"/>
    <col collapsed="false" customWidth="true" hidden="false" outlineLevel="0" max="5" min="5" style="13" width="13.15"/>
    <col collapsed="false" customWidth="true" hidden="false" outlineLevel="0" max="6" min="6" style="13" width="9.57"/>
    <col collapsed="false" customWidth="true" hidden="false" outlineLevel="0" max="7" min="7" style="13" width="12.15"/>
    <col collapsed="false" customWidth="true" hidden="false" outlineLevel="0" max="8" min="8" style="13" width="12.42"/>
    <col collapsed="false" customWidth="true" hidden="false" outlineLevel="0" max="9" min="9" style="13" width="12"/>
    <col collapsed="false" customWidth="true" hidden="false" outlineLevel="0" max="10" min="10" style="13" width="10.14"/>
    <col collapsed="false" customWidth="true" hidden="false" outlineLevel="0" max="11" min="11" style="13" width="12.71"/>
    <col collapsed="false" customWidth="true" hidden="false" outlineLevel="0" max="12" min="12" style="13" width="15"/>
    <col collapsed="false" customWidth="false" hidden="false" outlineLevel="0" max="16384" min="13" style="13" width="9.14"/>
  </cols>
  <sheetData>
    <row r="1" customFormat="false" ht="15.75" hidden="false" customHeight="false" outlineLevel="0" collapsed="false">
      <c r="A1" s="14" t="s">
        <v>35</v>
      </c>
      <c r="B1" s="15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42</v>
      </c>
      <c r="I1" s="14" t="s">
        <v>43</v>
      </c>
      <c r="J1" s="14" t="s">
        <v>44</v>
      </c>
      <c r="K1" s="14"/>
    </row>
    <row r="2" customFormat="false" ht="15.75" hidden="false" customHeight="false" outlineLevel="0" collapsed="false">
      <c r="A2" s="14" t="n">
        <v>1</v>
      </c>
      <c r="B2" s="16" t="s">
        <v>51</v>
      </c>
      <c r="C2" s="166"/>
      <c r="D2" s="166"/>
      <c r="E2" s="166"/>
      <c r="F2" s="166"/>
      <c r="G2" s="166"/>
      <c r="H2" s="14"/>
      <c r="I2" s="14"/>
      <c r="J2" s="14"/>
      <c r="K2" s="16" t="n">
        <v>84564973</v>
      </c>
      <c r="L2" s="13" t="n">
        <v>1575434</v>
      </c>
    </row>
    <row r="3" customFormat="false" ht="15.75" hidden="false" customHeight="false" outlineLevel="0" collapsed="false">
      <c r="A3" s="14" t="n">
        <v>2</v>
      </c>
      <c r="B3" s="16" t="s">
        <v>50</v>
      </c>
      <c r="C3" s="166"/>
      <c r="D3" s="166"/>
      <c r="E3" s="166"/>
      <c r="F3" s="166"/>
      <c r="G3" s="166"/>
      <c r="H3" s="14"/>
      <c r="I3" s="14"/>
      <c r="J3" s="14"/>
      <c r="K3" s="16" t="n">
        <v>72641824</v>
      </c>
    </row>
    <row r="4" customFormat="false" ht="15.75" hidden="false" customHeight="false" outlineLevel="0" collapsed="false">
      <c r="A4" s="14" t="n">
        <v>3</v>
      </c>
      <c r="B4" s="16" t="s">
        <v>52</v>
      </c>
      <c r="C4" s="166"/>
      <c r="D4" s="166"/>
      <c r="E4" s="166"/>
      <c r="F4" s="166"/>
      <c r="G4" s="166"/>
      <c r="H4" s="14"/>
      <c r="I4" s="14"/>
      <c r="J4" s="14"/>
      <c r="K4" s="16" t="n">
        <v>45313285</v>
      </c>
    </row>
    <row r="5" customFormat="false" ht="15.75" hidden="false" customHeight="false" outlineLevel="0" collapsed="false">
      <c r="A5" s="14" t="n">
        <v>4</v>
      </c>
      <c r="B5" s="16" t="s">
        <v>53</v>
      </c>
      <c r="C5" s="166"/>
      <c r="D5" s="166"/>
      <c r="E5" s="166"/>
      <c r="F5" s="166"/>
      <c r="G5" s="166"/>
      <c r="H5" s="14"/>
      <c r="I5" s="14"/>
      <c r="J5" s="14"/>
      <c r="K5" s="16" t="n">
        <v>100186</v>
      </c>
    </row>
    <row r="6" customFormat="false" ht="15.75" hidden="false" customHeight="false" outlineLevel="0" collapsed="false">
      <c r="A6" s="14" t="n">
        <v>5</v>
      </c>
      <c r="B6" s="16" t="s">
        <v>54</v>
      </c>
      <c r="C6" s="166"/>
      <c r="D6" s="166"/>
      <c r="E6" s="166"/>
      <c r="F6" s="166"/>
      <c r="G6" s="166"/>
      <c r="H6" s="14"/>
      <c r="I6" s="14"/>
      <c r="J6" s="14"/>
      <c r="K6" s="16" t="n">
        <v>86722119</v>
      </c>
    </row>
    <row r="7" customFormat="false" ht="15.75" hidden="false" customHeight="false" outlineLevel="0" collapsed="false">
      <c r="A7" s="14" t="n">
        <v>6</v>
      </c>
      <c r="B7" s="16" t="s">
        <v>45</v>
      </c>
      <c r="C7" s="166"/>
      <c r="D7" s="166"/>
      <c r="E7" s="166"/>
      <c r="F7" s="166"/>
      <c r="G7" s="166"/>
      <c r="H7" s="14"/>
      <c r="I7" s="14"/>
      <c r="J7" s="14"/>
      <c r="K7" s="16" t="n">
        <v>36275148</v>
      </c>
    </row>
    <row r="8" customFormat="false" ht="15.75" hidden="false" customHeight="false" outlineLevel="0" collapsed="false">
      <c r="A8" s="14" t="n">
        <v>7</v>
      </c>
      <c r="B8" s="16" t="s">
        <v>55</v>
      </c>
      <c r="C8" s="166"/>
      <c r="D8" s="166"/>
      <c r="E8" s="166"/>
      <c r="F8" s="166"/>
      <c r="G8" s="166"/>
      <c r="H8" s="14"/>
      <c r="I8" s="14"/>
      <c r="J8" s="14"/>
      <c r="K8" s="16" t="n">
        <v>35324962</v>
      </c>
    </row>
    <row r="9" customFormat="false" ht="17.25" hidden="false" customHeight="true" outlineLevel="0" collapsed="false">
      <c r="A9" s="14" t="n">
        <v>8</v>
      </c>
      <c r="B9" s="20" t="s">
        <v>56</v>
      </c>
      <c r="C9" s="166"/>
      <c r="D9" s="166"/>
      <c r="E9" s="166"/>
      <c r="F9" s="166"/>
      <c r="G9" s="166"/>
      <c r="H9" s="14"/>
      <c r="I9" s="14"/>
      <c r="J9" s="14"/>
      <c r="K9" s="16" t="n">
        <v>100186</v>
      </c>
    </row>
    <row r="10" customFormat="false" ht="15.75" hidden="false" customHeight="false" outlineLevel="0" collapsed="false">
      <c r="A10" s="14" t="n">
        <v>9</v>
      </c>
      <c r="B10" s="16" t="s">
        <v>57</v>
      </c>
      <c r="C10" s="166"/>
      <c r="D10" s="166"/>
      <c r="E10" s="166"/>
      <c r="F10" s="166"/>
      <c r="G10" s="166"/>
      <c r="H10" s="14"/>
      <c r="I10" s="14"/>
      <c r="J10" s="14"/>
      <c r="K10" s="16" t="n">
        <v>50995539</v>
      </c>
    </row>
    <row r="11" customFormat="false" ht="15.75" hidden="false" customHeight="false" outlineLevel="0" collapsed="false">
      <c r="A11" s="14" t="n">
        <v>10</v>
      </c>
      <c r="B11" s="167" t="s">
        <v>66</v>
      </c>
      <c r="C11" s="18" t="s">
        <v>510</v>
      </c>
      <c r="D11" s="166"/>
      <c r="E11" s="166"/>
      <c r="F11" s="166"/>
      <c r="G11" s="166"/>
      <c r="H11" s="14"/>
      <c r="I11" s="14"/>
      <c r="J11" s="14"/>
      <c r="K11" s="16" t="n">
        <v>100186</v>
      </c>
    </row>
    <row r="12" customFormat="false" ht="15.75" hidden="false" customHeight="false" outlineLevel="0" collapsed="false">
      <c r="A12" s="14" t="n">
        <v>11</v>
      </c>
      <c r="B12" s="167" t="s">
        <v>63</v>
      </c>
      <c r="C12" s="166"/>
      <c r="D12" s="166"/>
      <c r="E12" s="166"/>
      <c r="F12" s="166"/>
      <c r="G12" s="166"/>
      <c r="H12" s="14"/>
      <c r="I12" s="14"/>
      <c r="J12" s="14"/>
      <c r="K12" s="16" t="n">
        <v>23956654</v>
      </c>
    </row>
    <row r="13" customFormat="false" ht="15.75" hidden="false" customHeight="false" outlineLevel="0" collapsed="false">
      <c r="A13" s="14" t="n">
        <v>12</v>
      </c>
      <c r="B13" s="167" t="s">
        <v>64</v>
      </c>
      <c r="C13" s="18" t="s">
        <v>49</v>
      </c>
      <c r="D13" s="166"/>
      <c r="E13" s="166"/>
      <c r="F13" s="166"/>
      <c r="G13" s="166"/>
      <c r="H13" s="14"/>
      <c r="I13" s="14"/>
      <c r="J13" s="14"/>
      <c r="K13" s="16" t="n">
        <v>100186</v>
      </c>
    </row>
    <row r="14" customFormat="false" ht="15.75" hidden="false" customHeight="false" outlineLevel="0" collapsed="false">
      <c r="A14" s="14" t="n">
        <v>13</v>
      </c>
      <c r="B14" s="167" t="s">
        <v>60</v>
      </c>
      <c r="C14" s="166"/>
      <c r="D14" s="166"/>
      <c r="E14" s="166"/>
      <c r="F14" s="166"/>
      <c r="G14" s="166"/>
      <c r="H14" s="14"/>
      <c r="I14" s="14"/>
      <c r="J14" s="14"/>
      <c r="K14" s="16" t="n">
        <v>100186</v>
      </c>
    </row>
    <row r="15" s="171" customFormat="true" ht="15.75" hidden="false" customHeight="false" outlineLevel="0" collapsed="false">
      <c r="A15" s="168" t="n">
        <v>14</v>
      </c>
      <c r="B15" s="167" t="s">
        <v>61</v>
      </c>
      <c r="C15" s="169"/>
      <c r="D15" s="169"/>
      <c r="E15" s="169"/>
      <c r="F15" s="169"/>
      <c r="G15" s="169"/>
      <c r="H15" s="168"/>
      <c r="I15" s="168"/>
      <c r="J15" s="168"/>
      <c r="K15" s="170" t="n">
        <v>100186</v>
      </c>
    </row>
    <row r="16" customFormat="false" ht="15.75" hidden="false" customHeight="false" outlineLevel="0" collapsed="false">
      <c r="A16" s="14" t="n">
        <v>15</v>
      </c>
      <c r="B16" s="167" t="s">
        <v>58</v>
      </c>
      <c r="C16" s="18" t="s">
        <v>59</v>
      </c>
      <c r="D16" s="166"/>
      <c r="E16" s="166"/>
      <c r="F16" s="166"/>
      <c r="G16" s="166"/>
      <c r="H16" s="14"/>
      <c r="I16" s="14"/>
      <c r="J16" s="14"/>
      <c r="K16" s="16" t="n">
        <v>100186</v>
      </c>
    </row>
    <row r="17" customFormat="false" ht="15.75" hidden="false" customHeight="false" outlineLevel="0" collapsed="false">
      <c r="A17" s="14" t="n">
        <v>16</v>
      </c>
      <c r="B17" s="167" t="s">
        <v>46</v>
      </c>
      <c r="C17" s="166"/>
      <c r="D17" s="166"/>
      <c r="E17" s="166"/>
      <c r="F17" s="166"/>
      <c r="G17" s="166"/>
      <c r="H17" s="14"/>
      <c r="I17" s="14"/>
      <c r="J17" s="14"/>
      <c r="K17" s="16" t="n">
        <v>33979629</v>
      </c>
    </row>
    <row r="18" customFormat="false" ht="15.75" hidden="false" customHeight="false" outlineLevel="0" collapsed="false">
      <c r="A18" s="14" t="n">
        <v>17</v>
      </c>
      <c r="B18" s="167" t="s">
        <v>48</v>
      </c>
      <c r="C18" s="18" t="s">
        <v>49</v>
      </c>
      <c r="D18" s="166"/>
      <c r="E18" s="166"/>
      <c r="F18" s="166"/>
      <c r="G18" s="166"/>
      <c r="H18" s="14"/>
      <c r="I18" s="14"/>
      <c r="J18" s="14"/>
      <c r="K18" s="16" t="n">
        <v>33979629</v>
      </c>
    </row>
    <row r="19" customFormat="false" ht="15.75" hidden="false" customHeight="false" outlineLevel="0" collapsed="false">
      <c r="A19" s="14" t="n">
        <v>18</v>
      </c>
      <c r="B19" s="167" t="s">
        <v>511</v>
      </c>
      <c r="C19" s="18" t="s">
        <v>49</v>
      </c>
      <c r="D19" s="166"/>
      <c r="E19" s="166"/>
      <c r="F19" s="166"/>
      <c r="G19" s="166"/>
      <c r="H19" s="14"/>
      <c r="I19" s="14"/>
      <c r="J19" s="14"/>
      <c r="K19" s="16" t="n">
        <v>34406143</v>
      </c>
    </row>
    <row r="20" customFormat="false" ht="15.75" hidden="false" customHeight="false" outlineLevel="0" collapsed="false">
      <c r="A20" s="14" t="n">
        <v>19</v>
      </c>
      <c r="B20" s="167" t="s">
        <v>65</v>
      </c>
      <c r="C20" s="18" t="s">
        <v>49</v>
      </c>
      <c r="D20" s="166"/>
      <c r="E20" s="166"/>
      <c r="F20" s="166"/>
      <c r="G20" s="166"/>
      <c r="H20" s="14"/>
      <c r="I20" s="14"/>
      <c r="J20" s="14"/>
      <c r="K20" s="16" t="n">
        <v>100186</v>
      </c>
    </row>
    <row r="21" customFormat="false" ht="15.75" hidden="false" customHeight="false" outlineLevel="0" collapsed="false">
      <c r="A21" s="14" t="n">
        <v>20</v>
      </c>
      <c r="B21" s="167" t="s">
        <v>512</v>
      </c>
      <c r="C21" s="18" t="s">
        <v>49</v>
      </c>
      <c r="D21" s="172"/>
      <c r="E21" s="172"/>
      <c r="F21" s="172"/>
      <c r="G21" s="172" t="s">
        <v>500</v>
      </c>
      <c r="H21" s="23"/>
      <c r="I21" s="23"/>
      <c r="J21" s="23"/>
      <c r="K21" s="16" t="n">
        <v>100186</v>
      </c>
    </row>
    <row r="22" customFormat="false" ht="15.75" hidden="false" customHeight="false" outlineLevel="0" collapsed="false">
      <c r="A22" s="13" t="n">
        <v>21</v>
      </c>
      <c r="B22" s="167" t="s">
        <v>513</v>
      </c>
      <c r="C22" s="22"/>
      <c r="D22" s="172"/>
      <c r="E22" s="172"/>
      <c r="F22" s="22"/>
      <c r="G22" s="22"/>
      <c r="H22" s="23"/>
      <c r="I22" s="23"/>
      <c r="J22" s="23"/>
      <c r="K22" s="22" t="n">
        <v>14467934</v>
      </c>
    </row>
    <row r="23" customFormat="false" ht="15.75" hidden="false" customHeight="false" outlineLevel="0" collapsed="false">
      <c r="B23" s="173"/>
      <c r="K23" s="13" t="n">
        <v>79026958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1484375" defaultRowHeight="15.75" zeroHeight="false" outlineLevelRow="0" outlineLevelCol="0"/>
  <cols>
    <col collapsed="false" customWidth="true" hidden="false" outlineLevel="0" max="1" min="1" style="13" width="4.57"/>
    <col collapsed="false" customWidth="true" hidden="false" outlineLevel="0" max="2" min="2" style="13" width="57.42"/>
    <col collapsed="false" customWidth="true" hidden="false" outlineLevel="0" max="3" min="3" style="13" width="11.29"/>
    <col collapsed="false" customWidth="false" hidden="false" outlineLevel="0" max="4" min="4" style="13" width="9.14"/>
    <col collapsed="false" customWidth="true" hidden="false" outlineLevel="0" max="5" min="5" style="13" width="13.15"/>
    <col collapsed="false" customWidth="true" hidden="false" outlineLevel="0" max="6" min="6" style="13" width="9.57"/>
    <col collapsed="false" customWidth="true" hidden="false" outlineLevel="0" max="7" min="7" style="13" width="12.15"/>
    <col collapsed="false" customWidth="true" hidden="false" outlineLevel="0" max="8" min="8" style="13" width="12.42"/>
    <col collapsed="false" customWidth="true" hidden="false" outlineLevel="0" max="9" min="9" style="13" width="12"/>
    <col collapsed="false" customWidth="true" hidden="false" outlineLevel="0" max="10" min="10" style="13" width="10.14"/>
    <col collapsed="false" customWidth="true" hidden="false" outlineLevel="0" max="11" min="11" style="13" width="12.71"/>
    <col collapsed="false" customWidth="false" hidden="false" outlineLevel="0" max="16384" min="12" style="13" width="9.14"/>
  </cols>
  <sheetData>
    <row r="1" customFormat="false" ht="15.75" hidden="false" customHeight="false" outlineLevel="0" collapsed="false">
      <c r="A1" s="14" t="s">
        <v>35</v>
      </c>
      <c r="B1" s="15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42</v>
      </c>
      <c r="I1" s="14" t="s">
        <v>43</v>
      </c>
      <c r="J1" s="14" t="s">
        <v>44</v>
      </c>
      <c r="K1" s="14"/>
    </row>
    <row r="2" customFormat="false" ht="15.75" hidden="false" customHeight="false" outlineLevel="0" collapsed="false">
      <c r="A2" s="14" t="n">
        <v>1</v>
      </c>
      <c r="B2" s="16" t="s">
        <v>45</v>
      </c>
      <c r="C2" s="17"/>
      <c r="D2" s="17"/>
      <c r="E2" s="18"/>
      <c r="F2" s="18"/>
      <c r="G2" s="17"/>
      <c r="H2" s="18"/>
      <c r="I2" s="14"/>
      <c r="J2" s="14"/>
      <c r="K2" s="16" t="n">
        <v>36275148</v>
      </c>
    </row>
    <row r="3" customFormat="false" ht="15.75" hidden="false" customHeight="false" outlineLevel="0" collapsed="false">
      <c r="A3" s="14" t="n">
        <v>2</v>
      </c>
      <c r="B3" s="16" t="s">
        <v>46</v>
      </c>
      <c r="C3" s="17"/>
      <c r="D3" s="17"/>
      <c r="E3" s="18"/>
      <c r="F3" s="18"/>
      <c r="G3" s="17"/>
      <c r="H3" s="18"/>
      <c r="I3" s="14"/>
      <c r="J3" s="14"/>
      <c r="K3" s="16" t="n">
        <v>13540974</v>
      </c>
    </row>
    <row r="4" customFormat="false" ht="15.75" hidden="false" customHeight="false" outlineLevel="0" collapsed="false">
      <c r="A4" s="14" t="n">
        <v>3</v>
      </c>
      <c r="B4" s="16" t="s">
        <v>48</v>
      </c>
      <c r="C4" s="18" t="s">
        <v>49</v>
      </c>
      <c r="D4" s="17"/>
      <c r="E4" s="18"/>
      <c r="F4" s="18"/>
      <c r="G4" s="17"/>
      <c r="H4" s="18"/>
      <c r="I4" s="14"/>
      <c r="J4" s="14"/>
      <c r="K4" s="16" t="n">
        <v>33979629</v>
      </c>
    </row>
    <row r="5" customFormat="false" ht="15.75" hidden="false" customHeight="false" outlineLevel="0" collapsed="false">
      <c r="A5" s="14" t="n">
        <v>4</v>
      </c>
      <c r="B5" s="16" t="s">
        <v>50</v>
      </c>
      <c r="C5" s="17"/>
      <c r="D5" s="17"/>
      <c r="E5" s="18"/>
      <c r="F5" s="18"/>
      <c r="G5" s="17"/>
      <c r="H5" s="18"/>
      <c r="I5" s="14"/>
      <c r="J5" s="14"/>
      <c r="K5" s="16" t="n">
        <v>72641824</v>
      </c>
    </row>
    <row r="6" customFormat="false" ht="15.75" hidden="false" customHeight="false" outlineLevel="0" collapsed="false">
      <c r="A6" s="14" t="n">
        <v>5</v>
      </c>
      <c r="B6" s="16" t="s">
        <v>51</v>
      </c>
      <c r="C6" s="17"/>
      <c r="D6" s="17"/>
      <c r="E6" s="18"/>
      <c r="F6" s="18"/>
      <c r="G6" s="17"/>
      <c r="H6" s="18"/>
      <c r="I6" s="14"/>
      <c r="J6" s="14"/>
      <c r="K6" s="16" t="n">
        <v>84564973</v>
      </c>
    </row>
    <row r="7" customFormat="false" ht="15.75" hidden="false" customHeight="false" outlineLevel="0" collapsed="false">
      <c r="A7" s="14" t="n">
        <v>6</v>
      </c>
      <c r="B7" s="16" t="s">
        <v>52</v>
      </c>
      <c r="C7" s="17"/>
      <c r="D7" s="17"/>
      <c r="E7" s="18"/>
      <c r="F7" s="18"/>
      <c r="G7" s="17"/>
      <c r="H7" s="18"/>
      <c r="I7" s="14"/>
      <c r="J7" s="14"/>
      <c r="K7" s="16" t="n">
        <v>45313285</v>
      </c>
    </row>
    <row r="8" customFormat="false" ht="15.75" hidden="false" customHeight="false" outlineLevel="0" collapsed="false">
      <c r="A8" s="14" t="n">
        <v>7</v>
      </c>
      <c r="B8" s="16" t="s">
        <v>53</v>
      </c>
      <c r="C8" s="17"/>
      <c r="D8" s="17"/>
      <c r="E8" s="18"/>
      <c r="F8" s="18"/>
      <c r="G8" s="17"/>
      <c r="H8" s="18"/>
      <c r="I8" s="14"/>
      <c r="J8" s="14"/>
      <c r="K8" s="16" t="n">
        <v>88700206</v>
      </c>
    </row>
    <row r="9" customFormat="false" ht="15.75" hidden="false" customHeight="false" outlineLevel="0" collapsed="false">
      <c r="A9" s="14" t="n">
        <v>8</v>
      </c>
      <c r="B9" s="16" t="s">
        <v>54</v>
      </c>
      <c r="C9" s="17"/>
      <c r="D9" s="17"/>
      <c r="E9" s="18"/>
      <c r="F9" s="18"/>
      <c r="G9" s="17"/>
      <c r="H9" s="18"/>
      <c r="I9" s="14"/>
      <c r="J9" s="14"/>
      <c r="K9" s="16" t="n">
        <v>86722119</v>
      </c>
    </row>
    <row r="10" customFormat="false" ht="15.75" hidden="false" customHeight="false" outlineLevel="0" collapsed="false">
      <c r="A10" s="14" t="n">
        <v>9</v>
      </c>
      <c r="B10" s="16" t="s">
        <v>55</v>
      </c>
      <c r="C10" s="17"/>
      <c r="D10" s="17"/>
      <c r="E10" s="18"/>
      <c r="F10" s="18"/>
      <c r="G10" s="17"/>
      <c r="H10" s="18"/>
      <c r="I10" s="14"/>
      <c r="J10" s="14"/>
      <c r="K10" s="16" t="n">
        <v>35324962</v>
      </c>
    </row>
    <row r="11" customFormat="false" ht="17.25" hidden="false" customHeight="true" outlineLevel="0" collapsed="false">
      <c r="A11" s="14" t="n">
        <v>10</v>
      </c>
      <c r="B11" s="20" t="s">
        <v>56</v>
      </c>
      <c r="C11" s="17"/>
      <c r="D11" s="17"/>
      <c r="E11" s="18"/>
      <c r="F11" s="18"/>
      <c r="G11" s="17"/>
      <c r="H11" s="18"/>
      <c r="I11" s="14"/>
      <c r="J11" s="14"/>
      <c r="K11" s="16" t="n">
        <v>100186</v>
      </c>
    </row>
    <row r="12" customFormat="false" ht="15.75" hidden="false" customHeight="false" outlineLevel="0" collapsed="false">
      <c r="A12" s="14" t="n">
        <v>11</v>
      </c>
      <c r="B12" s="16" t="s">
        <v>57</v>
      </c>
      <c r="C12" s="17"/>
      <c r="D12" s="17"/>
      <c r="E12" s="18"/>
      <c r="F12" s="18"/>
      <c r="G12" s="17"/>
      <c r="H12" s="18"/>
      <c r="I12" s="14"/>
      <c r="J12" s="14"/>
      <c r="K12" s="16" t="n">
        <v>50995539</v>
      </c>
    </row>
    <row r="13" customFormat="false" ht="15.75" hidden="false" customHeight="false" outlineLevel="0" collapsed="false">
      <c r="A13" s="14" t="n">
        <v>12</v>
      </c>
      <c r="B13" s="16" t="s">
        <v>58</v>
      </c>
      <c r="C13" s="18" t="s">
        <v>59</v>
      </c>
      <c r="D13" s="17"/>
      <c r="E13" s="18"/>
      <c r="F13" s="18"/>
      <c r="G13" s="17"/>
      <c r="H13" s="18"/>
      <c r="I13" s="14"/>
      <c r="J13" s="14"/>
      <c r="K13" s="16" t="n">
        <v>100186</v>
      </c>
    </row>
    <row r="14" customFormat="false" ht="15.75" hidden="false" customHeight="false" outlineLevel="0" collapsed="false">
      <c r="A14" s="14" t="n">
        <v>13</v>
      </c>
      <c r="B14" s="16" t="s">
        <v>60</v>
      </c>
      <c r="C14" s="17"/>
      <c r="D14" s="17"/>
      <c r="E14" s="18"/>
      <c r="F14" s="18"/>
      <c r="G14" s="17"/>
      <c r="H14" s="18"/>
      <c r="I14" s="14"/>
      <c r="J14" s="14"/>
      <c r="K14" s="16" t="n">
        <v>100186</v>
      </c>
    </row>
    <row r="15" customFormat="false" ht="15.75" hidden="false" customHeight="false" outlineLevel="0" collapsed="false">
      <c r="A15" s="14" t="n">
        <v>14</v>
      </c>
      <c r="B15" s="16" t="s">
        <v>61</v>
      </c>
      <c r="C15" s="17"/>
      <c r="D15" s="17"/>
      <c r="E15" s="18"/>
      <c r="F15" s="18"/>
      <c r="G15" s="17"/>
      <c r="H15" s="18"/>
      <c r="I15" s="14"/>
      <c r="J15" s="14"/>
      <c r="K15" s="16" t="n">
        <v>100186</v>
      </c>
    </row>
    <row r="16" customFormat="false" ht="15.75" hidden="false" customHeight="false" outlineLevel="0" collapsed="false">
      <c r="A16" s="14" t="n">
        <v>15</v>
      </c>
      <c r="B16" s="16" t="s">
        <v>62</v>
      </c>
      <c r="C16" s="18" t="s">
        <v>49</v>
      </c>
      <c r="D16" s="17"/>
      <c r="E16" s="18"/>
      <c r="F16" s="18"/>
      <c r="G16" s="17"/>
      <c r="H16" s="18"/>
      <c r="I16" s="14"/>
      <c r="J16" s="14"/>
      <c r="K16" s="16" t="n">
        <v>34406143</v>
      </c>
    </row>
    <row r="17" customFormat="false" ht="15.75" hidden="false" customHeight="false" outlineLevel="0" collapsed="false">
      <c r="A17" s="14" t="n">
        <v>16</v>
      </c>
      <c r="B17" s="16" t="s">
        <v>63</v>
      </c>
      <c r="C17" s="17"/>
      <c r="D17" s="17"/>
      <c r="E17" s="18"/>
      <c r="F17" s="18"/>
      <c r="G17" s="17"/>
      <c r="H17" s="18"/>
      <c r="I17" s="14"/>
      <c r="J17" s="14"/>
      <c r="K17" s="16" t="n">
        <v>23956654</v>
      </c>
    </row>
    <row r="18" customFormat="false" ht="15.75" hidden="false" customHeight="false" outlineLevel="0" collapsed="false">
      <c r="A18" s="14" t="n">
        <v>17</v>
      </c>
      <c r="B18" s="16" t="s">
        <v>64</v>
      </c>
      <c r="C18" s="18" t="s">
        <v>49</v>
      </c>
      <c r="D18" s="17"/>
      <c r="E18" s="18"/>
      <c r="F18" s="18"/>
      <c r="G18" s="17"/>
      <c r="H18" s="18"/>
      <c r="I18" s="14"/>
      <c r="J18" s="14"/>
      <c r="K18" s="16" t="n">
        <v>100186</v>
      </c>
    </row>
    <row r="19" customFormat="false" ht="15.75" hidden="false" customHeight="false" outlineLevel="0" collapsed="false">
      <c r="A19" s="14" t="n">
        <v>18</v>
      </c>
      <c r="B19" s="16" t="s">
        <v>65</v>
      </c>
      <c r="C19" s="18" t="s">
        <v>49</v>
      </c>
      <c r="D19" s="17"/>
      <c r="E19" s="18"/>
      <c r="F19" s="18"/>
      <c r="G19" s="17"/>
      <c r="H19" s="18"/>
      <c r="I19" s="14"/>
      <c r="J19" s="14"/>
      <c r="K19" s="16" t="n">
        <v>100186</v>
      </c>
    </row>
    <row r="20" customFormat="false" ht="15.75" hidden="false" customHeight="false" outlineLevel="0" collapsed="false">
      <c r="A20" s="14" t="n">
        <v>19</v>
      </c>
      <c r="B20" s="16" t="s">
        <v>66</v>
      </c>
      <c r="C20" s="18" t="s">
        <v>49</v>
      </c>
      <c r="D20" s="17"/>
      <c r="E20" s="18"/>
      <c r="F20" s="18"/>
      <c r="G20" s="17"/>
      <c r="H20" s="18"/>
      <c r="I20" s="14"/>
      <c r="J20" s="14"/>
      <c r="K20" s="16" t="n">
        <v>100186</v>
      </c>
    </row>
    <row r="21" customFormat="false" ht="15.75" hidden="false" customHeight="false" outlineLevel="0" collapsed="false">
      <c r="A21" s="14" t="n">
        <v>20</v>
      </c>
      <c r="B21" s="16" t="n">
        <v>300821821</v>
      </c>
      <c r="C21" s="18" t="s">
        <v>49</v>
      </c>
      <c r="D21" s="21"/>
      <c r="E21" s="22"/>
      <c r="F21" s="22"/>
      <c r="G21" s="21"/>
      <c r="H21" s="22"/>
      <c r="I21" s="23"/>
      <c r="J21" s="23"/>
      <c r="K21" s="16" t="n">
        <v>100186</v>
      </c>
    </row>
    <row r="22" customFormat="false" ht="15.75" hidden="false" customHeight="false" outlineLevel="0" collapsed="false">
      <c r="A22" s="14" t="n">
        <v>21</v>
      </c>
      <c r="B22" s="16" t="s">
        <v>68</v>
      </c>
      <c r="C22" s="18" t="s">
        <v>69</v>
      </c>
      <c r="D22" s="18"/>
      <c r="E22" s="22"/>
      <c r="F22" s="22"/>
      <c r="G22" s="21"/>
      <c r="H22" s="22"/>
      <c r="I22" s="22"/>
      <c r="J22" s="22"/>
      <c r="K22" s="16" t="n">
        <v>100186</v>
      </c>
    </row>
    <row r="23" customFormat="false" ht="15.75" hidden="false" customHeight="false" outlineLevel="0" collapsed="false">
      <c r="A23" s="14" t="n">
        <v>22</v>
      </c>
      <c r="B23" s="20" t="s">
        <v>70</v>
      </c>
      <c r="C23" s="22"/>
      <c r="D23" s="21"/>
      <c r="E23" s="22"/>
      <c r="F23" s="22"/>
      <c r="G23" s="21"/>
      <c r="H23" s="22"/>
      <c r="I23" s="22"/>
      <c r="J23" s="22"/>
      <c r="K23" s="22" t="n">
        <v>100186</v>
      </c>
    </row>
  </sheetData>
  <mergeCells count="1">
    <mergeCell ref="C22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I478"/>
  <sheetViews>
    <sheetView showFormulas="false" showGridLines="true" showRowColHeaders="true" showZeros="true" rightToLeft="false" tabSelected="false" showOutlineSymbols="true" defaultGridColor="true" view="normal" topLeftCell="K1" colorId="64" zoomScale="85" zoomScaleNormal="85" zoomScalePageLayoutView="100" workbookViewId="0">
      <selection pane="topLeft" activeCell="AA5" activeCellId="0" sqref="AA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44" width="39.85"/>
    <col collapsed="false" customWidth="true" hidden="false" outlineLevel="0" max="3" min="3" style="44" width="16.57"/>
    <col collapsed="false" customWidth="true" hidden="false" outlineLevel="0" max="4" min="4" style="0" width="12.42"/>
    <col collapsed="false" customWidth="true" hidden="false" outlineLevel="0" max="5" min="5" style="44" width="20.57"/>
    <col collapsed="false" customWidth="true" hidden="false" outlineLevel="0" max="6" min="6" style="0" width="13.15"/>
    <col collapsed="false" customWidth="true" hidden="false" outlineLevel="0" max="7" min="7" style="0" width="10.85"/>
    <col collapsed="false" customWidth="true" hidden="false" outlineLevel="0" max="8" min="8" style="0" width="18.71"/>
    <col collapsed="false" customWidth="true" hidden="false" outlineLevel="0" max="9" min="9" style="0" width="13.57"/>
    <col collapsed="false" customWidth="true" hidden="false" outlineLevel="0" max="10" min="10" style="0" width="12.86"/>
    <col collapsed="false" customWidth="true" hidden="false" outlineLevel="0" max="11" min="11" style="0" width="15.57"/>
    <col collapsed="false" customWidth="true" hidden="false" outlineLevel="0" max="12" min="12" style="0" width="10.71"/>
    <col collapsed="false" customWidth="true" hidden="false" outlineLevel="0" max="13" min="13" style="0" width="11.29"/>
    <col collapsed="false" customWidth="true" hidden="false" outlineLevel="0" max="14" min="14" style="0" width="10.29"/>
    <col collapsed="false" customWidth="true" hidden="false" outlineLevel="0" max="15" min="15" style="0" width="7.86"/>
    <col collapsed="false" customWidth="true" hidden="false" outlineLevel="0" max="20" min="16" style="0" width="9.42"/>
    <col collapsed="false" customWidth="true" hidden="false" outlineLevel="0" max="21" min="21" style="0" width="9"/>
    <col collapsed="false" customWidth="true" hidden="false" outlineLevel="0" max="22" min="22" style="0" width="10.42"/>
    <col collapsed="false" customWidth="true" hidden="false" outlineLevel="0" max="23" min="23" style="0" width="18.29"/>
    <col collapsed="false" customWidth="true" hidden="false" outlineLevel="0" max="24" min="24" style="0" width="17.29"/>
    <col collapsed="false" customWidth="true" hidden="false" outlineLevel="0" max="25" min="25" style="0" width="16.14"/>
    <col collapsed="false" customWidth="true" hidden="false" outlineLevel="0" max="26" min="26" style="0" width="14.57"/>
    <col collapsed="false" customWidth="true" hidden="false" outlineLevel="0" max="27" min="27" style="0" width="15.71"/>
    <col collapsed="false" customWidth="true" hidden="false" outlineLevel="0" max="28" min="28" style="0" width="15"/>
    <col collapsed="false" customWidth="true" hidden="false" outlineLevel="0" max="29" min="29" style="0" width="12.86"/>
    <col collapsed="false" customWidth="true" hidden="false" outlineLevel="0" max="33" min="30" style="0" width="14"/>
    <col collapsed="false" customWidth="true" hidden="false" outlineLevel="0" max="34" min="34" style="0" width="13"/>
    <col collapsed="false" customWidth="true" hidden="false" outlineLevel="0" max="35" min="35" style="0" width="14.14"/>
  </cols>
  <sheetData>
    <row r="2" customFormat="false" ht="73.5" hidden="false" customHeight="true" outlineLevel="0" collapsed="false">
      <c r="A2" s="106" t="s">
        <v>35</v>
      </c>
      <c r="B2" s="107" t="s">
        <v>36</v>
      </c>
      <c r="C2" s="48" t="s">
        <v>206</v>
      </c>
      <c r="D2" s="107" t="s">
        <v>236</v>
      </c>
      <c r="E2" s="108" t="s">
        <v>243</v>
      </c>
      <c r="F2" s="108" t="s">
        <v>241</v>
      </c>
      <c r="G2" s="108" t="s">
        <v>514</v>
      </c>
      <c r="H2" s="108" t="s">
        <v>515</v>
      </c>
      <c r="I2" s="108" t="s">
        <v>516</v>
      </c>
      <c r="J2" s="108" t="s">
        <v>517</v>
      </c>
      <c r="K2" s="109" t="s">
        <v>518</v>
      </c>
      <c r="L2" s="111" t="s">
        <v>519</v>
      </c>
      <c r="M2" s="111" t="s">
        <v>520</v>
      </c>
      <c r="N2" s="111" t="s">
        <v>521</v>
      </c>
      <c r="O2" s="111" t="s">
        <v>522</v>
      </c>
      <c r="P2" s="111" t="s">
        <v>523</v>
      </c>
      <c r="Q2" s="111" t="s">
        <v>524</v>
      </c>
      <c r="R2" s="111" t="s">
        <v>525</v>
      </c>
      <c r="S2" s="111" t="s">
        <v>526</v>
      </c>
      <c r="T2" s="111" t="s">
        <v>527</v>
      </c>
      <c r="U2" s="111" t="s">
        <v>528</v>
      </c>
      <c r="V2" s="111" t="s">
        <v>529</v>
      </c>
      <c r="W2" s="111" t="s">
        <v>530</v>
      </c>
      <c r="X2" s="108" t="s">
        <v>531</v>
      </c>
      <c r="Y2" s="108" t="s">
        <v>532</v>
      </c>
      <c r="Z2" s="108" t="s">
        <v>533</v>
      </c>
      <c r="AA2" s="109" t="s">
        <v>534</v>
      </c>
      <c r="AB2" s="48" t="s">
        <v>535</v>
      </c>
      <c r="AC2" s="48" t="s">
        <v>536</v>
      </c>
      <c r="AD2" s="111" t="s">
        <v>537</v>
      </c>
      <c r="AE2" s="111" t="s">
        <v>538</v>
      </c>
      <c r="AF2" s="111" t="s">
        <v>539</v>
      </c>
      <c r="AG2" s="111" t="s">
        <v>540</v>
      </c>
      <c r="AH2" s="111" t="s">
        <v>541</v>
      </c>
    </row>
    <row r="3" customFormat="false" ht="17.35" hidden="false" customHeight="false" outlineLevel="0" collapsed="false">
      <c r="A3" s="112" t="n">
        <v>1</v>
      </c>
      <c r="B3" s="113" t="s">
        <v>248</v>
      </c>
      <c r="C3" s="114" t="s">
        <v>226</v>
      </c>
      <c r="D3" s="113" t="s">
        <v>238</v>
      </c>
      <c r="E3" s="115" t="n">
        <v>500000</v>
      </c>
      <c r="F3" s="113" t="s">
        <v>213</v>
      </c>
      <c r="G3" s="174"/>
      <c r="H3" s="174" t="n">
        <v>1</v>
      </c>
      <c r="I3" s="174"/>
      <c r="J3" s="174" t="n">
        <v>1</v>
      </c>
      <c r="K3" s="174" t="n">
        <v>1</v>
      </c>
      <c r="L3" s="175" t="n">
        <v>0.25</v>
      </c>
      <c r="M3" s="175" t="n">
        <v>0.25</v>
      </c>
      <c r="N3" s="175"/>
      <c r="O3" s="175" t="n">
        <v>1</v>
      </c>
      <c r="P3" s="175" t="n">
        <v>0.25</v>
      </c>
      <c r="Q3" s="175" t="n">
        <v>0.2</v>
      </c>
      <c r="R3" s="175" t="n">
        <v>0.2</v>
      </c>
      <c r="S3" s="175" t="n">
        <v>0.2</v>
      </c>
      <c r="T3" s="175" t="n">
        <v>0.2</v>
      </c>
      <c r="U3" s="175" t="n">
        <v>0.2</v>
      </c>
      <c r="V3" s="117" t="n">
        <v>0.5</v>
      </c>
      <c r="W3" s="176" t="n">
        <f aca="false">Таблица32[[#This Row],[Столбец7]]*Таблица32[[#This Row],[Ishga kelish nazoratchi2]]%</f>
        <v>0</v>
      </c>
      <c r="X3" s="177" t="n">
        <f aca="false">Таблица32[[#This Row],[Столбец7]]*Таблица32[[#This Row],[Ishga vaqtida kelish ketish]]%</f>
        <v>0</v>
      </c>
      <c r="Y3" s="177" t="n">
        <f aca="false">Таблица32[[#This Row],[Столбец7]]*Таблица32[[#This Row],[Ishga kelish bank klient]]%</f>
        <v>5000</v>
      </c>
      <c r="Z3" s="177" t="n">
        <f aca="false">Таблица32[[#This Row],[Столбец7]]*Таблица32[[#This Row],[Gruppa buxgalter]]%</f>
        <v>5000</v>
      </c>
      <c r="AA3" s="177" t="n">
        <f aca="false">Таблица32[[#This Row],[Столбец7]]*Таблица32[[#This Row],[Gruppa bank klient ]]%</f>
        <v>5000</v>
      </c>
      <c r="AB3" s="177" t="n">
        <f aca="false">Таблица32[[#This Row],[1c]]*Таблица32[[#This Row],[Столбец7]]/100</f>
        <v>5000</v>
      </c>
      <c r="AC3" s="178" t="n">
        <f aca="false">SUM(Таблица32[[#This Row],[Didox]:[ мехнат]],Таблица32[[#This Row],[Avtokameral]])*Таблица32[[#This Row],[Столбец7]]/100</f>
        <v>3750</v>
      </c>
      <c r="AD3" s="178" t="n">
        <f aca="false">SUM(Таблица32[[#This Row],[Pul oqimlari]:[Foyda va zarar]])*Таблица32[[#This Row],[Столбец7]]/100</f>
        <v>5000</v>
      </c>
      <c r="AE3" s="177" t="n">
        <f aca="false">Таблица32[[#This Row],[Столбец7]]*Таблица32[[#This Row],[Nazoratchi]]%</f>
        <v>2500</v>
      </c>
      <c r="AF3" s="177" t="n">
        <f aca="false">Таблица32[[#This Row],[Ishga vaqtida kelish nazoratchi]]+Таблица32[[#This Row],[Nazoratchi2]]</f>
        <v>2500</v>
      </c>
      <c r="AG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18750</v>
      </c>
      <c r="AH3" s="177" t="n">
        <f aca="false">Таблица32[[#This Row],[Ishga kelish bank klient3]]+Таблица32[[#This Row],[Gruppa bank klient 2]]</f>
        <v>10000</v>
      </c>
    </row>
    <row r="4" customFormat="false" ht="17.35" hidden="false" customHeight="false" outlineLevel="0" collapsed="false">
      <c r="A4" s="112" t="n">
        <v>2</v>
      </c>
      <c r="B4" s="113" t="s">
        <v>249</v>
      </c>
      <c r="C4" s="113" t="s">
        <v>224</v>
      </c>
      <c r="D4" s="113" t="s">
        <v>224</v>
      </c>
      <c r="E4" s="115" t="n">
        <v>700000</v>
      </c>
      <c r="F4" s="113" t="s">
        <v>210</v>
      </c>
      <c r="G4" s="174"/>
      <c r="H4" s="174" t="n">
        <v>1</v>
      </c>
      <c r="I4" s="174"/>
      <c r="J4" s="174"/>
      <c r="K4" s="174" t="n">
        <v>1</v>
      </c>
      <c r="L4" s="175" t="n">
        <v>-0.25</v>
      </c>
      <c r="M4" s="175" t="n">
        <v>0.25</v>
      </c>
      <c r="N4" s="175" t="n">
        <v>0.25</v>
      </c>
      <c r="O4" s="175"/>
      <c r="P4" s="175" t="n">
        <v>0.25</v>
      </c>
      <c r="Q4" s="175" t="n">
        <v>0</v>
      </c>
      <c r="R4" s="175" t="n">
        <v>0</v>
      </c>
      <c r="S4" s="175" t="n">
        <v>0</v>
      </c>
      <c r="T4" s="175" t="n">
        <v>0</v>
      </c>
      <c r="U4" s="175" t="n">
        <v>0</v>
      </c>
      <c r="V4" s="117"/>
      <c r="W4" s="176" t="n">
        <f aca="false">Таблица32[[#This Row],[Столбец7]]*Таблица32[[#This Row],[Ishga kelish nazoratchi2]]%</f>
        <v>0</v>
      </c>
      <c r="X4" s="177" t="n">
        <f aca="false">Таблица32[[#This Row],[Столбец7]]*Таблица32[[#This Row],[Ishga vaqtida kelish ketish]]%</f>
        <v>0</v>
      </c>
      <c r="Y4" s="177" t="n">
        <f aca="false">Таблица32[[#This Row],[Столбец7]]*Таблица32[[#This Row],[Ishga kelish bank klient]]%</f>
        <v>7000</v>
      </c>
      <c r="Z4" s="177" t="n">
        <f aca="false">Таблица32[[#This Row],[Столбец7]]*Таблица32[[#This Row],[Gruppa buxgalter]]%</f>
        <v>0</v>
      </c>
      <c r="AA4" s="177" t="n">
        <f aca="false">Таблица32[[#This Row],[Столбец7]]*Таблица32[[#This Row],[Gruppa bank klient ]]%</f>
        <v>7000</v>
      </c>
      <c r="AB4" s="177" t="n">
        <f aca="false">Таблица32[[#This Row],[1c]]*Таблица32[[#This Row],[Столбец7]]/100</f>
        <v>0</v>
      </c>
      <c r="AC4" s="178" t="n">
        <f aca="false">SUM(Таблица32[[#This Row],[Didox]:[ мехнат]],Таблица32[[#This Row],[Avtokameral]])*Таблица32[[#This Row],[Столбец7]]/100</f>
        <v>3500</v>
      </c>
      <c r="AD4" s="178" t="n">
        <f aca="false">SUM(Таблица32[[#This Row],[Pul oqimlari]:[Foyda va zarar]])*Таблица32[[#This Row],[Столбец7]]/100</f>
        <v>0</v>
      </c>
      <c r="AE4" s="177" t="n">
        <f aca="false">Таблица32[[#This Row],[Столбец7]]*Таблица32[[#This Row],[Nazoratchi]]%</f>
        <v>0</v>
      </c>
      <c r="AF4" s="177" t="n">
        <f aca="false">Таблица32[[#This Row],[Ishga vaqtida kelish nazoratchi]]+Таблица32[[#This Row],[Nazoratchi2]]</f>
        <v>0</v>
      </c>
      <c r="AG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3500</v>
      </c>
      <c r="AH4" s="177" t="n">
        <f aca="false">Таблица32[[#This Row],[Ishga kelish bank klient3]]+Таблица32[[#This Row],[Gruppa bank klient 2]]</f>
        <v>14000</v>
      </c>
    </row>
    <row r="5" customFormat="false" ht="17.35" hidden="false" customHeight="false" outlineLevel="0" collapsed="false">
      <c r="A5" s="112" t="n">
        <v>3</v>
      </c>
      <c r="B5" s="113" t="s">
        <v>174</v>
      </c>
      <c r="C5" s="113" t="s">
        <v>208</v>
      </c>
      <c r="D5" s="113" t="s">
        <v>224</v>
      </c>
      <c r="E5" s="119" t="n">
        <v>700000</v>
      </c>
      <c r="F5" s="113" t="s">
        <v>210</v>
      </c>
      <c r="G5" s="174"/>
      <c r="H5" s="174" t="n">
        <v>1</v>
      </c>
      <c r="I5" s="179"/>
      <c r="J5" s="174" t="n">
        <v>1</v>
      </c>
      <c r="K5" s="174" t="n">
        <v>-0.5</v>
      </c>
      <c r="L5" s="175" t="n">
        <v>0.25</v>
      </c>
      <c r="M5" s="175" t="n">
        <v>0.25</v>
      </c>
      <c r="N5" s="175"/>
      <c r="O5" s="175"/>
      <c r="P5" s="175" t="n">
        <v>0.25</v>
      </c>
      <c r="Q5" s="175" t="n">
        <v>0</v>
      </c>
      <c r="R5" s="175" t="n">
        <v>0.2</v>
      </c>
      <c r="S5" s="175" t="n">
        <v>0.2</v>
      </c>
      <c r="T5" s="175" t="n">
        <v>0.2</v>
      </c>
      <c r="U5" s="175" t="n">
        <v>0</v>
      </c>
      <c r="V5" s="117" t="n">
        <v>0.5</v>
      </c>
      <c r="W5" s="176" t="n">
        <f aca="false">Таблица32[[#This Row],[Столбец7]]*Таблица32[[#This Row],[Ishga kelish nazoratchi2]]%</f>
        <v>0</v>
      </c>
      <c r="X5" s="177" t="n">
        <f aca="false">Таблица32[[#This Row],[Столбец7]]*Таблица32[[#This Row],[Ishga vaqtida kelish ketish]]%</f>
        <v>0</v>
      </c>
      <c r="Y5" s="177" t="n">
        <f aca="false">Таблица32[[#This Row],[Столбец7]]*Таблица32[[#This Row],[Ishga kelish bank klient]]%</f>
        <v>7000</v>
      </c>
      <c r="Z5" s="177" t="n">
        <f aca="false">Таблица32[[#This Row],[Столбец7]]*Таблица32[[#This Row],[Gruppa buxgalter]]%</f>
        <v>7000</v>
      </c>
      <c r="AA5" s="177" t="n">
        <f aca="false">Таблица32[[#This Row],[Столбец7]]*Таблица32[[#This Row],[Gruppa bank klient ]]%</f>
        <v>-3500</v>
      </c>
      <c r="AB5" s="177" t="n">
        <f aca="false">Таблица32[[#This Row],[1c]]*Таблица32[[#This Row],[Столбец7]]/100</f>
        <v>0</v>
      </c>
      <c r="AC5" s="178" t="n">
        <f aca="false">SUM(Таблица32[[#This Row],[Didox]:[ мехнат]],Таблица32[[#This Row],[Avtokameral]])*Таблица32[[#This Row],[Столбец7]]/100</f>
        <v>5250</v>
      </c>
      <c r="AD5" s="178" t="n">
        <f aca="false">SUM(Таблица32[[#This Row],[Pul oqimlari]:[Foyda va zarar]])*Таблица32[[#This Row],[Столбец7]]/100</f>
        <v>4200</v>
      </c>
      <c r="AE5" s="177" t="n">
        <f aca="false">Таблица32[[#This Row],[Столбец7]]*Таблица32[[#This Row],[Nazoratchi]]%</f>
        <v>3500</v>
      </c>
      <c r="AF5" s="177" t="n">
        <f aca="false">Таблица32[[#This Row],[Ishga vaqtida kelish nazoratchi]]+Таблица32[[#This Row],[Nazoratchi2]]</f>
        <v>3500</v>
      </c>
      <c r="AG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16450</v>
      </c>
      <c r="AH5" s="177" t="n">
        <f aca="false">Таблица32[[#This Row],[Ishga kelish bank klient3]]+Таблица32[[#This Row],[Gruppa bank klient 2]]</f>
        <v>3500</v>
      </c>
    </row>
    <row r="6" customFormat="false" ht="17.35" hidden="false" customHeight="false" outlineLevel="0" collapsed="false">
      <c r="A6" s="112" t="n">
        <v>4</v>
      </c>
      <c r="B6" s="113" t="s">
        <v>175</v>
      </c>
      <c r="C6" s="113" t="s">
        <v>224</v>
      </c>
      <c r="D6" s="113" t="s">
        <v>224</v>
      </c>
      <c r="E6" s="115" t="n">
        <v>700000</v>
      </c>
      <c r="F6" s="113" t="s">
        <v>210</v>
      </c>
      <c r="G6" s="174"/>
      <c r="H6" s="174" t="n">
        <v>1</v>
      </c>
      <c r="I6" s="179"/>
      <c r="J6" s="174"/>
      <c r="K6" s="174" t="n">
        <v>1</v>
      </c>
      <c r="L6" s="175" t="n">
        <v>0.25</v>
      </c>
      <c r="M6" s="175" t="n">
        <v>0.25</v>
      </c>
      <c r="N6" s="175" t="n">
        <v>0.25</v>
      </c>
      <c r="O6" s="175"/>
      <c r="P6" s="175" t="n">
        <v>0.25</v>
      </c>
      <c r="Q6" s="175" t="n">
        <v>0</v>
      </c>
      <c r="R6" s="175" t="n">
        <v>0</v>
      </c>
      <c r="S6" s="175" t="n">
        <v>0</v>
      </c>
      <c r="T6" s="175" t="n">
        <v>0</v>
      </c>
      <c r="U6" s="175" t="n">
        <v>0</v>
      </c>
      <c r="V6" s="117"/>
      <c r="W6" s="176" t="n">
        <f aca="false">Таблица32[[#This Row],[Столбец7]]*Таблица32[[#This Row],[Ishga kelish nazoratchi2]]%</f>
        <v>0</v>
      </c>
      <c r="X6" s="177" t="n">
        <f aca="false">Таблица32[[#This Row],[Столбец7]]*Таблица32[[#This Row],[Ishga vaqtida kelish ketish]]%</f>
        <v>0</v>
      </c>
      <c r="Y6" s="177" t="n">
        <f aca="false">Таблица32[[#This Row],[Столбец7]]*Таблица32[[#This Row],[Ishga kelish bank klient]]%</f>
        <v>7000</v>
      </c>
      <c r="Z6" s="177" t="n">
        <f aca="false">Таблица32[[#This Row],[Столбец7]]*Таблица32[[#This Row],[Gruppa buxgalter]]%</f>
        <v>0</v>
      </c>
      <c r="AA6" s="177" t="n">
        <f aca="false">Таблица32[[#This Row],[Столбец7]]*Таблица32[[#This Row],[Gruppa bank klient ]]%</f>
        <v>7000</v>
      </c>
      <c r="AB6" s="177" t="n">
        <f aca="false">Таблица32[[#This Row],[1c]]*Таблица32[[#This Row],[Столбец7]]/100</f>
        <v>0</v>
      </c>
      <c r="AC6" s="178" t="n">
        <f aca="false">SUM(Таблица32[[#This Row],[Didox]:[ мехнат]],Таблица32[[#This Row],[Avtokameral]])*Таблица32[[#This Row],[Столбец7]]/100</f>
        <v>7000</v>
      </c>
      <c r="AD6" s="178" t="n">
        <f aca="false">SUM(Таблица32[[#This Row],[Pul oqimlari]:[Foyda va zarar]])*Таблица32[[#This Row],[Столбец7]]/100</f>
        <v>0</v>
      </c>
      <c r="AE6" s="177" t="n">
        <f aca="false">Таблица32[[#This Row],[Столбец7]]*Таблица32[[#This Row],[Nazoratchi]]%</f>
        <v>0</v>
      </c>
      <c r="AF6" s="177" t="n">
        <f aca="false">Таблица32[[#This Row],[Ishga vaqtida kelish nazoratchi]]+Таблица32[[#This Row],[Nazoratchi2]]</f>
        <v>0</v>
      </c>
      <c r="AG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7000</v>
      </c>
      <c r="AH6" s="177" t="n">
        <f aca="false">Таблица32[[#This Row],[Ishga kelish bank klient3]]+Таблица32[[#This Row],[Gruppa bank klient 2]]</f>
        <v>14000</v>
      </c>
    </row>
    <row r="7" customFormat="false" ht="17.35" hidden="false" customHeight="false" outlineLevel="0" collapsed="false">
      <c r="A7" s="112" t="n">
        <v>5</v>
      </c>
      <c r="B7" s="113" t="s">
        <v>178</v>
      </c>
      <c r="C7" s="113" t="s">
        <v>210</v>
      </c>
      <c r="D7" s="113"/>
      <c r="E7" s="115" t="n">
        <v>0</v>
      </c>
      <c r="F7" s="113" t="s">
        <v>213</v>
      </c>
      <c r="G7" s="174" t="n">
        <v>0.05</v>
      </c>
      <c r="H7" s="174"/>
      <c r="I7" s="174"/>
      <c r="J7" s="174" t="n">
        <v>1</v>
      </c>
      <c r="K7" s="174"/>
      <c r="L7" s="175" t="n">
        <v>0</v>
      </c>
      <c r="M7" s="175" t="n">
        <v>0</v>
      </c>
      <c r="N7" s="175"/>
      <c r="O7" s="175"/>
      <c r="P7" s="175" t="n">
        <v>0</v>
      </c>
      <c r="Q7" s="175" t="n">
        <v>0</v>
      </c>
      <c r="R7" s="175" t="n">
        <v>0</v>
      </c>
      <c r="S7" s="175" t="n">
        <v>0</v>
      </c>
      <c r="T7" s="175" t="n">
        <v>0</v>
      </c>
      <c r="U7" s="175" t="n">
        <v>0</v>
      </c>
      <c r="V7" s="174" t="n">
        <v>0.5</v>
      </c>
      <c r="W7" s="176" t="n">
        <f aca="false">Таблица32[[#This Row],[Столбец7]]*Таблица32[[#This Row],[Ishga kelish nazoratchi2]]%</f>
        <v>0</v>
      </c>
      <c r="X7" s="177" t="n">
        <f aca="false">Таблица32[[#This Row],[Столбец7]]*Таблица32[[#This Row],[Ishga vaqtida kelish ketish]]%</f>
        <v>0</v>
      </c>
      <c r="Y7" s="177" t="n">
        <f aca="false">Таблица32[[#This Row],[Столбец7]]*Таблица32[[#This Row],[Ishga kelish bank klient]]%</f>
        <v>0</v>
      </c>
      <c r="Z7" s="177" t="n">
        <f aca="false">Таблица32[[#This Row],[Столбец7]]*Таблица32[[#This Row],[Gruppa buxgalter]]%</f>
        <v>0</v>
      </c>
      <c r="AA7" s="177" t="n">
        <f aca="false">Таблица32[[#This Row],[Столбец7]]*Таблица32[[#This Row],[Gruppa bank klient ]]%</f>
        <v>0</v>
      </c>
      <c r="AB7" s="177" t="n">
        <f aca="false">Таблица32[[#This Row],[1c]]*Таблица32[[#This Row],[Столбец7]]/100</f>
        <v>0</v>
      </c>
      <c r="AC7" s="178" t="n">
        <f aca="false">SUM(Таблица32[[#This Row],[Didox]:[ мехнат]],Таблица32[[#This Row],[Avtokameral]])*Таблица32[[#This Row],[Столбец7]]/100</f>
        <v>0</v>
      </c>
      <c r="AD7" s="178" t="n">
        <f aca="false">SUM(Таблица32[[#This Row],[Pul oqimlari]:[Foyda va zarar]])*Таблица32[[#This Row],[Столбец7]]/100</f>
        <v>0</v>
      </c>
      <c r="AE7" s="177" t="n">
        <f aca="false">Таблица32[[#This Row],[Столбец7]]*Таблица32[[#This Row],[Nazoratchi]]%</f>
        <v>0</v>
      </c>
      <c r="AF7" s="177" t="n">
        <f aca="false">Таблица32[[#This Row],[Ishga vaqtida kelish nazoratchi]]+Таблица32[[#This Row],[Nazoratchi2]]</f>
        <v>0</v>
      </c>
      <c r="AG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7" s="177" t="n">
        <f aca="false">Таблица32[[#This Row],[Ishga kelish bank klient3]]+Таблица32[[#This Row],[Gruppa bank klient 2]]</f>
        <v>0</v>
      </c>
    </row>
    <row r="8" customFormat="false" ht="17.35" hidden="false" customHeight="false" outlineLevel="0" collapsed="false">
      <c r="A8" s="112" t="n">
        <v>6</v>
      </c>
      <c r="B8" s="120" t="s">
        <v>184</v>
      </c>
      <c r="C8" s="113" t="s">
        <v>208</v>
      </c>
      <c r="D8" s="113" t="s">
        <v>224</v>
      </c>
      <c r="E8" s="119" t="n">
        <v>700000</v>
      </c>
      <c r="F8" s="113" t="s">
        <v>210</v>
      </c>
      <c r="G8" s="174"/>
      <c r="H8" s="174" t="n">
        <v>1</v>
      </c>
      <c r="I8" s="174"/>
      <c r="J8" s="174" t="n">
        <v>1</v>
      </c>
      <c r="K8" s="174" t="n">
        <v>1</v>
      </c>
      <c r="L8" s="175" t="n">
        <v>0.25</v>
      </c>
      <c r="M8" s="175" t="n">
        <v>0.25</v>
      </c>
      <c r="N8" s="175"/>
      <c r="O8" s="175"/>
      <c r="P8" s="175" t="n">
        <v>0.25</v>
      </c>
      <c r="Q8" s="175" t="n">
        <v>0</v>
      </c>
      <c r="R8" s="175" t="n">
        <v>0.2</v>
      </c>
      <c r="S8" s="175" t="n">
        <v>0.2</v>
      </c>
      <c r="T8" s="175" t="n">
        <v>0.2</v>
      </c>
      <c r="U8" s="175" t="n">
        <v>0</v>
      </c>
      <c r="V8" s="117" t="n">
        <v>0.5</v>
      </c>
      <c r="W8" s="176" t="n">
        <f aca="false">Таблица32[[#This Row],[Столбец7]]*Таблица32[[#This Row],[Ishga kelish nazoratchi2]]%</f>
        <v>0</v>
      </c>
      <c r="X8" s="177" t="n">
        <f aca="false">Таблица32[[#This Row],[Столбец7]]*Таблица32[[#This Row],[Ishga vaqtida kelish ketish]]%</f>
        <v>0</v>
      </c>
      <c r="Y8" s="177" t="n">
        <f aca="false">Таблица32[[#This Row],[Столбец7]]*Таблица32[[#This Row],[Ishga kelish bank klient]]%</f>
        <v>7000</v>
      </c>
      <c r="Z8" s="177" t="n">
        <f aca="false">Таблица32[[#This Row],[Столбец7]]*Таблица32[[#This Row],[Gruppa buxgalter]]%</f>
        <v>7000</v>
      </c>
      <c r="AA8" s="177" t="n">
        <f aca="false">Таблица32[[#This Row],[Столбец7]]*Таблица32[[#This Row],[Gruppa bank klient ]]%</f>
        <v>7000</v>
      </c>
      <c r="AB8" s="177" t="n">
        <f aca="false">Таблица32[[#This Row],[1c]]*Таблица32[[#This Row],[Столбец7]]/100</f>
        <v>0</v>
      </c>
      <c r="AC8" s="178" t="n">
        <f aca="false">SUM(Таблица32[[#This Row],[Didox]:[ мехнат]],Таблица32[[#This Row],[Avtokameral]])*Таблица32[[#This Row],[Столбец7]]/100</f>
        <v>5250</v>
      </c>
      <c r="AD8" s="178" t="n">
        <f aca="false">SUM(Таблица32[[#This Row],[Pul oqimlari]:[Foyda va zarar]])*Таблица32[[#This Row],[Столбец7]]/100</f>
        <v>4200</v>
      </c>
      <c r="AE8" s="177" t="n">
        <f aca="false">Таблица32[[#This Row],[Столбец7]]*Таблица32[[#This Row],[Nazoratchi]]%</f>
        <v>3500</v>
      </c>
      <c r="AF8" s="177" t="n">
        <f aca="false">Таблица32[[#This Row],[Ishga vaqtida kelish nazoratchi]]+Таблица32[[#This Row],[Nazoratchi2]]</f>
        <v>3500</v>
      </c>
      <c r="AG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16450</v>
      </c>
      <c r="AH8" s="177" t="n">
        <f aca="false">Таблица32[[#This Row],[Ishga kelish bank klient3]]+Таблица32[[#This Row],[Gruppa bank klient 2]]</f>
        <v>14000</v>
      </c>
    </row>
    <row r="9" customFormat="false" ht="17.35" hidden="false" customHeight="false" outlineLevel="0" collapsed="false">
      <c r="A9" s="112" t="n">
        <v>7</v>
      </c>
      <c r="B9" s="113" t="s">
        <v>190</v>
      </c>
      <c r="C9" s="113" t="s">
        <v>224</v>
      </c>
      <c r="D9" s="113" t="s">
        <v>224</v>
      </c>
      <c r="E9" s="115" t="n">
        <v>700000</v>
      </c>
      <c r="F9" s="113" t="s">
        <v>210</v>
      </c>
      <c r="G9" s="174"/>
      <c r="H9" s="174" t="n">
        <v>1</v>
      </c>
      <c r="I9" s="179"/>
      <c r="J9" s="174"/>
      <c r="K9" s="174" t="n">
        <v>1</v>
      </c>
      <c r="L9" s="175" t="n">
        <v>0.25</v>
      </c>
      <c r="M9" s="175" t="n">
        <v>0.25</v>
      </c>
      <c r="N9" s="175"/>
      <c r="O9" s="175"/>
      <c r="P9" s="175" t="n">
        <v>0.25</v>
      </c>
      <c r="Q9" s="175" t="n">
        <v>0</v>
      </c>
      <c r="R9" s="175" t="n">
        <v>0</v>
      </c>
      <c r="S9" s="175" t="n">
        <v>0</v>
      </c>
      <c r="T9" s="175" t="n">
        <v>0</v>
      </c>
      <c r="U9" s="175" t="n">
        <v>0</v>
      </c>
      <c r="V9" s="117"/>
      <c r="W9" s="176" t="n">
        <f aca="false">Таблица32[[#This Row],[Столбец7]]*Таблица32[[#This Row],[Ishga kelish nazoratchi2]]%</f>
        <v>0</v>
      </c>
      <c r="X9" s="177" t="n">
        <f aca="false">Таблица32[[#This Row],[Столбец7]]*Таблица32[[#This Row],[Ishga vaqtida kelish ketish]]%</f>
        <v>0</v>
      </c>
      <c r="Y9" s="177" t="n">
        <f aca="false">Таблица32[[#This Row],[Столбец7]]*Таблица32[[#This Row],[Ishga kelish bank klient]]%</f>
        <v>7000</v>
      </c>
      <c r="Z9" s="177" t="n">
        <f aca="false">Таблица32[[#This Row],[Столбец7]]*Таблица32[[#This Row],[Gruppa buxgalter]]%</f>
        <v>0</v>
      </c>
      <c r="AA9" s="177" t="n">
        <f aca="false">Таблица32[[#This Row],[Столбец7]]*Таблица32[[#This Row],[Gruppa bank klient ]]%</f>
        <v>7000</v>
      </c>
      <c r="AB9" s="177" t="n">
        <f aca="false">Таблица32[[#This Row],[1c]]*Таблица32[[#This Row],[Столбец7]]/100</f>
        <v>0</v>
      </c>
      <c r="AC9" s="178" t="n">
        <f aca="false">SUM(Таблица32[[#This Row],[Didox]:[ мехнат]],Таблица32[[#This Row],[Avtokameral]])*Таблица32[[#This Row],[Столбец7]]/100</f>
        <v>5250</v>
      </c>
      <c r="AD9" s="178" t="n">
        <f aca="false">SUM(Таблица32[[#This Row],[Pul oqimlari]:[Foyda va zarar]])*Таблица32[[#This Row],[Столбец7]]/100</f>
        <v>0</v>
      </c>
      <c r="AE9" s="177" t="n">
        <f aca="false">Таблица32[[#This Row],[Столбец7]]*Таблица32[[#This Row],[Nazoratchi]]%</f>
        <v>0</v>
      </c>
      <c r="AF9" s="177" t="n">
        <f aca="false">Таблица32[[#This Row],[Ishga vaqtida kelish nazoratchi]]+Таблица32[[#This Row],[Nazoratchi2]]</f>
        <v>0</v>
      </c>
      <c r="AG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5250</v>
      </c>
      <c r="AH9" s="177" t="n">
        <f aca="false">Таблица32[[#This Row],[Ishga kelish bank klient3]]+Таблица32[[#This Row],[Gruppa bank klient 2]]</f>
        <v>14000</v>
      </c>
    </row>
    <row r="10" customFormat="false" ht="17.35" hidden="false" customHeight="false" outlineLevel="0" collapsed="false">
      <c r="A10" s="112" t="n">
        <v>8</v>
      </c>
      <c r="B10" s="113" t="s">
        <v>114</v>
      </c>
      <c r="C10" s="113" t="s">
        <v>208</v>
      </c>
      <c r="D10" s="113" t="s">
        <v>224</v>
      </c>
      <c r="E10" s="115" t="n">
        <v>2000000</v>
      </c>
      <c r="F10" s="113" t="s">
        <v>210</v>
      </c>
      <c r="G10" s="174"/>
      <c r="H10" s="174" t="n">
        <v>1</v>
      </c>
      <c r="I10" s="174"/>
      <c r="J10" s="174" t="n">
        <v>-2</v>
      </c>
      <c r="K10" s="174" t="n">
        <v>1</v>
      </c>
      <c r="L10" s="175" t="n">
        <v>0.25</v>
      </c>
      <c r="M10" s="175" t="n">
        <v>0.25</v>
      </c>
      <c r="N10" s="175"/>
      <c r="O10" s="175"/>
      <c r="P10" s="175" t="n">
        <v>-0.25</v>
      </c>
      <c r="Q10" s="175" t="n">
        <v>0</v>
      </c>
      <c r="R10" s="175" t="n">
        <v>0.2</v>
      </c>
      <c r="S10" s="175" t="n">
        <v>0.2</v>
      </c>
      <c r="T10" s="175" t="n">
        <v>0.2</v>
      </c>
      <c r="U10" s="175" t="n">
        <v>0.2</v>
      </c>
      <c r="V10" s="174" t="n">
        <v>-2</v>
      </c>
      <c r="W10" s="176" t="n">
        <f aca="false">Таблица32[[#This Row],[Столбец7]]*Таблица32[[#This Row],[Ishga kelish nazoratchi2]]%</f>
        <v>0</v>
      </c>
      <c r="X10" s="177" t="n">
        <f aca="false">Таблица32[[#This Row],[Столбец7]]*Таблица32[[#This Row],[Ishga vaqtida kelish ketish]]%</f>
        <v>0</v>
      </c>
      <c r="Y10" s="177" t="n">
        <f aca="false">Таблица32[[#This Row],[Столбец7]]*Таблица32[[#This Row],[Ishga kelish bank klient]]%</f>
        <v>20000</v>
      </c>
      <c r="Z10" s="177" t="n">
        <f aca="false">Таблица32[[#This Row],[Столбец7]]*Таблица32[[#This Row],[Gruppa buxgalter]]%</f>
        <v>-40000</v>
      </c>
      <c r="AA10" s="177" t="n">
        <f aca="false">Таблица32[[#This Row],[Столбец7]]*Таблица32[[#This Row],[Gruppa bank klient ]]%</f>
        <v>20000</v>
      </c>
      <c r="AB10" s="177" t="n">
        <f aca="false">Таблица32[[#This Row],[1c]]*Таблица32[[#This Row],[Столбец7]]/100</f>
        <v>0</v>
      </c>
      <c r="AC10" s="178" t="n">
        <f aca="false">SUM(Таблица32[[#This Row],[Didox]:[ мехнат]],Таблица32[[#This Row],[Avtokameral]])*Таблица32[[#This Row],[Столбец7]]/100</f>
        <v>5000</v>
      </c>
      <c r="AD10" s="178" t="n">
        <f aca="false">SUM(Таблица32[[#This Row],[Pul oqimlari]:[Foyda va zarar]])*Таблица32[[#This Row],[Столбец7]]/100</f>
        <v>16000</v>
      </c>
      <c r="AE10" s="177" t="n">
        <f aca="false">Таблица32[[#This Row],[Столбец7]]*Таблица32[[#This Row],[Nazoratchi]]%</f>
        <v>-40000</v>
      </c>
      <c r="AF10" s="177" t="n">
        <f aca="false">Таблица32[[#This Row],[Ishga vaqtida kelish nazoratchi]]+Таблица32[[#This Row],[Nazoratchi2]]</f>
        <v>-40000</v>
      </c>
      <c r="AG1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-19000</v>
      </c>
      <c r="AH10" s="177" t="n">
        <f aca="false">Таблица32[[#This Row],[Ishga kelish bank klient3]]+Таблица32[[#This Row],[Gruppa bank klient 2]]</f>
        <v>40000</v>
      </c>
    </row>
    <row r="11" customFormat="false" ht="17.35" hidden="false" customHeight="false" outlineLevel="0" collapsed="false">
      <c r="A11" s="112" t="n">
        <v>9</v>
      </c>
      <c r="B11" s="121" t="s">
        <v>250</v>
      </c>
      <c r="C11" s="113" t="s">
        <v>211</v>
      </c>
      <c r="D11" s="113" t="s">
        <v>238</v>
      </c>
      <c r="E11" s="115" t="n">
        <v>6000000</v>
      </c>
      <c r="F11" s="113" t="s">
        <v>210</v>
      </c>
      <c r="G11" s="174"/>
      <c r="H11" s="174" t="n">
        <v>1</v>
      </c>
      <c r="I11" s="179"/>
      <c r="J11" s="174" t="n">
        <v>1</v>
      </c>
      <c r="K11" s="174" t="n">
        <v>1</v>
      </c>
      <c r="L11" s="175" t="n">
        <v>0.25</v>
      </c>
      <c r="M11" s="175" t="n">
        <v>0.25</v>
      </c>
      <c r="N11" s="175" t="n">
        <v>0.25</v>
      </c>
      <c r="O11" s="175"/>
      <c r="P11" s="175" t="n">
        <v>0.25</v>
      </c>
      <c r="Q11" s="175" t="n">
        <v>-0.2</v>
      </c>
      <c r="R11" s="175" t="n">
        <v>0.2</v>
      </c>
      <c r="S11" s="175" t="n">
        <v>-0.2</v>
      </c>
      <c r="T11" s="175" t="n">
        <v>-0.2</v>
      </c>
      <c r="U11" s="175" t="n">
        <v>-0.2</v>
      </c>
      <c r="V11" s="117" t="n">
        <v>0.5</v>
      </c>
      <c r="W11" s="176" t="n">
        <f aca="false">Таблица32[[#This Row],[Столбец7]]*Таблица32[[#This Row],[Ishga kelish nazoratchi2]]%</f>
        <v>0</v>
      </c>
      <c r="X11" s="177" t="n">
        <f aca="false">Таблица32[[#This Row],[Столбец7]]*Таблица32[[#This Row],[Ishga vaqtida kelish ketish]]%</f>
        <v>0</v>
      </c>
      <c r="Y11" s="177" t="n">
        <f aca="false">Таблица32[[#This Row],[Столбец7]]*Таблица32[[#This Row],[Ishga kelish bank klient]]%</f>
        <v>60000</v>
      </c>
      <c r="Z11" s="177" t="n">
        <f aca="false">Таблица32[[#This Row],[Столбец7]]*Таблица32[[#This Row],[Gruppa buxgalter]]%</f>
        <v>60000</v>
      </c>
      <c r="AA11" s="177" t="n">
        <f aca="false">Таблица32[[#This Row],[Столбец7]]*Таблица32[[#This Row],[Gruppa bank klient ]]%</f>
        <v>60000</v>
      </c>
      <c r="AB11" s="177" t="n">
        <f aca="false">Таблица32[[#This Row],[1c]]*Таблица32[[#This Row],[Столбец7]]/100</f>
        <v>0</v>
      </c>
      <c r="AC11" s="178" t="n">
        <f aca="false">SUM(Таблица32[[#This Row],[Didox]:[ мехнат]],Таблица32[[#This Row],[Avtokameral]])*Таблица32[[#This Row],[Столбец7]]/100</f>
        <v>60000</v>
      </c>
      <c r="AD11" s="178" t="n">
        <f aca="false">SUM(Таблица32[[#This Row],[Pul oqimlari]:[Foyda va zarar]])*Таблица32[[#This Row],[Столбец7]]/100</f>
        <v>-36000</v>
      </c>
      <c r="AE11" s="177" t="n">
        <f aca="false">Таблица32[[#This Row],[Столбец7]]*Таблица32[[#This Row],[Nazoratchi]]%</f>
        <v>30000</v>
      </c>
      <c r="AF11" s="177" t="n">
        <f aca="false">Таблица32[[#This Row],[Ishga vaqtida kelish nazoratchi]]+Таблица32[[#This Row],[Nazoratchi2]]</f>
        <v>30000</v>
      </c>
      <c r="AG1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84000</v>
      </c>
      <c r="AH11" s="177" t="n">
        <f aca="false">Таблица32[[#This Row],[Ishga kelish bank klient3]]+Таблица32[[#This Row],[Gruppa bank klient 2]]</f>
        <v>120000</v>
      </c>
    </row>
    <row r="12" customFormat="false" ht="17.35" hidden="false" customHeight="false" outlineLevel="0" collapsed="false">
      <c r="A12" s="112" t="n">
        <v>10</v>
      </c>
      <c r="B12" s="113" t="s">
        <v>185</v>
      </c>
      <c r="C12" s="113" t="s">
        <v>213</v>
      </c>
      <c r="D12" s="113" t="s">
        <v>238</v>
      </c>
      <c r="E12" s="115" t="n">
        <v>2500000</v>
      </c>
      <c r="F12" s="113" t="s">
        <v>210</v>
      </c>
      <c r="G12" s="174" t="n">
        <v>-0.8</v>
      </c>
      <c r="H12" s="174" t="n">
        <v>1</v>
      </c>
      <c r="I12" s="179"/>
      <c r="J12" s="174" t="n">
        <v>-0.5</v>
      </c>
      <c r="K12" s="174" t="n">
        <v>1</v>
      </c>
      <c r="L12" s="175" t="n">
        <v>0.25</v>
      </c>
      <c r="M12" s="175" t="n">
        <v>0.25</v>
      </c>
      <c r="N12" s="175"/>
      <c r="O12" s="175" t="n">
        <v>1</v>
      </c>
      <c r="P12" s="175" t="n">
        <v>0</v>
      </c>
      <c r="Q12" s="175" t="n">
        <v>0.2</v>
      </c>
      <c r="R12" s="175" t="n">
        <v>0.2</v>
      </c>
      <c r="S12" s="175" t="n">
        <v>0.2</v>
      </c>
      <c r="T12" s="175" t="n">
        <v>0.2</v>
      </c>
      <c r="U12" s="175" t="n">
        <v>0.2</v>
      </c>
      <c r="V12" s="117" t="n">
        <v>-0.5</v>
      </c>
      <c r="W12" s="176" t="n">
        <f aca="false">Таблица32[[#This Row],[Столбец7]]*Таблица32[[#This Row],[Ishga kelish nazoratchi2]]%</f>
        <v>0</v>
      </c>
      <c r="X12" s="177" t="n">
        <f aca="false">Таблица32[[#This Row],[Столбец7]]*Таблица32[[#This Row],[Ishga vaqtida kelish ketish]]%</f>
        <v>-20000</v>
      </c>
      <c r="Y12" s="177" t="n">
        <f aca="false">Таблица32[[#This Row],[Столбец7]]*Таблица32[[#This Row],[Ishga kelish bank klient]]%</f>
        <v>25000</v>
      </c>
      <c r="Z12" s="177" t="n">
        <f aca="false">Таблица32[[#This Row],[Столбец7]]*Таблица32[[#This Row],[Gruppa buxgalter]]%</f>
        <v>-12500</v>
      </c>
      <c r="AA12" s="177" t="n">
        <f aca="false">Таблица32[[#This Row],[Столбец7]]*Таблица32[[#This Row],[Gruppa bank klient ]]%</f>
        <v>25000</v>
      </c>
      <c r="AB12" s="177" t="n">
        <f aca="false">Таблица32[[#This Row],[1c]]*Таблица32[[#This Row],[Столбец7]]/100</f>
        <v>25000</v>
      </c>
      <c r="AC12" s="178" t="n">
        <f aca="false">SUM(Таблица32[[#This Row],[Didox]:[ мехнат]],Таблица32[[#This Row],[Avtokameral]])*Таблица32[[#This Row],[Столбец7]]/100</f>
        <v>12500</v>
      </c>
      <c r="AD12" s="178" t="n">
        <f aca="false">SUM(Таблица32[[#This Row],[Pul oqimlari]:[Foyda va zarar]])*Таблица32[[#This Row],[Столбец7]]/100</f>
        <v>25000</v>
      </c>
      <c r="AE12" s="177" t="n">
        <f aca="false">Таблица32[[#This Row],[Столбец7]]*Таблица32[[#This Row],[Nazoratchi]]%</f>
        <v>-12500</v>
      </c>
      <c r="AF12" s="177" t="n">
        <f aca="false">Таблица32[[#This Row],[Ishga vaqtida kelish nazoratchi]]+Таблица32[[#This Row],[Nazoratchi2]]</f>
        <v>-12500</v>
      </c>
      <c r="AG1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30000</v>
      </c>
      <c r="AH12" s="177" t="n">
        <f aca="false">Таблица32[[#This Row],[Ishga kelish bank klient3]]+Таблица32[[#This Row],[Gruppa bank klient 2]]</f>
        <v>50000</v>
      </c>
    </row>
    <row r="13" customFormat="false" ht="17.35" hidden="false" customHeight="false" outlineLevel="0" collapsed="false">
      <c r="A13" s="112" t="n">
        <v>11</v>
      </c>
      <c r="B13" s="113" t="s">
        <v>251</v>
      </c>
      <c r="C13" s="113" t="s">
        <v>213</v>
      </c>
      <c r="D13" s="113" t="s">
        <v>238</v>
      </c>
      <c r="E13" s="115" t="n">
        <v>7000000</v>
      </c>
      <c r="F13" s="113" t="s">
        <v>210</v>
      </c>
      <c r="G13" s="174" t="n">
        <v>-0.8</v>
      </c>
      <c r="H13" s="174" t="n">
        <v>1</v>
      </c>
      <c r="I13" s="174"/>
      <c r="J13" s="174" t="n">
        <v>-0.5</v>
      </c>
      <c r="K13" s="174" t="n">
        <v>1</v>
      </c>
      <c r="L13" s="175" t="n">
        <v>0.25</v>
      </c>
      <c r="M13" s="175" t="n">
        <v>0.25</v>
      </c>
      <c r="N13" s="175" t="n">
        <v>0.25</v>
      </c>
      <c r="O13" s="175" t="n">
        <v>1</v>
      </c>
      <c r="P13" s="175" t="n">
        <v>0</v>
      </c>
      <c r="Q13" s="175" t="n">
        <v>0.2</v>
      </c>
      <c r="R13" s="175" t="n">
        <v>0.2</v>
      </c>
      <c r="S13" s="175" t="n">
        <v>0.2</v>
      </c>
      <c r="T13" s="175" t="n">
        <v>0.2</v>
      </c>
      <c r="U13" s="175" t="n">
        <v>0.2</v>
      </c>
      <c r="V13" s="174" t="n">
        <v>-0.5</v>
      </c>
      <c r="W13" s="176" t="n">
        <f aca="false">Таблица32[[#This Row],[Столбец7]]*Таблица32[[#This Row],[Ishga kelish nazoratchi2]]%</f>
        <v>0</v>
      </c>
      <c r="X13" s="177" t="n">
        <f aca="false">Таблица32[[#This Row],[Столбец7]]*Таблица32[[#This Row],[Ishga vaqtida kelish ketish]]%</f>
        <v>-56000</v>
      </c>
      <c r="Y13" s="177" t="n">
        <f aca="false">Таблица32[[#This Row],[Столбец7]]*Таблица32[[#This Row],[Ishga kelish bank klient]]%</f>
        <v>70000</v>
      </c>
      <c r="Z13" s="177" t="n">
        <f aca="false">Таблица32[[#This Row],[Столбец7]]*Таблица32[[#This Row],[Gruppa buxgalter]]%</f>
        <v>-35000</v>
      </c>
      <c r="AA13" s="177" t="n">
        <f aca="false">Таблица32[[#This Row],[Столбец7]]*Таблица32[[#This Row],[Gruppa bank klient ]]%</f>
        <v>70000</v>
      </c>
      <c r="AB13" s="177" t="n">
        <f aca="false">Таблица32[[#This Row],[1c]]*Таблица32[[#This Row],[Столбец7]]/100</f>
        <v>70000</v>
      </c>
      <c r="AC13" s="178" t="n">
        <f aca="false">SUM(Таблица32[[#This Row],[Didox]:[ мехнат]],Таблица32[[#This Row],[Avtokameral]])*Таблица32[[#This Row],[Столбец7]]/100</f>
        <v>52500</v>
      </c>
      <c r="AD13" s="178" t="n">
        <f aca="false">SUM(Таблица32[[#This Row],[Pul oqimlari]:[Foyda va zarar]])*Таблица32[[#This Row],[Столбец7]]/100</f>
        <v>70000</v>
      </c>
      <c r="AE13" s="177" t="n">
        <f aca="false">Таблица32[[#This Row],[Столбец7]]*Таблица32[[#This Row],[Nazoratchi]]%</f>
        <v>-35000</v>
      </c>
      <c r="AF13" s="177" t="n">
        <f aca="false">Таблица32[[#This Row],[Ishga vaqtida kelish nazoratchi]]+Таблица32[[#This Row],[Nazoratchi2]]</f>
        <v>-35000</v>
      </c>
      <c r="AG1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101500</v>
      </c>
      <c r="AH13" s="178" t="n">
        <f aca="false">Таблица32[[#This Row],[Ishga kelish bank klient3]]+Таблица32[[#This Row],[Gruppa bank klient 2]]</f>
        <v>140000</v>
      </c>
    </row>
    <row r="14" customFormat="false" ht="40.5" hidden="false" customHeight="true" outlineLevel="0" collapsed="false">
      <c r="A14" s="112" t="n">
        <v>12</v>
      </c>
      <c r="B14" s="113" t="s">
        <v>252</v>
      </c>
      <c r="C14" s="114" t="s">
        <v>212</v>
      </c>
      <c r="D14" s="113" t="s">
        <v>224</v>
      </c>
      <c r="E14" s="115" t="n">
        <v>4000000</v>
      </c>
      <c r="F14" s="113" t="s">
        <v>213</v>
      </c>
      <c r="G14" s="174"/>
      <c r="H14" s="174" t="n">
        <v>1</v>
      </c>
      <c r="I14" s="179"/>
      <c r="J14" s="174" t="n">
        <v>1</v>
      </c>
      <c r="K14" s="174" t="n">
        <v>1</v>
      </c>
      <c r="L14" s="175" t="n">
        <v>0.25</v>
      </c>
      <c r="M14" s="175" t="n">
        <v>0.25</v>
      </c>
      <c r="N14" s="175" t="n">
        <v>0.25</v>
      </c>
      <c r="O14" s="175"/>
      <c r="P14" s="175" t="n">
        <v>0.25</v>
      </c>
      <c r="Q14" s="175" t="n">
        <v>0.2</v>
      </c>
      <c r="R14" s="175" t="n">
        <v>0.2</v>
      </c>
      <c r="S14" s="175" t="n">
        <v>0.2</v>
      </c>
      <c r="T14" s="175" t="n">
        <v>0.2</v>
      </c>
      <c r="U14" s="175" t="n">
        <v>0.2</v>
      </c>
      <c r="V14" s="117" t="n">
        <v>0.5</v>
      </c>
      <c r="W14" s="176" t="n">
        <f aca="false">Таблица32[[#This Row],[Столбец7]]*Таблица32[[#This Row],[Ishga kelish nazoratchi2]]%</f>
        <v>0</v>
      </c>
      <c r="X14" s="177" t="n">
        <f aca="false">Таблица32[[#This Row],[Столбец7]]*Таблица32[[#This Row],[Ishga vaqtida kelish ketish]]%</f>
        <v>0</v>
      </c>
      <c r="Y14" s="177" t="n">
        <f aca="false">Таблица32[[#This Row],[Столбец7]]*Таблица32[[#This Row],[Ishga kelish bank klient]]%</f>
        <v>40000</v>
      </c>
      <c r="Z14" s="177" t="n">
        <f aca="false">Таблица32[[#This Row],[Столбец7]]*Таблица32[[#This Row],[Gruppa buxgalter]]%</f>
        <v>40000</v>
      </c>
      <c r="AA14" s="177" t="n">
        <f aca="false">Таблица32[[#This Row],[Столбец7]]*Таблица32[[#This Row],[Gruppa bank klient ]]%</f>
        <v>40000</v>
      </c>
      <c r="AB14" s="177" t="n">
        <f aca="false">Таблица32[[#This Row],[1c]]*Таблица32[[#This Row],[Столбец7]]/100</f>
        <v>0</v>
      </c>
      <c r="AC14" s="178" t="n">
        <f aca="false">SUM(Таблица32[[#This Row],[Didox]:[ мехнат]],Таблица32[[#This Row],[Avtokameral]])*Таблица32[[#This Row],[Столбец7]]/100</f>
        <v>40000</v>
      </c>
      <c r="AD14" s="178" t="n">
        <f aca="false">SUM(Таблица32[[#This Row],[Pul oqimlari]:[Foyda va zarar]])*Таблица32[[#This Row],[Столбец7]]/100</f>
        <v>40000</v>
      </c>
      <c r="AE14" s="177" t="n">
        <f aca="false">Таблица32[[#This Row],[Столбец7]]*Таблица32[[#This Row],[Nazoratchi]]%</f>
        <v>20000</v>
      </c>
      <c r="AF14" s="177" t="n">
        <f aca="false">Таблица32[[#This Row],[Ishga vaqtida kelish nazoratchi]]+Таблица32[[#This Row],[Nazoratchi2]]</f>
        <v>20000</v>
      </c>
      <c r="AG1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120000</v>
      </c>
      <c r="AH14" s="177" t="n">
        <f aca="false">Таблица32[[#This Row],[Ishga kelish bank klient3]]+Таблица32[[#This Row],[Gruppa bank klient 2]]</f>
        <v>80000</v>
      </c>
    </row>
    <row r="15" customFormat="false" ht="17.35" hidden="false" customHeight="false" outlineLevel="0" collapsed="false">
      <c r="A15" s="112" t="n">
        <v>13</v>
      </c>
      <c r="B15" s="113" t="s">
        <v>253</v>
      </c>
      <c r="C15" s="113" t="s">
        <v>210</v>
      </c>
      <c r="D15" s="113"/>
      <c r="E15" s="115" t="n">
        <v>2000000</v>
      </c>
      <c r="F15" s="113" t="s">
        <v>213</v>
      </c>
      <c r="G15" s="174" t="n">
        <v>0.05</v>
      </c>
      <c r="H15" s="174"/>
      <c r="I15" s="174"/>
      <c r="J15" s="174" t="n">
        <v>1</v>
      </c>
      <c r="K15" s="174"/>
      <c r="L15" s="175" t="n">
        <v>0.25</v>
      </c>
      <c r="M15" s="175" t="n">
        <v>0.25</v>
      </c>
      <c r="N15" s="175" t="n">
        <v>0.25</v>
      </c>
      <c r="O15" s="175" t="n">
        <v>1</v>
      </c>
      <c r="P15" s="175" t="n">
        <v>0.25</v>
      </c>
      <c r="Q15" s="175" t="n">
        <v>0.2</v>
      </c>
      <c r="R15" s="175" t="n">
        <v>0.2</v>
      </c>
      <c r="S15" s="175" t="n">
        <v>0.2</v>
      </c>
      <c r="T15" s="175" t="n">
        <v>0.2</v>
      </c>
      <c r="U15" s="175" t="n">
        <v>0.2</v>
      </c>
      <c r="V15" s="174" t="n">
        <v>0.5</v>
      </c>
      <c r="W15" s="176" t="n">
        <f aca="false">Таблица32[[#This Row],[Столбец7]]*Таблица32[[#This Row],[Ishga kelish nazoratchi2]]%</f>
        <v>0</v>
      </c>
      <c r="X15" s="177" t="n">
        <f aca="false">Таблица32[[#This Row],[Столбец7]]*Таблица32[[#This Row],[Ishga vaqtida kelish ketish]]%</f>
        <v>1000</v>
      </c>
      <c r="Y15" s="177" t="n">
        <f aca="false">Таблица32[[#This Row],[Столбец7]]*Таблица32[[#This Row],[Ishga kelish bank klient]]%</f>
        <v>0</v>
      </c>
      <c r="Z15" s="177" t="n">
        <f aca="false">Таблица32[[#This Row],[Столбец7]]*Таблица32[[#This Row],[Gruppa buxgalter]]%</f>
        <v>20000</v>
      </c>
      <c r="AA15" s="177" t="n">
        <f aca="false">Таблица32[[#This Row],[Столбец7]]*Таблица32[[#This Row],[Gruppa bank klient ]]%</f>
        <v>0</v>
      </c>
      <c r="AB15" s="177" t="n">
        <f aca="false">Таблица32[[#This Row],[1c]]*Таблица32[[#This Row],[Столбец7]]/100</f>
        <v>20000</v>
      </c>
      <c r="AC15" s="178" t="n">
        <f aca="false">SUM(Таблица32[[#This Row],[Didox]:[ мехнат]],Таблица32[[#This Row],[Avtokameral]])*Таблица32[[#This Row],[Столбец7]]/100</f>
        <v>20000</v>
      </c>
      <c r="AD15" s="178" t="n">
        <f aca="false">SUM(Таблица32[[#This Row],[Pul oqimlari]:[Foyda va zarar]])*Таблица32[[#This Row],[Столбец7]]/100</f>
        <v>20000</v>
      </c>
      <c r="AE15" s="177" t="n">
        <f aca="false">Таблица32[[#This Row],[Столбец7]]*Таблица32[[#This Row],[Nazoratchi]]%</f>
        <v>10000</v>
      </c>
      <c r="AF15" s="177" t="n">
        <f aca="false">Таблица32[[#This Row],[Ishga vaqtida kelish nazoratchi]]+Таблица32[[#This Row],[Nazoratchi2]]</f>
        <v>10000</v>
      </c>
      <c r="AG1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81000</v>
      </c>
      <c r="AH15" s="177" t="n">
        <f aca="false">Таблица32[[#This Row],[Ishga kelish bank klient3]]+Таблица32[[#This Row],[Gruppa bank klient 2]]</f>
        <v>0</v>
      </c>
    </row>
    <row r="16" customFormat="false" ht="17.35" hidden="false" customHeight="false" outlineLevel="0" collapsed="false">
      <c r="A16" s="112" t="n">
        <v>14</v>
      </c>
      <c r="B16" s="113" t="s">
        <v>254</v>
      </c>
      <c r="C16" s="113" t="s">
        <v>210</v>
      </c>
      <c r="D16" s="113"/>
      <c r="E16" s="115" t="n">
        <v>0</v>
      </c>
      <c r="F16" s="113" t="s">
        <v>213</v>
      </c>
      <c r="G16" s="174" t="n">
        <v>0.05</v>
      </c>
      <c r="H16" s="174"/>
      <c r="I16" s="174"/>
      <c r="J16" s="174" t="n">
        <v>1</v>
      </c>
      <c r="K16" s="174"/>
      <c r="L16" s="175" t="n">
        <v>0</v>
      </c>
      <c r="M16" s="175" t="n">
        <v>0</v>
      </c>
      <c r="N16" s="175"/>
      <c r="O16" s="175"/>
      <c r="P16" s="175" t="n">
        <v>0</v>
      </c>
      <c r="Q16" s="175" t="n">
        <v>0</v>
      </c>
      <c r="R16" s="175" t="n">
        <v>0</v>
      </c>
      <c r="S16" s="175" t="n">
        <v>0</v>
      </c>
      <c r="T16" s="175" t="n">
        <v>0</v>
      </c>
      <c r="U16" s="175" t="n">
        <v>0</v>
      </c>
      <c r="V16" s="174" t="n">
        <v>0.5</v>
      </c>
      <c r="W16" s="176" t="n">
        <f aca="false">Таблица32[[#This Row],[Столбец7]]*Таблица32[[#This Row],[Ishga kelish nazoratchi2]]%</f>
        <v>0</v>
      </c>
      <c r="X16" s="177" t="n">
        <f aca="false">Таблица32[[#This Row],[Столбец7]]*Таблица32[[#This Row],[Ishga vaqtida kelish ketish]]%</f>
        <v>0</v>
      </c>
      <c r="Y16" s="177" t="n">
        <f aca="false">Таблица32[[#This Row],[Столбец7]]*Таблица32[[#This Row],[Ishga kelish bank klient]]%</f>
        <v>0</v>
      </c>
      <c r="Z16" s="177" t="n">
        <f aca="false">Таблица32[[#This Row],[Столбец7]]*Таблица32[[#This Row],[Gruppa buxgalter]]%</f>
        <v>0</v>
      </c>
      <c r="AA16" s="177" t="n">
        <f aca="false">Таблица32[[#This Row],[Столбец7]]*Таблица32[[#This Row],[Gruppa bank klient ]]%</f>
        <v>0</v>
      </c>
      <c r="AB16" s="177" t="n">
        <f aca="false">Таблица32[[#This Row],[1c]]*Таблица32[[#This Row],[Столбец7]]/100</f>
        <v>0</v>
      </c>
      <c r="AC16" s="178" t="n">
        <f aca="false">SUM(Таблица32[[#This Row],[Didox]:[ мехнат]],Таблица32[[#This Row],[Avtokameral]])*Таблица32[[#This Row],[Столбец7]]/100</f>
        <v>0</v>
      </c>
      <c r="AD16" s="178" t="n">
        <f aca="false">SUM(Таблица32[[#This Row],[Pul oqimlari]:[Foyda va zarar]])*Таблица32[[#This Row],[Столбец7]]/100</f>
        <v>0</v>
      </c>
      <c r="AE16" s="177" t="n">
        <f aca="false">Таблица32[[#This Row],[Столбец7]]*Таблица32[[#This Row],[Nazoratchi]]%</f>
        <v>0</v>
      </c>
      <c r="AF16" s="177" t="n">
        <f aca="false">Таблица32[[#This Row],[Ishga vaqtida kelish nazoratchi]]+Таблица32[[#This Row],[Nazoratchi2]]</f>
        <v>0</v>
      </c>
      <c r="AG1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6" s="177" t="n">
        <f aca="false">Таблица32[[#This Row],[Ishga kelish bank klient3]]+Таблица32[[#This Row],[Gruppa bank klient 2]]</f>
        <v>0</v>
      </c>
    </row>
    <row r="17" customFormat="false" ht="17.35" hidden="false" customHeight="false" outlineLevel="0" collapsed="false">
      <c r="A17" s="112" t="n">
        <v>15</v>
      </c>
      <c r="B17" s="113" t="s">
        <v>121</v>
      </c>
      <c r="C17" s="113" t="s">
        <v>209</v>
      </c>
      <c r="D17" s="113" t="s">
        <v>238</v>
      </c>
      <c r="E17" s="115" t="n">
        <v>3000000</v>
      </c>
      <c r="F17" s="113" t="s">
        <v>213</v>
      </c>
      <c r="G17" s="174"/>
      <c r="H17" s="174" t="n">
        <v>1</v>
      </c>
      <c r="I17" s="174"/>
      <c r="J17" s="174" t="n">
        <v>1</v>
      </c>
      <c r="K17" s="174" t="n">
        <v>1</v>
      </c>
      <c r="L17" s="175" t="n">
        <v>0.25</v>
      </c>
      <c r="M17" s="175" t="n">
        <v>0.25</v>
      </c>
      <c r="N17" s="175"/>
      <c r="O17" s="175" t="n">
        <v>1</v>
      </c>
      <c r="P17" s="175" t="n">
        <v>0.25</v>
      </c>
      <c r="Q17" s="175" t="n">
        <v>0.2</v>
      </c>
      <c r="R17" s="175" t="n">
        <v>0.2</v>
      </c>
      <c r="S17" s="175" t="n">
        <v>0</v>
      </c>
      <c r="T17" s="175" t="n">
        <v>0.2</v>
      </c>
      <c r="U17" s="175" t="n">
        <v>0.2</v>
      </c>
      <c r="V17" s="174" t="n">
        <v>0.5</v>
      </c>
      <c r="W17" s="176" t="n">
        <f aca="false">Таблица32[[#This Row],[Столбец7]]*Таблица32[[#This Row],[Ishga kelish nazoratchi2]]%</f>
        <v>0</v>
      </c>
      <c r="X17" s="177" t="n">
        <f aca="false">Таблица32[[#This Row],[Столбец7]]*Таблица32[[#This Row],[Ishga vaqtida kelish ketish]]%</f>
        <v>0</v>
      </c>
      <c r="Y17" s="177" t="n">
        <f aca="false">Таблица32[[#This Row],[Столбец7]]*Таблица32[[#This Row],[Ishga kelish bank klient]]%</f>
        <v>30000</v>
      </c>
      <c r="Z17" s="177" t="n">
        <f aca="false">Таблица32[[#This Row],[Столбец7]]*Таблица32[[#This Row],[Gruppa buxgalter]]%</f>
        <v>30000</v>
      </c>
      <c r="AA17" s="177" t="n">
        <f aca="false">Таблица32[[#This Row],[Столбец7]]*Таблица32[[#This Row],[Gruppa bank klient ]]%</f>
        <v>30000</v>
      </c>
      <c r="AB17" s="177" t="n">
        <f aca="false">Таблица32[[#This Row],[1c]]*Таблица32[[#This Row],[Столбец7]]/100</f>
        <v>30000</v>
      </c>
      <c r="AC17" s="178" t="n">
        <f aca="false">SUM(Таблица32[[#This Row],[Didox]:[ мехнат]],Таблица32[[#This Row],[Avtokameral]])*Таблица32[[#This Row],[Столбец7]]/100</f>
        <v>22500</v>
      </c>
      <c r="AD17" s="178" t="n">
        <f aca="false">SUM(Таблица32[[#This Row],[Pul oqimlari]:[Foyda va zarar]])*Таблица32[[#This Row],[Столбец7]]/100</f>
        <v>24000</v>
      </c>
      <c r="AE17" s="177" t="n">
        <f aca="false">Таблица32[[#This Row],[Столбец7]]*Таблица32[[#This Row],[Nazoratchi]]%</f>
        <v>15000</v>
      </c>
      <c r="AF17" s="177" t="n">
        <f aca="false">Таблица32[[#This Row],[Ishga vaqtida kelish nazoratchi]]+Таблица32[[#This Row],[Nazoratchi2]]</f>
        <v>15000</v>
      </c>
      <c r="AG1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106500</v>
      </c>
      <c r="AH17" s="177" t="n">
        <f aca="false">Таблица32[[#This Row],[Ishga kelish bank klient3]]+Таблица32[[#This Row],[Gruppa bank klient 2]]</f>
        <v>60000</v>
      </c>
    </row>
    <row r="18" customFormat="false" ht="17.35" hidden="false" customHeight="false" outlineLevel="0" collapsed="false">
      <c r="A18" s="112" t="n">
        <v>16</v>
      </c>
      <c r="B18" s="113" t="s">
        <v>135</v>
      </c>
      <c r="C18" s="113" t="s">
        <v>217</v>
      </c>
      <c r="D18" s="113" t="s">
        <v>238</v>
      </c>
      <c r="E18" s="115" t="n">
        <v>3500000</v>
      </c>
      <c r="F18" s="113" t="s">
        <v>210</v>
      </c>
      <c r="G18" s="174" t="n">
        <v>0.9</v>
      </c>
      <c r="H18" s="174" t="n">
        <v>1</v>
      </c>
      <c r="I18" s="174"/>
      <c r="J18" s="174" t="n">
        <v>1</v>
      </c>
      <c r="K18" s="174" t="n">
        <v>1</v>
      </c>
      <c r="L18" s="175" t="n">
        <v>0.25</v>
      </c>
      <c r="M18" s="175" t="n">
        <v>0.25</v>
      </c>
      <c r="N18" s="175"/>
      <c r="O18" s="175"/>
      <c r="P18" s="175" t="n">
        <v>0.25</v>
      </c>
      <c r="Q18" s="175" t="n">
        <v>0.2</v>
      </c>
      <c r="R18" s="175" t="n">
        <v>0.2</v>
      </c>
      <c r="S18" s="175" t="n">
        <v>0.2</v>
      </c>
      <c r="T18" s="175" t="n">
        <v>-0.2</v>
      </c>
      <c r="U18" s="175" t="n">
        <v>-0.2</v>
      </c>
      <c r="V18" s="117" t="n">
        <v>0.5</v>
      </c>
      <c r="W18" s="176" t="n">
        <f aca="false">Таблица32[[#This Row],[Столбец7]]*Таблица32[[#This Row],[Ishga kelish nazoratchi2]]%</f>
        <v>0</v>
      </c>
      <c r="X18" s="177" t="n">
        <f aca="false">Таблица32[[#This Row],[Столбец7]]*Таблица32[[#This Row],[Ishga vaqtida kelish ketish]]%</f>
        <v>31500</v>
      </c>
      <c r="Y18" s="177" t="n">
        <f aca="false">Таблица32[[#This Row],[Столбец7]]*Таблица32[[#This Row],[Ishga kelish bank klient]]%</f>
        <v>35000</v>
      </c>
      <c r="Z18" s="177" t="n">
        <f aca="false">Таблица32[[#This Row],[Столбец7]]*Таблица32[[#This Row],[Gruppa buxgalter]]%</f>
        <v>35000</v>
      </c>
      <c r="AA18" s="177" t="n">
        <f aca="false">Таблица32[[#This Row],[Столбец7]]*Таблица32[[#This Row],[Gruppa bank klient ]]%</f>
        <v>35000</v>
      </c>
      <c r="AB18" s="177" t="n">
        <f aca="false">Таблица32[[#This Row],[1c]]*Таблица32[[#This Row],[Столбец7]]/100</f>
        <v>0</v>
      </c>
      <c r="AC18" s="178" t="n">
        <f aca="false">SUM(Таблица32[[#This Row],[Didox]:[ мехнат]],Таблица32[[#This Row],[Avtokameral]])*Таблица32[[#This Row],[Столбец7]]/100</f>
        <v>26250</v>
      </c>
      <c r="AD18" s="178" t="n">
        <f aca="false">SUM(Таблица32[[#This Row],[Pul oqimlari]:[Foyda va zarar]])*Таблица32[[#This Row],[Столбец7]]/100</f>
        <v>7000</v>
      </c>
      <c r="AE18" s="177" t="n">
        <f aca="false">Таблица32[[#This Row],[Столбец7]]*Таблица32[[#This Row],[Nazoratchi]]%</f>
        <v>17500</v>
      </c>
      <c r="AF18" s="177" t="n">
        <f aca="false">Таблица32[[#This Row],[Ishga vaqtida kelish nazoratchi]]+Таблица32[[#This Row],[Nazoratchi2]]</f>
        <v>17500</v>
      </c>
      <c r="AG1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99750</v>
      </c>
      <c r="AH18" s="177" t="n">
        <f aca="false">Таблица32[[#This Row],[Ishga kelish bank klient3]]+Таблица32[[#This Row],[Gruppa bank klient 2]]</f>
        <v>70000</v>
      </c>
    </row>
    <row r="19" customFormat="false" ht="17.35" hidden="false" customHeight="false" outlineLevel="0" collapsed="false">
      <c r="A19" s="112" t="n">
        <v>17</v>
      </c>
      <c r="B19" s="113" t="s">
        <v>141</v>
      </c>
      <c r="C19" s="113" t="s">
        <v>210</v>
      </c>
      <c r="D19" s="113" t="s">
        <v>238</v>
      </c>
      <c r="E19" s="115" t="n">
        <v>25000000</v>
      </c>
      <c r="F19" s="113" t="s">
        <v>213</v>
      </c>
      <c r="G19" s="174" t="n">
        <v>0.05</v>
      </c>
      <c r="H19" s="174" t="n">
        <v>1</v>
      </c>
      <c r="I19" s="179"/>
      <c r="J19" s="174" t="n">
        <v>1</v>
      </c>
      <c r="K19" s="174" t="n">
        <v>1</v>
      </c>
      <c r="L19" s="175" t="n">
        <v>0.25</v>
      </c>
      <c r="M19" s="175" t="n">
        <v>0.25</v>
      </c>
      <c r="N19" s="175" t="n">
        <v>0.25</v>
      </c>
      <c r="O19" s="175" t="n">
        <v>1</v>
      </c>
      <c r="P19" s="175" t="n">
        <v>0.25</v>
      </c>
      <c r="Q19" s="175" t="n">
        <v>0</v>
      </c>
      <c r="R19" s="175" t="n">
        <v>0.2</v>
      </c>
      <c r="S19" s="175" t="n">
        <v>0.2</v>
      </c>
      <c r="T19" s="175" t="n">
        <v>0.2</v>
      </c>
      <c r="U19" s="175" t="n">
        <v>0</v>
      </c>
      <c r="V19" s="174" t="n">
        <v>0.5</v>
      </c>
      <c r="W19" s="176" t="n">
        <f aca="false">Таблица32[[#This Row],[Столбец7]]*Таблица32[[#This Row],[Ishga kelish nazoratchi2]]%</f>
        <v>0</v>
      </c>
      <c r="X19" s="177" t="n">
        <f aca="false">Таблица32[[#This Row],[Столбец7]]*Таблица32[[#This Row],[Ishga vaqtida kelish ketish]]%</f>
        <v>12500</v>
      </c>
      <c r="Y19" s="177" t="n">
        <f aca="false">Таблица32[[#This Row],[Столбец7]]*Таблица32[[#This Row],[Ishga kelish bank klient]]%</f>
        <v>250000</v>
      </c>
      <c r="Z19" s="177" t="n">
        <f aca="false">Таблица32[[#This Row],[Столбец7]]*Таблица32[[#This Row],[Gruppa buxgalter]]%</f>
        <v>250000</v>
      </c>
      <c r="AA19" s="177" t="n">
        <f aca="false">Таблица32[[#This Row],[Столбец7]]*Таблица32[[#This Row],[Gruppa bank klient ]]%</f>
        <v>250000</v>
      </c>
      <c r="AB19" s="177" t="n">
        <f aca="false">Таблица32[[#This Row],[1c]]*Таблица32[[#This Row],[Столбец7]]/100</f>
        <v>250000</v>
      </c>
      <c r="AC19" s="178" t="n">
        <f aca="false">SUM(Таблица32[[#This Row],[Didox]:[ мехнат]],Таблица32[[#This Row],[Avtokameral]])*Таблица32[[#This Row],[Столбец7]]/100</f>
        <v>250000</v>
      </c>
      <c r="AD19" s="178" t="n">
        <f aca="false">SUM(Таблица32[[#This Row],[Pul oqimlari]:[Foyda va zarar]])*Таблица32[[#This Row],[Столбец7]]/100</f>
        <v>150000</v>
      </c>
      <c r="AE19" s="177" t="n">
        <f aca="false">Таблица32[[#This Row],[Столбец7]]*Таблица32[[#This Row],[Nazoratchi]]%</f>
        <v>125000</v>
      </c>
      <c r="AF19" s="177" t="n">
        <f aca="false">Таблица32[[#This Row],[Ishga vaqtida kelish nazoratchi]]+Таблица32[[#This Row],[Nazoratchi2]]</f>
        <v>125000</v>
      </c>
      <c r="AG1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912500</v>
      </c>
      <c r="AH19" s="177" t="n">
        <f aca="false">Таблица32[[#This Row],[Ishga kelish bank klient3]]+Таблица32[[#This Row],[Gruppa bank klient 2]]</f>
        <v>500000</v>
      </c>
    </row>
    <row r="20" customFormat="false" ht="17.35" hidden="false" customHeight="false" outlineLevel="0" collapsed="false">
      <c r="A20" s="112" t="n">
        <v>18</v>
      </c>
      <c r="B20" s="113" t="s">
        <v>146</v>
      </c>
      <c r="C20" s="113" t="s">
        <v>209</v>
      </c>
      <c r="D20" s="113" t="s">
        <v>224</v>
      </c>
      <c r="E20" s="115" t="n">
        <v>1000000</v>
      </c>
      <c r="F20" s="113" t="s">
        <v>213</v>
      </c>
      <c r="G20" s="174"/>
      <c r="H20" s="174" t="n">
        <v>1</v>
      </c>
      <c r="I20" s="174"/>
      <c r="J20" s="174" t="n">
        <v>1</v>
      </c>
      <c r="K20" s="174" t="n">
        <v>1</v>
      </c>
      <c r="L20" s="175" t="n">
        <v>0.25</v>
      </c>
      <c r="M20" s="175" t="n">
        <v>0.25</v>
      </c>
      <c r="N20" s="175" t="n">
        <v>0.25</v>
      </c>
      <c r="O20" s="175" t="n">
        <v>1</v>
      </c>
      <c r="P20" s="175" t="n">
        <v>0.25</v>
      </c>
      <c r="Q20" s="175" t="n">
        <v>0.2</v>
      </c>
      <c r="R20" s="175" t="n">
        <v>0.2</v>
      </c>
      <c r="S20" s="175" t="n">
        <v>0.2</v>
      </c>
      <c r="T20" s="175" t="n">
        <v>0.2</v>
      </c>
      <c r="U20" s="175" t="n">
        <v>0.2</v>
      </c>
      <c r="V20" s="174" t="n">
        <v>0.5</v>
      </c>
      <c r="W20" s="176" t="n">
        <f aca="false">Таблица32[[#This Row],[Столбец7]]*Таблица32[[#This Row],[Ishga kelish nazoratchi2]]%</f>
        <v>0</v>
      </c>
      <c r="X20" s="177" t="n">
        <f aca="false">Таблица32[[#This Row],[Столбец7]]*Таблица32[[#This Row],[Ishga vaqtida kelish ketish]]%</f>
        <v>0</v>
      </c>
      <c r="Y20" s="177" t="n">
        <f aca="false">Таблица32[[#This Row],[Столбец7]]*Таблица32[[#This Row],[Ishga kelish bank klient]]%</f>
        <v>10000</v>
      </c>
      <c r="Z20" s="177" t="n">
        <f aca="false">Таблица32[[#This Row],[Столбец7]]*Таблица32[[#This Row],[Gruppa buxgalter]]%</f>
        <v>10000</v>
      </c>
      <c r="AA20" s="177" t="n">
        <f aca="false">Таблица32[[#This Row],[Столбец7]]*Таблица32[[#This Row],[Gruppa bank klient ]]%</f>
        <v>10000</v>
      </c>
      <c r="AB20" s="177" t="n">
        <f aca="false">Таблица32[[#This Row],[1c]]*Таблица32[[#This Row],[Столбец7]]/100</f>
        <v>10000</v>
      </c>
      <c r="AC20" s="178" t="n">
        <f aca="false">SUM(Таблица32[[#This Row],[Didox]:[ мехнат]],Таблица32[[#This Row],[Avtokameral]])*Таблица32[[#This Row],[Столбец7]]/100</f>
        <v>10000</v>
      </c>
      <c r="AD20" s="178" t="n">
        <f aca="false">SUM(Таблица32[[#This Row],[Pul oqimlari]:[Foyda va zarar]])*Таблица32[[#This Row],[Столбец7]]/100</f>
        <v>10000</v>
      </c>
      <c r="AE20" s="177" t="n">
        <f aca="false">Таблица32[[#This Row],[Столбец7]]*Таблица32[[#This Row],[Nazoratchi]]%</f>
        <v>5000</v>
      </c>
      <c r="AF20" s="177" t="n">
        <f aca="false">Таблица32[[#This Row],[Ishga vaqtida kelish nazoratchi]]+Таблица32[[#This Row],[Nazoratchi2]]</f>
        <v>5000</v>
      </c>
      <c r="AG2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40000</v>
      </c>
      <c r="AH20" s="177" t="n">
        <f aca="false">Таблица32[[#This Row],[Ishga kelish bank klient3]]+Таблица32[[#This Row],[Gruppa bank klient 2]]</f>
        <v>20000</v>
      </c>
    </row>
    <row r="21" customFormat="false" ht="32.8" hidden="false" customHeight="false" outlineLevel="0" collapsed="false">
      <c r="A21" s="112" t="n">
        <v>19</v>
      </c>
      <c r="B21" s="113" t="s">
        <v>167</v>
      </c>
      <c r="C21" s="114" t="s">
        <v>226</v>
      </c>
      <c r="D21" s="113"/>
      <c r="E21" s="115" t="n">
        <v>500000</v>
      </c>
      <c r="F21" s="113" t="s">
        <v>213</v>
      </c>
      <c r="G21" s="174"/>
      <c r="H21" s="174"/>
      <c r="I21" s="174"/>
      <c r="J21" s="174" t="n">
        <v>1</v>
      </c>
      <c r="K21" s="174"/>
      <c r="L21" s="175" t="n">
        <v>0.25</v>
      </c>
      <c r="M21" s="175" t="n">
        <v>0.25</v>
      </c>
      <c r="N21" s="175"/>
      <c r="O21" s="175"/>
      <c r="P21" s="175" t="n">
        <v>0.25</v>
      </c>
      <c r="Q21" s="175" t="n">
        <v>0</v>
      </c>
      <c r="R21" s="175" t="n">
        <v>0</v>
      </c>
      <c r="S21" s="175" t="n">
        <v>0</v>
      </c>
      <c r="T21" s="175" t="n">
        <v>0</v>
      </c>
      <c r="U21" s="175" t="n">
        <v>0</v>
      </c>
      <c r="V21" s="117" t="n">
        <v>0.5</v>
      </c>
      <c r="W21" s="176" t="n">
        <f aca="false">Таблица32[[#This Row],[Столбец7]]*Таблица32[[#This Row],[Ishga kelish nazoratchi2]]%</f>
        <v>0</v>
      </c>
      <c r="X21" s="177" t="n">
        <f aca="false">Таблица32[[#This Row],[Столбец7]]*Таблица32[[#This Row],[Ishga vaqtida kelish ketish]]%</f>
        <v>0</v>
      </c>
      <c r="Y21" s="177" t="n">
        <f aca="false">Таблица32[[#This Row],[Столбец7]]*Таблица32[[#This Row],[Ishga kelish bank klient]]%</f>
        <v>0</v>
      </c>
      <c r="Z21" s="177" t="n">
        <f aca="false">Таблица32[[#This Row],[Столбец7]]*Таблица32[[#This Row],[Gruppa buxgalter]]%</f>
        <v>5000</v>
      </c>
      <c r="AA21" s="177" t="n">
        <f aca="false">Таблица32[[#This Row],[Столбец7]]*Таблица32[[#This Row],[Gruppa bank klient ]]%</f>
        <v>0</v>
      </c>
      <c r="AB21" s="177" t="n">
        <f aca="false">Таблица32[[#This Row],[1c]]*Таблица32[[#This Row],[Столбец7]]/100</f>
        <v>0</v>
      </c>
      <c r="AC21" s="178" t="n">
        <f aca="false">SUM(Таблица32[[#This Row],[Didox]:[ мехнат]],Таблица32[[#This Row],[Avtokameral]])*Таблица32[[#This Row],[Столбец7]]/100</f>
        <v>3750</v>
      </c>
      <c r="AD21" s="178" t="n">
        <f aca="false">SUM(Таблица32[[#This Row],[Pul oqimlari]:[Foyda va zarar]])*Таблица32[[#This Row],[Столбец7]]/100</f>
        <v>0</v>
      </c>
      <c r="AE21" s="177" t="n">
        <f aca="false">Таблица32[[#This Row],[Столбец7]]*Таблица32[[#This Row],[Nazoratchi]]%</f>
        <v>2500</v>
      </c>
      <c r="AF21" s="177" t="n">
        <f aca="false">Таблица32[[#This Row],[Ishga vaqtida kelish nazoratchi]]+Таблица32[[#This Row],[Nazoratchi2]]</f>
        <v>2500</v>
      </c>
      <c r="AG2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21" s="177" t="n">
        <f aca="false">Таблица32[[#This Row],[Ishga kelish bank klient3]]+Таблица32[[#This Row],[Gruppa bank klient 2]]</f>
        <v>0</v>
      </c>
    </row>
    <row r="22" customFormat="false" ht="17.35" hidden="false" customHeight="false" outlineLevel="0" collapsed="false">
      <c r="A22" s="112" t="n">
        <v>20</v>
      </c>
      <c r="B22" s="113" t="s">
        <v>255</v>
      </c>
      <c r="C22" s="113" t="s">
        <v>218</v>
      </c>
      <c r="D22" s="113" t="s">
        <v>238</v>
      </c>
      <c r="E22" s="115" t="n">
        <v>1000000</v>
      </c>
      <c r="F22" s="113" t="s">
        <v>210</v>
      </c>
      <c r="G22" s="174" t="n">
        <v>-0.35</v>
      </c>
      <c r="H22" s="174" t="n">
        <v>1</v>
      </c>
      <c r="I22" s="174"/>
      <c r="J22" s="174" t="n">
        <v>1</v>
      </c>
      <c r="K22" s="174" t="n">
        <v>1</v>
      </c>
      <c r="L22" s="175" t="n">
        <v>0.25</v>
      </c>
      <c r="M22" s="175" t="n">
        <v>0.25</v>
      </c>
      <c r="N22" s="175"/>
      <c r="O22" s="175" t="n">
        <v>1</v>
      </c>
      <c r="P22" s="175" t="n">
        <v>0.25</v>
      </c>
      <c r="Q22" s="175" t="n">
        <v>0.2</v>
      </c>
      <c r="R22" s="175" t="n">
        <v>0.2</v>
      </c>
      <c r="S22" s="175" t="n">
        <v>0.2</v>
      </c>
      <c r="T22" s="175" t="n">
        <v>0.2</v>
      </c>
      <c r="U22" s="175" t="n">
        <v>0.2</v>
      </c>
      <c r="V22" s="117" t="n">
        <v>0.5</v>
      </c>
      <c r="W22" s="176" t="n">
        <f aca="false">Таблица32[[#This Row],[Столбец7]]*Таблица32[[#This Row],[Ishga kelish nazoratchi2]]%</f>
        <v>0</v>
      </c>
      <c r="X22" s="177" t="n">
        <f aca="false">Таблица32[[#This Row],[Столбец7]]*Таблица32[[#This Row],[Ishga vaqtida kelish ketish]]%</f>
        <v>-3500</v>
      </c>
      <c r="Y22" s="177" t="n">
        <f aca="false">Таблица32[[#This Row],[Столбец7]]*Таблица32[[#This Row],[Ishga kelish bank klient]]%</f>
        <v>10000</v>
      </c>
      <c r="Z22" s="177" t="n">
        <f aca="false">Таблица32[[#This Row],[Столбец7]]*Таблица32[[#This Row],[Gruppa buxgalter]]%</f>
        <v>10000</v>
      </c>
      <c r="AA22" s="177" t="n">
        <f aca="false">Таблица32[[#This Row],[Столбец7]]*Таблица32[[#This Row],[Gruppa bank klient ]]%</f>
        <v>10000</v>
      </c>
      <c r="AB22" s="177" t="n">
        <f aca="false">Таблица32[[#This Row],[1c]]*Таблица32[[#This Row],[Столбец7]]/100</f>
        <v>10000</v>
      </c>
      <c r="AC22" s="178" t="n">
        <f aca="false">SUM(Таблица32[[#This Row],[Didox]:[ мехнат]],Таблица32[[#This Row],[Avtokameral]])*Таблица32[[#This Row],[Столбец7]]/100</f>
        <v>7500</v>
      </c>
      <c r="AD22" s="178" t="n">
        <f aca="false">SUM(Таблица32[[#This Row],[Pul oqimlari]:[Foyda va zarar]])*Таблица32[[#This Row],[Столбец7]]/100</f>
        <v>10000</v>
      </c>
      <c r="AE22" s="177" t="n">
        <f aca="false">Таблица32[[#This Row],[Столбец7]]*Таблица32[[#This Row],[Nazoratchi]]%</f>
        <v>5000</v>
      </c>
      <c r="AF22" s="177" t="n">
        <f aca="false">Таблица32[[#This Row],[Ishga vaqtida kelish nazoratchi]]+Таблица32[[#This Row],[Nazoratchi2]]</f>
        <v>5000</v>
      </c>
      <c r="AG2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34000</v>
      </c>
      <c r="AH22" s="177" t="n">
        <f aca="false">Таблица32[[#This Row],[Ishga kelish bank klient3]]+Таблица32[[#This Row],[Gruppa bank klient 2]]</f>
        <v>20000</v>
      </c>
    </row>
    <row r="23" customFormat="false" ht="32.8" hidden="false" customHeight="false" outlineLevel="0" collapsed="false">
      <c r="A23" s="112" t="n">
        <v>21</v>
      </c>
      <c r="B23" s="113" t="s">
        <v>177</v>
      </c>
      <c r="C23" s="113" t="s">
        <v>209</v>
      </c>
      <c r="D23" s="113" t="s">
        <v>224</v>
      </c>
      <c r="E23" s="115" t="n">
        <v>1000000</v>
      </c>
      <c r="F23" s="113" t="s">
        <v>213</v>
      </c>
      <c r="G23" s="174"/>
      <c r="H23" s="174" t="n">
        <v>1</v>
      </c>
      <c r="I23" s="174"/>
      <c r="J23" s="174" t="n">
        <v>1</v>
      </c>
      <c r="K23" s="174" t="n">
        <v>1</v>
      </c>
      <c r="L23" s="175" t="n">
        <v>0.25</v>
      </c>
      <c r="M23" s="175" t="n">
        <v>0.25</v>
      </c>
      <c r="N23" s="175"/>
      <c r="O23" s="175" t="n">
        <v>1</v>
      </c>
      <c r="P23" s="175" t="n">
        <v>0.25</v>
      </c>
      <c r="Q23" s="175" t="n">
        <v>0.2</v>
      </c>
      <c r="R23" s="175" t="n">
        <v>0.2</v>
      </c>
      <c r="S23" s="175" t="n">
        <v>0.2</v>
      </c>
      <c r="T23" s="175" t="n">
        <v>0.2</v>
      </c>
      <c r="U23" s="175" t="n">
        <v>0.2</v>
      </c>
      <c r="V23" s="174" t="n">
        <v>0.5</v>
      </c>
      <c r="W23" s="176" t="n">
        <f aca="false">Таблица32[[#This Row],[Столбец7]]*Таблица32[[#This Row],[Ishga kelish nazoratchi2]]%</f>
        <v>0</v>
      </c>
      <c r="X23" s="177" t="n">
        <f aca="false">Таблица32[[#This Row],[Столбец7]]*Таблица32[[#This Row],[Ishga vaqtida kelish ketish]]%</f>
        <v>0</v>
      </c>
      <c r="Y23" s="177" t="n">
        <f aca="false">Таблица32[[#This Row],[Столбец7]]*Таблица32[[#This Row],[Ishga kelish bank klient]]%</f>
        <v>10000</v>
      </c>
      <c r="Z23" s="177" t="n">
        <f aca="false">Таблица32[[#This Row],[Столбец7]]*Таблица32[[#This Row],[Gruppa buxgalter]]%</f>
        <v>10000</v>
      </c>
      <c r="AA23" s="177" t="n">
        <f aca="false">Таблица32[[#This Row],[Столбец7]]*Таблица32[[#This Row],[Gruppa bank klient ]]%</f>
        <v>10000</v>
      </c>
      <c r="AB23" s="177" t="n">
        <f aca="false">Таблица32[[#This Row],[1c]]*Таблица32[[#This Row],[Столбец7]]/100</f>
        <v>10000</v>
      </c>
      <c r="AC23" s="178" t="n">
        <f aca="false">SUM(Таблица32[[#This Row],[Didox]:[ мехнат]],Таблица32[[#This Row],[Avtokameral]])*Таблица32[[#This Row],[Столбец7]]/100</f>
        <v>7500</v>
      </c>
      <c r="AD23" s="178" t="n">
        <f aca="false">SUM(Таблица32[[#This Row],[Pul oqimlari]:[Foyda va zarar]])*Таблица32[[#This Row],[Столбец7]]/100</f>
        <v>10000</v>
      </c>
      <c r="AE23" s="177" t="n">
        <f aca="false">Таблица32[[#This Row],[Столбец7]]*Таблица32[[#This Row],[Nazoratchi]]%</f>
        <v>5000</v>
      </c>
      <c r="AF23" s="177" t="n">
        <f aca="false">Таблица32[[#This Row],[Ishga vaqtida kelish nazoratchi]]+Таблица32[[#This Row],[Nazoratchi2]]</f>
        <v>5000</v>
      </c>
      <c r="AG2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37500</v>
      </c>
      <c r="AH23" s="177" t="n">
        <f aca="false">Таблица32[[#This Row],[Ishga kelish bank klient3]]+Таблица32[[#This Row],[Gruppa bank klient 2]]</f>
        <v>20000</v>
      </c>
    </row>
    <row r="24" customFormat="false" ht="17.35" hidden="false" customHeight="false" outlineLevel="0" collapsed="false">
      <c r="A24" s="112" t="n">
        <v>22</v>
      </c>
      <c r="B24" s="113" t="s">
        <v>256</v>
      </c>
      <c r="C24" s="113"/>
      <c r="D24" s="113"/>
      <c r="E24" s="115" t="n">
        <v>50000000</v>
      </c>
      <c r="F24" s="113"/>
      <c r="G24" s="174"/>
      <c r="H24" s="174"/>
      <c r="I24" s="174"/>
      <c r="J24" s="174"/>
      <c r="K24" s="174"/>
      <c r="L24" s="175" t="n">
        <v>0</v>
      </c>
      <c r="M24" s="175" t="n">
        <v>0</v>
      </c>
      <c r="N24" s="175"/>
      <c r="O24" s="175"/>
      <c r="P24" s="175" t="n">
        <v>0</v>
      </c>
      <c r="Q24" s="175" t="n">
        <v>0</v>
      </c>
      <c r="R24" s="175" t="n">
        <v>0</v>
      </c>
      <c r="S24" s="175" t="n">
        <v>0</v>
      </c>
      <c r="T24" s="175" t="n">
        <v>0</v>
      </c>
      <c r="U24" s="175" t="n">
        <v>0</v>
      </c>
      <c r="V24" s="117"/>
      <c r="W24" s="176" t="n">
        <f aca="false">Таблица32[[#This Row],[Столбец7]]*Таблица32[[#This Row],[Ishga kelish nazoratchi2]]%</f>
        <v>0</v>
      </c>
      <c r="X24" s="177" t="n">
        <f aca="false">Таблица32[[#This Row],[Столбец7]]*Таблица32[[#This Row],[Ishga vaqtida kelish ketish]]%</f>
        <v>0</v>
      </c>
      <c r="Y24" s="177" t="n">
        <f aca="false">Таблица32[[#This Row],[Столбец7]]*Таблица32[[#This Row],[Ishga kelish bank klient]]%</f>
        <v>0</v>
      </c>
      <c r="Z24" s="177" t="n">
        <f aca="false">Таблица32[[#This Row],[Столбец7]]*Таблица32[[#This Row],[Gruppa buxgalter]]%</f>
        <v>0</v>
      </c>
      <c r="AA24" s="177" t="n">
        <f aca="false">Таблица32[[#This Row],[Столбец7]]*Таблица32[[#This Row],[Gruppa bank klient ]]%</f>
        <v>0</v>
      </c>
      <c r="AB24" s="177" t="n">
        <f aca="false">Таблица32[[#This Row],[1c]]*Таблица32[[#This Row],[Столбец7]]/100</f>
        <v>0</v>
      </c>
      <c r="AC24" s="178" t="n">
        <f aca="false">SUM(Таблица32[[#This Row],[Didox]:[ мехнат]],Таблица32[[#This Row],[Avtokameral]])*Таблица32[[#This Row],[Столбец7]]/100</f>
        <v>0</v>
      </c>
      <c r="AD24" s="178" t="n">
        <f aca="false">SUM(Таблица32[[#This Row],[Pul oqimlari]:[Foyda va zarar]])*Таблица32[[#This Row],[Столбец7]]/100</f>
        <v>0</v>
      </c>
      <c r="AE24" s="177" t="n">
        <f aca="false">Таблица32[[#This Row],[Столбец7]]*Таблица32[[#This Row],[Nazoratchi]]%</f>
        <v>0</v>
      </c>
      <c r="AF24" s="177" t="n">
        <f aca="false">Таблица32[[#This Row],[Ishga vaqtida kelish nazoratchi]]+Таблица32[[#This Row],[Nazoratchi2]]</f>
        <v>0</v>
      </c>
      <c r="AG2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4" s="177" t="n">
        <f aca="false">Таблица32[[#This Row],[Ishga kelish bank klient3]]+Таблица32[[#This Row],[Gruppa bank klient 2]]</f>
        <v>0</v>
      </c>
    </row>
    <row r="25" customFormat="false" ht="17.35" hidden="false" customHeight="false" outlineLevel="0" collapsed="false">
      <c r="A25" s="112" t="n">
        <v>23</v>
      </c>
      <c r="B25" s="113" t="s">
        <v>117</v>
      </c>
      <c r="C25" s="114" t="s">
        <v>226</v>
      </c>
      <c r="D25" s="113" t="s">
        <v>224</v>
      </c>
      <c r="E25" s="115" t="n">
        <v>500000</v>
      </c>
      <c r="F25" s="113" t="s">
        <v>213</v>
      </c>
      <c r="G25" s="175"/>
      <c r="H25" s="174" t="n">
        <v>1</v>
      </c>
      <c r="I25" s="175"/>
      <c r="J25" s="174" t="n">
        <v>1</v>
      </c>
      <c r="K25" s="174" t="n">
        <v>1</v>
      </c>
      <c r="L25" s="175" t="n">
        <v>0.25</v>
      </c>
      <c r="M25" s="175" t="n">
        <v>0.25</v>
      </c>
      <c r="N25" s="175"/>
      <c r="O25" s="175"/>
      <c r="P25" s="175" t="n">
        <v>0.25</v>
      </c>
      <c r="Q25" s="175" t="n">
        <v>0</v>
      </c>
      <c r="R25" s="175" t="n">
        <v>0</v>
      </c>
      <c r="S25" s="175" t="n">
        <v>0</v>
      </c>
      <c r="T25" s="175" t="n">
        <v>0</v>
      </c>
      <c r="U25" s="175" t="n">
        <v>0</v>
      </c>
      <c r="V25" s="117" t="n">
        <v>0.5</v>
      </c>
      <c r="W25" s="176" t="n">
        <f aca="false">Таблица32[[#This Row],[Столбец7]]*Таблица32[[#This Row],[Ishga kelish nazoratchi2]]%</f>
        <v>0</v>
      </c>
      <c r="X25" s="177" t="n">
        <f aca="false">Таблица32[[#This Row],[Столбец7]]*Таблица32[[#This Row],[Ishga vaqtida kelish ketish]]%</f>
        <v>0</v>
      </c>
      <c r="Y25" s="177" t="n">
        <f aca="false">Таблица32[[#This Row],[Столбец7]]*Таблица32[[#This Row],[Ishga kelish bank klient]]%</f>
        <v>5000</v>
      </c>
      <c r="Z25" s="177" t="n">
        <f aca="false">Таблица32[[#This Row],[Столбец7]]*Таблица32[[#This Row],[Gruppa buxgalter]]%</f>
        <v>5000</v>
      </c>
      <c r="AA25" s="177" t="n">
        <f aca="false">Таблица32[[#This Row],[Столбец7]]*Таблица32[[#This Row],[Gruppa bank klient ]]%</f>
        <v>5000</v>
      </c>
      <c r="AB25" s="177" t="n">
        <f aca="false">Таблица32[[#This Row],[1c]]*Таблица32[[#This Row],[Столбец7]]/100</f>
        <v>0</v>
      </c>
      <c r="AC25" s="178" t="n">
        <f aca="false">SUM(Таблица32[[#This Row],[Didox]:[ мехнат]],Таблица32[[#This Row],[Avtokameral]])*Таблица32[[#This Row],[Столбец7]]/100</f>
        <v>3750</v>
      </c>
      <c r="AD25" s="178" t="n">
        <f aca="false">SUM(Таблица32[[#This Row],[Pul oqimlari]:[Foyda va zarar]])*Таблица32[[#This Row],[Столбец7]]/100</f>
        <v>0</v>
      </c>
      <c r="AE25" s="177" t="n">
        <f aca="false">Таблица32[[#This Row],[Столбец7]]*Таблица32[[#This Row],[Nazoratchi]]%</f>
        <v>2500</v>
      </c>
      <c r="AF25" s="177" t="n">
        <f aca="false">Таблица32[[#This Row],[Ishga vaqtida kelish nazoratchi]]+Таблица32[[#This Row],[Nazoratchi2]]</f>
        <v>2500</v>
      </c>
      <c r="AG2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25" s="177" t="n">
        <f aca="false">Таблица32[[#This Row],[Ishga kelish bank klient3]]+Таблица32[[#This Row],[Gruppa bank klient 2]]</f>
        <v>10000</v>
      </c>
    </row>
    <row r="26" customFormat="false" ht="17.35" hidden="false" customHeight="false" outlineLevel="0" collapsed="false">
      <c r="A26" s="112" t="n">
        <v>24</v>
      </c>
      <c r="B26" s="113" t="s">
        <v>148</v>
      </c>
      <c r="C26" s="114" t="s">
        <v>226</v>
      </c>
      <c r="D26" s="113" t="s">
        <v>224</v>
      </c>
      <c r="E26" s="115" t="n">
        <v>500000</v>
      </c>
      <c r="F26" s="113" t="s">
        <v>213</v>
      </c>
      <c r="G26" s="174"/>
      <c r="H26" s="174" t="n">
        <v>1</v>
      </c>
      <c r="I26" s="174"/>
      <c r="J26" s="174" t="n">
        <v>1</v>
      </c>
      <c r="K26" s="174" t="n">
        <v>1</v>
      </c>
      <c r="L26" s="175" t="n">
        <v>0.25</v>
      </c>
      <c r="M26" s="175" t="n">
        <v>0.25</v>
      </c>
      <c r="N26" s="175"/>
      <c r="O26" s="175"/>
      <c r="P26" s="175" t="n">
        <v>0.25</v>
      </c>
      <c r="Q26" s="175" t="n">
        <v>0</v>
      </c>
      <c r="R26" s="175" t="n">
        <v>0</v>
      </c>
      <c r="S26" s="175" t="n">
        <v>0</v>
      </c>
      <c r="T26" s="175" t="n">
        <v>0</v>
      </c>
      <c r="U26" s="175" t="n">
        <v>0</v>
      </c>
      <c r="V26" s="117" t="n">
        <v>0.5</v>
      </c>
      <c r="W26" s="176" t="n">
        <f aca="false">Таблица32[[#This Row],[Столбец7]]*Таблица32[[#This Row],[Ishga kelish nazoratchi2]]%</f>
        <v>0</v>
      </c>
      <c r="X26" s="177" t="n">
        <f aca="false">Таблица32[[#This Row],[Столбец7]]*Таблица32[[#This Row],[Ishga vaqtida kelish ketish]]%</f>
        <v>0</v>
      </c>
      <c r="Y26" s="177" t="n">
        <f aca="false">Таблица32[[#This Row],[Столбец7]]*Таблица32[[#This Row],[Ishga kelish bank klient]]%</f>
        <v>5000</v>
      </c>
      <c r="Z26" s="177" t="n">
        <f aca="false">Таблица32[[#This Row],[Столбец7]]*Таблица32[[#This Row],[Gruppa buxgalter]]%</f>
        <v>5000</v>
      </c>
      <c r="AA26" s="177" t="n">
        <f aca="false">Таблица32[[#This Row],[Столбец7]]*Таблица32[[#This Row],[Gruppa bank klient ]]%</f>
        <v>5000</v>
      </c>
      <c r="AB26" s="177" t="n">
        <f aca="false">Таблица32[[#This Row],[1c]]*Таблица32[[#This Row],[Столбец7]]/100</f>
        <v>0</v>
      </c>
      <c r="AC26" s="178" t="n">
        <f aca="false">SUM(Таблица32[[#This Row],[Didox]:[ мехнат]],Таблица32[[#This Row],[Avtokameral]])*Таблица32[[#This Row],[Столбец7]]/100</f>
        <v>3750</v>
      </c>
      <c r="AD26" s="178" t="n">
        <f aca="false">SUM(Таблица32[[#This Row],[Pul oqimlari]:[Foyda va zarar]])*Таблица32[[#This Row],[Столбец7]]/100</f>
        <v>0</v>
      </c>
      <c r="AE26" s="177" t="n">
        <f aca="false">Таблица32[[#This Row],[Столбец7]]*Таблица32[[#This Row],[Nazoratchi]]%</f>
        <v>2500</v>
      </c>
      <c r="AF26" s="177" t="n">
        <f aca="false">Таблица32[[#This Row],[Ishga vaqtida kelish nazoratchi]]+Таблица32[[#This Row],[Nazoratchi2]]</f>
        <v>2500</v>
      </c>
      <c r="AG2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26" s="177" t="n">
        <f aca="false">Таблица32[[#This Row],[Ishga kelish bank klient3]]+Таблица32[[#This Row],[Gruppa bank klient 2]]</f>
        <v>10000</v>
      </c>
    </row>
    <row r="27" customFormat="false" ht="17.35" hidden="false" customHeight="false" outlineLevel="0" collapsed="false">
      <c r="A27" s="112" t="n">
        <v>25</v>
      </c>
      <c r="B27" s="113" t="s">
        <v>127</v>
      </c>
      <c r="C27" s="113" t="s">
        <v>211</v>
      </c>
      <c r="D27" s="113" t="s">
        <v>224</v>
      </c>
      <c r="E27" s="115" t="n">
        <v>2300000</v>
      </c>
      <c r="F27" s="113" t="s">
        <v>210</v>
      </c>
      <c r="G27" s="174"/>
      <c r="H27" s="174" t="n">
        <v>1</v>
      </c>
      <c r="I27" s="174"/>
      <c r="J27" s="174" t="n">
        <v>1</v>
      </c>
      <c r="K27" s="174" t="n">
        <v>1</v>
      </c>
      <c r="L27" s="175" t="n">
        <v>0.25</v>
      </c>
      <c r="M27" s="175" t="n">
        <v>0.25</v>
      </c>
      <c r="N27" s="175" t="n">
        <v>0.25</v>
      </c>
      <c r="O27" s="175" t="n">
        <v>1</v>
      </c>
      <c r="P27" s="175" t="n">
        <v>0.25</v>
      </c>
      <c r="Q27" s="175" t="n">
        <v>0.2</v>
      </c>
      <c r="R27" s="175" t="n">
        <v>0.2</v>
      </c>
      <c r="S27" s="175" t="n">
        <v>0.2</v>
      </c>
      <c r="T27" s="175" t="n">
        <v>0.2</v>
      </c>
      <c r="U27" s="175" t="n">
        <v>0.2</v>
      </c>
      <c r="V27" s="117" t="n">
        <v>0.5</v>
      </c>
      <c r="W27" s="176" t="n">
        <f aca="false">Таблица32[[#This Row],[Столбец7]]*Таблица32[[#This Row],[Ishga kelish nazoratchi2]]%</f>
        <v>0</v>
      </c>
      <c r="X27" s="177" t="n">
        <f aca="false">Таблица32[[#This Row],[Столбец7]]*Таблица32[[#This Row],[Ishga vaqtida kelish ketish]]%</f>
        <v>0</v>
      </c>
      <c r="Y27" s="177" t="n">
        <f aca="false">Таблица32[[#This Row],[Столбец7]]*Таблица32[[#This Row],[Ishga kelish bank klient]]%</f>
        <v>23000</v>
      </c>
      <c r="Z27" s="177" t="n">
        <f aca="false">Таблица32[[#This Row],[Столбец7]]*Таблица32[[#This Row],[Gruppa buxgalter]]%</f>
        <v>23000</v>
      </c>
      <c r="AA27" s="177" t="n">
        <f aca="false">Таблица32[[#This Row],[Столбец7]]*Таблица32[[#This Row],[Gruppa bank klient ]]%</f>
        <v>23000</v>
      </c>
      <c r="AB27" s="177" t="n">
        <f aca="false">Таблица32[[#This Row],[1c]]*Таблица32[[#This Row],[Столбец7]]/100</f>
        <v>23000</v>
      </c>
      <c r="AC27" s="178" t="n">
        <f aca="false">SUM(Таблица32[[#This Row],[Didox]:[ мехнат]],Таблица32[[#This Row],[Avtokameral]])*Таблица32[[#This Row],[Столбец7]]/100</f>
        <v>23000</v>
      </c>
      <c r="AD27" s="178" t="n">
        <f aca="false">SUM(Таблица32[[#This Row],[Pul oqimlari]:[Foyda va zarar]])*Таблица32[[#This Row],[Столбец7]]/100</f>
        <v>23000</v>
      </c>
      <c r="AE27" s="177" t="n">
        <f aca="false">Таблица32[[#This Row],[Столбец7]]*Таблица32[[#This Row],[Nazoratchi]]%</f>
        <v>11500</v>
      </c>
      <c r="AF27" s="177" t="n">
        <f aca="false">Таблица32[[#This Row],[Ishga vaqtida kelish nazoratchi]]+Таблица32[[#This Row],[Nazoratchi2]]</f>
        <v>11500</v>
      </c>
      <c r="AG2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92000</v>
      </c>
      <c r="AH27" s="177" t="n">
        <f aca="false">Таблица32[[#This Row],[Ishga kelish bank klient3]]+Таблица32[[#This Row],[Gruppa bank klient 2]]</f>
        <v>46000</v>
      </c>
    </row>
    <row r="28" customFormat="false" ht="32.8" hidden="false" customHeight="false" outlineLevel="0" collapsed="false">
      <c r="A28" s="112" t="n">
        <v>26</v>
      </c>
      <c r="B28" s="136" t="s">
        <v>542</v>
      </c>
      <c r="C28" s="114" t="s">
        <v>226</v>
      </c>
      <c r="D28" s="113" t="s">
        <v>238</v>
      </c>
      <c r="E28" s="115" t="n">
        <v>600000</v>
      </c>
      <c r="F28" s="113" t="s">
        <v>213</v>
      </c>
      <c r="G28" s="174"/>
      <c r="H28" s="174" t="n">
        <v>1</v>
      </c>
      <c r="I28" s="179"/>
      <c r="J28" s="174" t="n">
        <v>1</v>
      </c>
      <c r="K28" s="174" t="n">
        <v>1</v>
      </c>
      <c r="L28" s="175" t="n">
        <v>0.25</v>
      </c>
      <c r="M28" s="175" t="n">
        <v>0.25</v>
      </c>
      <c r="N28" s="175"/>
      <c r="O28" s="175" t="n">
        <v>1</v>
      </c>
      <c r="P28" s="175" t="n">
        <v>0.25</v>
      </c>
      <c r="Q28" s="175" t="n">
        <v>0.2</v>
      </c>
      <c r="R28" s="175" t="n">
        <v>0.2</v>
      </c>
      <c r="S28" s="175" t="n">
        <v>0.2</v>
      </c>
      <c r="T28" s="175" t="n">
        <v>0.2</v>
      </c>
      <c r="U28" s="175" t="n">
        <v>0.2</v>
      </c>
      <c r="V28" s="117" t="n">
        <v>0.5</v>
      </c>
      <c r="W28" s="176" t="n">
        <f aca="false">Таблица32[[#This Row],[Столбец7]]*Таблица32[[#This Row],[Ishga kelish nazoratchi2]]%</f>
        <v>0</v>
      </c>
      <c r="X28" s="177" t="n">
        <f aca="false">Таблица32[[#This Row],[Столбец7]]*Таблица32[[#This Row],[Ishga vaqtida kelish ketish]]%</f>
        <v>0</v>
      </c>
      <c r="Y28" s="177" t="n">
        <f aca="false">Таблица32[[#This Row],[Столбец7]]*Таблица32[[#This Row],[Ishga kelish bank klient]]%</f>
        <v>6000</v>
      </c>
      <c r="Z28" s="177" t="n">
        <f aca="false">Таблица32[[#This Row],[Столбец7]]*Таблица32[[#This Row],[Gruppa buxgalter]]%</f>
        <v>6000</v>
      </c>
      <c r="AA28" s="177" t="n">
        <f aca="false">Таблица32[[#This Row],[Столбец7]]*Таблица32[[#This Row],[Gruppa bank klient ]]%</f>
        <v>6000</v>
      </c>
      <c r="AB28" s="177" t="n">
        <f aca="false">Таблица32[[#This Row],[1c]]*Таблица32[[#This Row],[Столбец7]]/100</f>
        <v>6000</v>
      </c>
      <c r="AC28" s="178" t="n">
        <f aca="false">SUM(Таблица32[[#This Row],[Didox]:[ мехнат]],Таблица32[[#This Row],[Avtokameral]])*Таблица32[[#This Row],[Столбец7]]/100</f>
        <v>4500</v>
      </c>
      <c r="AD28" s="178" t="n">
        <f aca="false">SUM(Таблица32[[#This Row],[Pul oqimlari]:[Foyda va zarar]])*Таблица32[[#This Row],[Столбец7]]/100</f>
        <v>6000</v>
      </c>
      <c r="AE28" s="177" t="n">
        <f aca="false">Таблица32[[#This Row],[Столбец7]]*Таблица32[[#This Row],[Nazoratchi]]%</f>
        <v>3000</v>
      </c>
      <c r="AF28" s="177" t="n">
        <f aca="false">Таблица32[[#This Row],[Ishga vaqtida kelish nazoratchi]]+Таблица32[[#This Row],[Nazoratchi2]]</f>
        <v>3000</v>
      </c>
      <c r="AG2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22500</v>
      </c>
      <c r="AH28" s="177" t="n">
        <f aca="false">Таблица32[[#This Row],[Ishga kelish bank klient3]]+Таблица32[[#This Row],[Gruppa bank klient 2]]</f>
        <v>12000</v>
      </c>
    </row>
    <row r="29" customFormat="false" ht="17.35" hidden="false" customHeight="false" outlineLevel="0" collapsed="false">
      <c r="A29" s="112" t="n">
        <v>27</v>
      </c>
      <c r="B29" s="113" t="s">
        <v>257</v>
      </c>
      <c r="C29" s="113" t="s">
        <v>216</v>
      </c>
      <c r="D29" s="113" t="s">
        <v>238</v>
      </c>
      <c r="E29" s="115" t="n">
        <v>2500000</v>
      </c>
      <c r="F29" s="113" t="s">
        <v>210</v>
      </c>
      <c r="G29" s="174" t="n">
        <v>-0.25</v>
      </c>
      <c r="H29" s="174" t="n">
        <v>1</v>
      </c>
      <c r="I29" s="179"/>
      <c r="J29" s="174" t="n">
        <v>1</v>
      </c>
      <c r="K29" s="174" t="n">
        <v>1</v>
      </c>
      <c r="L29" s="175" t="n">
        <v>0.25</v>
      </c>
      <c r="M29" s="175" t="n">
        <v>0.25</v>
      </c>
      <c r="N29" s="175" t="n">
        <v>0.25</v>
      </c>
      <c r="O29" s="175" t="n">
        <v>1</v>
      </c>
      <c r="P29" s="175" t="n">
        <v>0.25</v>
      </c>
      <c r="Q29" s="175" t="n">
        <v>0.2</v>
      </c>
      <c r="R29" s="175" t="n">
        <v>0.2</v>
      </c>
      <c r="S29" s="175" t="n">
        <v>0.2</v>
      </c>
      <c r="T29" s="175" t="n">
        <v>0.2</v>
      </c>
      <c r="U29" s="175" t="n">
        <v>0.2</v>
      </c>
      <c r="V29" s="117" t="n">
        <v>0.5</v>
      </c>
      <c r="W29" s="176" t="n">
        <f aca="false">Таблица32[[#This Row],[Столбец7]]*Таблица32[[#This Row],[Ishga kelish nazoratchi2]]%</f>
        <v>0</v>
      </c>
      <c r="X29" s="177" t="n">
        <f aca="false">Таблица32[[#This Row],[Столбец7]]*Таблица32[[#This Row],[Ishga vaqtida kelish ketish]]%</f>
        <v>-6250</v>
      </c>
      <c r="Y29" s="177" t="n">
        <f aca="false">Таблица32[[#This Row],[Столбец7]]*Таблица32[[#This Row],[Ishga kelish bank klient]]%</f>
        <v>25000</v>
      </c>
      <c r="Z29" s="177" t="n">
        <f aca="false">Таблица32[[#This Row],[Столбец7]]*Таблица32[[#This Row],[Gruppa buxgalter]]%</f>
        <v>25000</v>
      </c>
      <c r="AA29" s="177" t="n">
        <f aca="false">Таблица32[[#This Row],[Столбец7]]*Таблица32[[#This Row],[Gruppa bank klient ]]%</f>
        <v>25000</v>
      </c>
      <c r="AB29" s="177" t="n">
        <f aca="false">Таблица32[[#This Row],[1c]]*Таблица32[[#This Row],[Столбец7]]/100</f>
        <v>25000</v>
      </c>
      <c r="AC29" s="178" t="n">
        <f aca="false">SUM(Таблица32[[#This Row],[Didox]:[ мехнат]],Таблица32[[#This Row],[Avtokameral]])*Таблица32[[#This Row],[Столбец7]]/100</f>
        <v>25000</v>
      </c>
      <c r="AD29" s="178" t="n">
        <f aca="false">SUM(Таблица32[[#This Row],[Pul oqimlari]:[Foyda va zarar]])*Таблица32[[#This Row],[Столбец7]]/100</f>
        <v>25000</v>
      </c>
      <c r="AE29" s="177" t="n">
        <f aca="false">Таблица32[[#This Row],[Столбец7]]*Таблица32[[#This Row],[Nazoratchi]]%</f>
        <v>12500</v>
      </c>
      <c r="AF29" s="177" t="n">
        <f aca="false">Таблица32[[#This Row],[Ishga vaqtida kelish nazoratchi]]+Таблица32[[#This Row],[Nazoratchi2]]</f>
        <v>12500</v>
      </c>
      <c r="AG2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93750</v>
      </c>
      <c r="AH29" s="177" t="n">
        <f aca="false">Таблица32[[#This Row],[Ishga kelish bank klient3]]+Таблица32[[#This Row],[Gruppa bank klient 2]]</f>
        <v>50000</v>
      </c>
    </row>
    <row r="30" customFormat="false" ht="17.35" hidden="false" customHeight="false" outlineLevel="0" collapsed="false">
      <c r="A30" s="112" t="n">
        <v>28</v>
      </c>
      <c r="B30" s="120" t="s">
        <v>258</v>
      </c>
      <c r="C30" s="113" t="s">
        <v>212</v>
      </c>
      <c r="D30" s="120"/>
      <c r="E30" s="115"/>
      <c r="F30" s="113" t="s">
        <v>213</v>
      </c>
      <c r="G30" s="174"/>
      <c r="H30" s="174"/>
      <c r="I30" s="174"/>
      <c r="J30" s="174" t="n">
        <v>1</v>
      </c>
      <c r="K30" s="174"/>
      <c r="L30" s="175" t="n">
        <v>0</v>
      </c>
      <c r="M30" s="175" t="n">
        <v>0</v>
      </c>
      <c r="N30" s="175"/>
      <c r="O30" s="175"/>
      <c r="P30" s="180" t="n">
        <v>0</v>
      </c>
      <c r="Q30" s="175" t="n">
        <v>0</v>
      </c>
      <c r="R30" s="175" t="n">
        <v>0</v>
      </c>
      <c r="S30" s="175" t="n">
        <v>0</v>
      </c>
      <c r="T30" s="175" t="n">
        <v>0</v>
      </c>
      <c r="U30" s="175" t="n">
        <v>0</v>
      </c>
      <c r="V30" s="117" t="n">
        <v>0.5</v>
      </c>
      <c r="W30" s="176" t="n">
        <f aca="false">Таблица32[[#This Row],[Столбец7]]*Таблица32[[#This Row],[Ishga kelish nazoratchi2]]%</f>
        <v>0</v>
      </c>
      <c r="X30" s="177" t="n">
        <f aca="false">Таблица32[[#This Row],[Столбец7]]*Таблица32[[#This Row],[Ishga vaqtida kelish ketish]]%</f>
        <v>0</v>
      </c>
      <c r="Y30" s="177" t="n">
        <f aca="false">Таблица32[[#This Row],[Столбец7]]*Таблица32[[#This Row],[Ishga kelish bank klient]]%</f>
        <v>0</v>
      </c>
      <c r="Z30" s="177" t="n">
        <f aca="false">Таблица32[[#This Row],[Столбец7]]*Таблица32[[#This Row],[Gruppa buxgalter]]%</f>
        <v>0</v>
      </c>
      <c r="AA30" s="177" t="n">
        <f aca="false">Таблица32[[#This Row],[Столбец7]]*Таблица32[[#This Row],[Gruppa bank klient ]]%</f>
        <v>0</v>
      </c>
      <c r="AB30" s="177" t="n">
        <f aca="false">Таблица32[[#This Row],[1c]]*Таблица32[[#This Row],[Столбец7]]/100</f>
        <v>0</v>
      </c>
      <c r="AC30" s="178" t="n">
        <f aca="false">SUM(Таблица32[[#This Row],[Didox]:[ мехнат]],Таблица32[[#This Row],[Avtokameral]])*Таблица32[[#This Row],[Столбец7]]/100</f>
        <v>0</v>
      </c>
      <c r="AD30" s="178" t="n">
        <f aca="false">SUM(Таблица32[[#This Row],[Pul oqimlari]:[Foyda va zarar]])*Таблица32[[#This Row],[Столбец7]]/100</f>
        <v>0</v>
      </c>
      <c r="AE30" s="177" t="n">
        <f aca="false">Таблица32[[#This Row],[Столбец7]]*Таблица32[[#This Row],[Nazoratchi]]%</f>
        <v>0</v>
      </c>
      <c r="AF30" s="177" t="n">
        <f aca="false">Таблица32[[#This Row],[Ishga vaqtida kelish nazoratchi]]+Таблица32[[#This Row],[Nazoratchi2]]</f>
        <v>0</v>
      </c>
      <c r="AG3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30" s="177" t="n">
        <f aca="false">Таблица32[[#This Row],[Ishga kelish bank klient3]]+Таблица32[[#This Row],[Gruppa bank klient 2]]</f>
        <v>0</v>
      </c>
    </row>
    <row r="31" customFormat="false" ht="17.35" hidden="false" customHeight="false" outlineLevel="0" collapsed="false">
      <c r="A31" s="112" t="n">
        <v>29</v>
      </c>
      <c r="B31" s="113" t="s">
        <v>259</v>
      </c>
      <c r="C31" s="113" t="s">
        <v>212</v>
      </c>
      <c r="D31" s="113"/>
      <c r="E31" s="115"/>
      <c r="F31" s="113" t="s">
        <v>213</v>
      </c>
      <c r="G31" s="174"/>
      <c r="H31" s="174"/>
      <c r="I31" s="179"/>
      <c r="J31" s="174" t="n">
        <v>1</v>
      </c>
      <c r="K31" s="174"/>
      <c r="L31" s="175" t="n">
        <v>0</v>
      </c>
      <c r="M31" s="175" t="n">
        <v>0</v>
      </c>
      <c r="N31" s="175"/>
      <c r="O31" s="175"/>
      <c r="P31" s="175" t="n">
        <v>0</v>
      </c>
      <c r="Q31" s="175" t="n">
        <v>0</v>
      </c>
      <c r="R31" s="175" t="n">
        <v>0</v>
      </c>
      <c r="S31" s="175" t="n">
        <v>0</v>
      </c>
      <c r="T31" s="175" t="n">
        <v>0</v>
      </c>
      <c r="U31" s="175" t="n">
        <v>0</v>
      </c>
      <c r="V31" s="117" t="n">
        <v>0.5</v>
      </c>
      <c r="W31" s="176" t="n">
        <f aca="false">Таблица32[[#This Row],[Столбец7]]*Таблица32[[#This Row],[Ishga kelish nazoratchi2]]%</f>
        <v>0</v>
      </c>
      <c r="X31" s="177" t="n">
        <f aca="false">Таблица32[[#This Row],[Столбец7]]*Таблица32[[#This Row],[Ishga vaqtida kelish ketish]]%</f>
        <v>0</v>
      </c>
      <c r="Y31" s="177" t="n">
        <f aca="false">Таблица32[[#This Row],[Столбец7]]*Таблица32[[#This Row],[Ishga kelish bank klient]]%</f>
        <v>0</v>
      </c>
      <c r="Z31" s="177" t="n">
        <f aca="false">Таблица32[[#This Row],[Столбец7]]*Таблица32[[#This Row],[Gruppa buxgalter]]%</f>
        <v>0</v>
      </c>
      <c r="AA31" s="177" t="n">
        <f aca="false">Таблица32[[#This Row],[Столбец7]]*Таблица32[[#This Row],[Gruppa bank klient ]]%</f>
        <v>0</v>
      </c>
      <c r="AB31" s="177" t="n">
        <f aca="false">Таблица32[[#This Row],[1c]]*Таблица32[[#This Row],[Столбец7]]/100</f>
        <v>0</v>
      </c>
      <c r="AC31" s="178" t="n">
        <f aca="false">SUM(Таблица32[[#This Row],[Didox]:[ мехнат]],Таблица32[[#This Row],[Avtokameral]])*Таблица32[[#This Row],[Столбец7]]/100</f>
        <v>0</v>
      </c>
      <c r="AD31" s="178" t="n">
        <f aca="false">SUM(Таблица32[[#This Row],[Pul oqimlari]:[Foyda va zarar]])*Таблица32[[#This Row],[Столбец7]]/100</f>
        <v>0</v>
      </c>
      <c r="AE31" s="177" t="n">
        <f aca="false">Таблица32[[#This Row],[Столбец7]]*Таблица32[[#This Row],[Nazoratchi]]%</f>
        <v>0</v>
      </c>
      <c r="AF31" s="177" t="n">
        <f aca="false">Таблица32[[#This Row],[Ishga vaqtida kelish nazoratchi]]+Таблица32[[#This Row],[Nazoratchi2]]</f>
        <v>0</v>
      </c>
      <c r="AG3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31" s="177" t="n">
        <f aca="false">Таблица32[[#This Row],[Ishga kelish bank klient3]]+Таблица32[[#This Row],[Gruppa bank klient 2]]</f>
        <v>0</v>
      </c>
    </row>
    <row r="32" customFormat="false" ht="17.35" hidden="false" customHeight="false" outlineLevel="0" collapsed="false">
      <c r="A32" s="112" t="n">
        <v>30</v>
      </c>
      <c r="B32" s="113" t="s">
        <v>187</v>
      </c>
      <c r="C32" s="120" t="s">
        <v>212</v>
      </c>
      <c r="D32" s="113" t="s">
        <v>238</v>
      </c>
      <c r="E32" s="115" t="n">
        <v>1000000</v>
      </c>
      <c r="F32" s="113" t="s">
        <v>213</v>
      </c>
      <c r="G32" s="174"/>
      <c r="H32" s="174" t="n">
        <v>1</v>
      </c>
      <c r="I32" s="179"/>
      <c r="J32" s="174" t="n">
        <v>1</v>
      </c>
      <c r="K32" s="174" t="n">
        <v>1</v>
      </c>
      <c r="L32" s="175" t="n">
        <v>0.25</v>
      </c>
      <c r="M32" s="175" t="n">
        <v>0.25</v>
      </c>
      <c r="N32" s="175" t="n">
        <v>0.25</v>
      </c>
      <c r="O32" s="175"/>
      <c r="P32" s="175" t="n">
        <v>0.25</v>
      </c>
      <c r="Q32" s="175" t="n">
        <v>-0.2</v>
      </c>
      <c r="R32" s="175" t="n">
        <v>0.2</v>
      </c>
      <c r="S32" s="175" t="n">
        <v>-0.2</v>
      </c>
      <c r="T32" s="175" t="n">
        <v>-0.2</v>
      </c>
      <c r="U32" s="175" t="n">
        <v>-0.2</v>
      </c>
      <c r="V32" s="117" t="n">
        <v>0.5</v>
      </c>
      <c r="W32" s="176" t="n">
        <f aca="false">Таблица32[[#This Row],[Столбец7]]*Таблица32[[#This Row],[Ishga kelish nazoratchi2]]%</f>
        <v>0</v>
      </c>
      <c r="X32" s="177" t="n">
        <f aca="false">Таблица32[[#This Row],[Столбец7]]*Таблица32[[#This Row],[Ishga vaqtida kelish ketish]]%</f>
        <v>0</v>
      </c>
      <c r="Y32" s="177" t="n">
        <f aca="false">Таблица32[[#This Row],[Столбец7]]*Таблица32[[#This Row],[Ishga kelish bank klient]]%</f>
        <v>10000</v>
      </c>
      <c r="Z32" s="177" t="n">
        <f aca="false">Таблица32[[#This Row],[Столбец7]]*Таблица32[[#This Row],[Gruppa buxgalter]]%</f>
        <v>10000</v>
      </c>
      <c r="AA32" s="177" t="n">
        <f aca="false">Таблица32[[#This Row],[Столбец7]]*Таблица32[[#This Row],[Gruppa bank klient ]]%</f>
        <v>10000</v>
      </c>
      <c r="AB32" s="177" t="n">
        <f aca="false">Таблица32[[#This Row],[1c]]*Таблица32[[#This Row],[Столбец7]]/100</f>
        <v>0</v>
      </c>
      <c r="AC32" s="178" t="n">
        <f aca="false">SUM(Таблица32[[#This Row],[Didox]:[ мехнат]],Таблица32[[#This Row],[Avtokameral]])*Таблица32[[#This Row],[Столбец7]]/100</f>
        <v>10000</v>
      </c>
      <c r="AD32" s="178" t="n">
        <f aca="false">SUM(Таблица32[[#This Row],[Pul oqimlari]:[Foyda va zarar]])*Таблица32[[#This Row],[Столбец7]]/100</f>
        <v>-6000</v>
      </c>
      <c r="AE32" s="177" t="n">
        <f aca="false">Таблица32[[#This Row],[Столбец7]]*Таблица32[[#This Row],[Nazoratchi]]%</f>
        <v>5000</v>
      </c>
      <c r="AF32" s="177" t="n">
        <f aca="false">Таблица32[[#This Row],[Ishga vaqtida kelish nazoratchi]]+Таблица32[[#This Row],[Nazoratchi2]]</f>
        <v>5000</v>
      </c>
      <c r="AG3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14000</v>
      </c>
      <c r="AH32" s="177" t="n">
        <f aca="false">Таблица32[[#This Row],[Ishga kelish bank klient3]]+Таблица32[[#This Row],[Gruppa bank klient 2]]</f>
        <v>20000</v>
      </c>
    </row>
    <row r="33" customFormat="false" ht="17.35" hidden="false" customHeight="false" outlineLevel="0" collapsed="false">
      <c r="A33" s="112" t="n">
        <v>31</v>
      </c>
      <c r="B33" s="120" t="s">
        <v>260</v>
      </c>
      <c r="C33" s="113" t="s">
        <v>212</v>
      </c>
      <c r="D33" s="113" t="s">
        <v>224</v>
      </c>
      <c r="E33" s="115" t="n">
        <v>2000000</v>
      </c>
      <c r="F33" s="113" t="s">
        <v>213</v>
      </c>
      <c r="G33" s="174"/>
      <c r="H33" s="174" t="n">
        <v>1</v>
      </c>
      <c r="I33" s="179"/>
      <c r="J33" s="174" t="n">
        <v>1</v>
      </c>
      <c r="K33" s="174" t="n">
        <v>1</v>
      </c>
      <c r="L33" s="175" t="n">
        <v>0.25</v>
      </c>
      <c r="M33" s="175" t="n">
        <v>0.25</v>
      </c>
      <c r="N33" s="175" t="n">
        <v>-0.25</v>
      </c>
      <c r="O33" s="175"/>
      <c r="P33" s="175" t="n">
        <v>-0.25</v>
      </c>
      <c r="Q33" s="175" t="n">
        <v>0.2</v>
      </c>
      <c r="R33" s="175" t="n">
        <v>0.2</v>
      </c>
      <c r="S33" s="175" t="n">
        <v>0.2</v>
      </c>
      <c r="T33" s="175" t="n">
        <v>0.2</v>
      </c>
      <c r="U33" s="175" t="n">
        <v>0.2</v>
      </c>
      <c r="V33" s="117" t="n">
        <v>0.5</v>
      </c>
      <c r="W33" s="176" t="n">
        <f aca="false">Таблица32[[#This Row],[Столбец7]]*Таблица32[[#This Row],[Ishga kelish nazoratchi2]]%</f>
        <v>0</v>
      </c>
      <c r="X33" s="177" t="n">
        <f aca="false">Таблица32[[#This Row],[Столбец7]]*Таблица32[[#This Row],[Ishga vaqtida kelish ketish]]%</f>
        <v>0</v>
      </c>
      <c r="Y33" s="177" t="n">
        <f aca="false">Таблица32[[#This Row],[Столбец7]]*Таблица32[[#This Row],[Ishga kelish bank klient]]%</f>
        <v>20000</v>
      </c>
      <c r="Z33" s="177" t="n">
        <f aca="false">Таблица32[[#This Row],[Столбец7]]*Таблица32[[#This Row],[Gruppa buxgalter]]%</f>
        <v>20000</v>
      </c>
      <c r="AA33" s="177" t="n">
        <f aca="false">Таблица32[[#This Row],[Столбец7]]*Таблица32[[#This Row],[Gruppa bank klient ]]%</f>
        <v>20000</v>
      </c>
      <c r="AB33" s="177" t="n">
        <f aca="false">Таблица32[[#This Row],[1c]]*Таблица32[[#This Row],[Столбец7]]/100</f>
        <v>0</v>
      </c>
      <c r="AC33" s="178" t="n">
        <f aca="false">SUM(Таблица32[[#This Row],[Didox]:[ мехнат]],Таблица32[[#This Row],[Avtokameral]])*Таблица32[[#This Row],[Столбец7]]/100</f>
        <v>0</v>
      </c>
      <c r="AD33" s="178" t="n">
        <f aca="false">SUM(Таблица32[[#This Row],[Pul oqimlari]:[Foyda va zarar]])*Таблица32[[#This Row],[Столбец7]]/100</f>
        <v>20000</v>
      </c>
      <c r="AE33" s="177" t="n">
        <f aca="false">Таблица32[[#This Row],[Столбец7]]*Таблица32[[#This Row],[Nazoratchi]]%</f>
        <v>10000</v>
      </c>
      <c r="AF33" s="177" t="n">
        <f aca="false">Таблица32[[#This Row],[Ishga vaqtida kelish nazoratchi]]+Таблица32[[#This Row],[Nazoratchi2]]</f>
        <v>10000</v>
      </c>
      <c r="AG3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40000</v>
      </c>
      <c r="AH33" s="177" t="n">
        <f aca="false">Таблица32[[#This Row],[Ishga kelish bank klient3]]+Таблица32[[#This Row],[Gruppa bank klient 2]]</f>
        <v>40000</v>
      </c>
    </row>
    <row r="34" customFormat="false" ht="17.35" hidden="false" customHeight="false" outlineLevel="0" collapsed="false">
      <c r="A34" s="112" t="n">
        <v>32</v>
      </c>
      <c r="B34" s="113" t="s">
        <v>102</v>
      </c>
      <c r="C34" s="113" t="s">
        <v>218</v>
      </c>
      <c r="D34" s="113" t="s">
        <v>238</v>
      </c>
      <c r="E34" s="115" t="n">
        <v>0</v>
      </c>
      <c r="F34" s="113" t="s">
        <v>210</v>
      </c>
      <c r="G34" s="174" t="n">
        <v>-0.35</v>
      </c>
      <c r="H34" s="174" t="n">
        <v>1</v>
      </c>
      <c r="I34" s="179"/>
      <c r="J34" s="174" t="n">
        <v>1</v>
      </c>
      <c r="K34" s="174" t="n">
        <v>1</v>
      </c>
      <c r="L34" s="175" t="n">
        <v>0</v>
      </c>
      <c r="M34" s="175" t="n">
        <v>0</v>
      </c>
      <c r="N34" s="175"/>
      <c r="O34" s="175"/>
      <c r="P34" s="175" t="n">
        <v>0</v>
      </c>
      <c r="Q34" s="175" t="n">
        <v>0</v>
      </c>
      <c r="R34" s="175" t="n">
        <v>0</v>
      </c>
      <c r="S34" s="175" t="n">
        <v>0</v>
      </c>
      <c r="T34" s="175" t="n">
        <v>0</v>
      </c>
      <c r="U34" s="175" t="n">
        <v>0</v>
      </c>
      <c r="V34" s="117" t="n">
        <v>0.5</v>
      </c>
      <c r="W34" s="176" t="n">
        <f aca="false">Таблица32[[#This Row],[Столбец7]]*Таблица32[[#This Row],[Ishga kelish nazoratchi2]]%</f>
        <v>0</v>
      </c>
      <c r="X34" s="177" t="n">
        <f aca="false">Таблица32[[#This Row],[Столбец7]]*Таблица32[[#This Row],[Ishga vaqtida kelish ketish]]%</f>
        <v>0</v>
      </c>
      <c r="Y34" s="177" t="n">
        <f aca="false">Таблица32[[#This Row],[Столбец7]]*Таблица32[[#This Row],[Ishga kelish bank klient]]%</f>
        <v>0</v>
      </c>
      <c r="Z34" s="177" t="n">
        <f aca="false">Таблица32[[#This Row],[Столбец7]]*Таблица32[[#This Row],[Gruppa buxgalter]]%</f>
        <v>0</v>
      </c>
      <c r="AA34" s="177" t="n">
        <f aca="false">Таблица32[[#This Row],[Столбец7]]*Таблица32[[#This Row],[Gruppa bank klient ]]%</f>
        <v>0</v>
      </c>
      <c r="AB34" s="177" t="n">
        <f aca="false">Таблица32[[#This Row],[1c]]*Таблица32[[#This Row],[Столбец7]]/100</f>
        <v>0</v>
      </c>
      <c r="AC34" s="178" t="n">
        <f aca="false">SUM(Таблица32[[#This Row],[Didox]:[ мехнат]],Таблица32[[#This Row],[Avtokameral]])*Таблица32[[#This Row],[Столбец7]]/100</f>
        <v>0</v>
      </c>
      <c r="AD34" s="178" t="n">
        <f aca="false">SUM(Таблица32[[#This Row],[Pul oqimlari]:[Foyda va zarar]])*Таблица32[[#This Row],[Столбец7]]/100</f>
        <v>0</v>
      </c>
      <c r="AE34" s="177" t="n">
        <f aca="false">Таблица32[[#This Row],[Столбец7]]*Таблица32[[#This Row],[Nazoratchi]]%</f>
        <v>0</v>
      </c>
      <c r="AF34" s="177" t="n">
        <f aca="false">Таблица32[[#This Row],[Ishga vaqtida kelish nazoratchi]]+Таблица32[[#This Row],[Nazoratchi2]]</f>
        <v>0</v>
      </c>
      <c r="AG3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34" s="177" t="n">
        <f aca="false">Таблица32[[#This Row],[Ishga kelish bank klient3]]+Таблица32[[#This Row],[Gruppa bank klient 2]]</f>
        <v>0</v>
      </c>
    </row>
    <row r="35" customFormat="false" ht="32.8" hidden="false" customHeight="false" outlineLevel="0" collapsed="false">
      <c r="A35" s="112" t="n">
        <v>33</v>
      </c>
      <c r="B35" s="113" t="s">
        <v>169</v>
      </c>
      <c r="C35" s="113" t="s">
        <v>218</v>
      </c>
      <c r="D35" s="113" t="s">
        <v>224</v>
      </c>
      <c r="E35" s="115" t="n">
        <v>3500000</v>
      </c>
      <c r="F35" s="113" t="s">
        <v>210</v>
      </c>
      <c r="G35" s="174" t="n">
        <v>-0.35</v>
      </c>
      <c r="H35" s="174" t="n">
        <v>1</v>
      </c>
      <c r="I35" s="174"/>
      <c r="J35" s="174" t="n">
        <v>1</v>
      </c>
      <c r="K35" s="174" t="n">
        <v>1</v>
      </c>
      <c r="L35" s="175" t="n">
        <v>-0.25</v>
      </c>
      <c r="M35" s="175" t="n">
        <v>0.25</v>
      </c>
      <c r="N35" s="175"/>
      <c r="O35" s="175" t="n">
        <v>1</v>
      </c>
      <c r="P35" s="175" t="n">
        <v>0.25</v>
      </c>
      <c r="Q35" s="175" t="n">
        <v>0.2</v>
      </c>
      <c r="R35" s="175" t="n">
        <v>0.2</v>
      </c>
      <c r="S35" s="175" t="n">
        <v>0.2</v>
      </c>
      <c r="T35" s="175" t="n">
        <v>0.2</v>
      </c>
      <c r="U35" s="175" t="n">
        <v>0.2</v>
      </c>
      <c r="V35" s="117" t="n">
        <v>0.5</v>
      </c>
      <c r="W35" s="176" t="n">
        <f aca="false">Таблица32[[#This Row],[Столбец7]]*Таблица32[[#This Row],[Ishga kelish nazoratchi2]]%</f>
        <v>0</v>
      </c>
      <c r="X35" s="177" t="n">
        <f aca="false">Таблица32[[#This Row],[Столбец7]]*Таблица32[[#This Row],[Ishga vaqtida kelish ketish]]%</f>
        <v>-12250</v>
      </c>
      <c r="Y35" s="177" t="n">
        <f aca="false">Таблица32[[#This Row],[Столбец7]]*Таблица32[[#This Row],[Ishga kelish bank klient]]%</f>
        <v>35000</v>
      </c>
      <c r="Z35" s="177" t="n">
        <f aca="false">Таблица32[[#This Row],[Столбец7]]*Таблица32[[#This Row],[Gruppa buxgalter]]%</f>
        <v>35000</v>
      </c>
      <c r="AA35" s="177" t="n">
        <f aca="false">Таблица32[[#This Row],[Столбец7]]*Таблица32[[#This Row],[Gruppa bank klient ]]%</f>
        <v>35000</v>
      </c>
      <c r="AB35" s="177" t="n">
        <f aca="false">Таблица32[[#This Row],[1c]]*Таблица32[[#This Row],[Столбец7]]/100</f>
        <v>35000</v>
      </c>
      <c r="AC35" s="178" t="n">
        <f aca="false">SUM(Таблица32[[#This Row],[Didox]:[ мехнат]],Таблица32[[#This Row],[Avtokameral]])*Таблица32[[#This Row],[Столбец7]]/100</f>
        <v>8750</v>
      </c>
      <c r="AD35" s="178" t="n">
        <f aca="false">SUM(Таблица32[[#This Row],[Pul oqimlari]:[Foyda va zarar]])*Таблица32[[#This Row],[Столбец7]]/100</f>
        <v>35000</v>
      </c>
      <c r="AE35" s="177" t="n">
        <f aca="false">Таблица32[[#This Row],[Столбец7]]*Таблица32[[#This Row],[Nazoratchi]]%</f>
        <v>17500</v>
      </c>
      <c r="AF35" s="177" t="n">
        <f aca="false">Таблица32[[#This Row],[Ishga vaqtida kelish nazoratchi]]+Таблица32[[#This Row],[Nazoratchi2]]</f>
        <v>17500</v>
      </c>
      <c r="AG3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101500</v>
      </c>
      <c r="AH35" s="177" t="n">
        <f aca="false">Таблица32[[#This Row],[Ishga kelish bank klient3]]+Таблица32[[#This Row],[Gruppa bank klient 2]]</f>
        <v>70000</v>
      </c>
    </row>
    <row r="36" customFormat="false" ht="32.8" hidden="false" customHeight="false" outlineLevel="0" collapsed="false">
      <c r="A36" s="112" t="n">
        <v>34</v>
      </c>
      <c r="B36" s="113" t="s">
        <v>107</v>
      </c>
      <c r="C36" s="113" t="s">
        <v>217</v>
      </c>
      <c r="D36" s="113"/>
      <c r="E36" s="115" t="n">
        <v>0</v>
      </c>
      <c r="F36" s="113" t="s">
        <v>210</v>
      </c>
      <c r="G36" s="174" t="n">
        <v>0.9</v>
      </c>
      <c r="H36" s="174"/>
      <c r="I36" s="174"/>
      <c r="J36" s="174" t="n">
        <v>1</v>
      </c>
      <c r="K36" s="174"/>
      <c r="L36" s="175" t="n">
        <v>0</v>
      </c>
      <c r="M36" s="175" t="n">
        <v>0</v>
      </c>
      <c r="N36" s="175"/>
      <c r="O36" s="175"/>
      <c r="P36" s="175" t="n">
        <v>0</v>
      </c>
      <c r="Q36" s="175" t="n">
        <v>0</v>
      </c>
      <c r="R36" s="175" t="n">
        <v>0</v>
      </c>
      <c r="S36" s="175" t="n">
        <v>0</v>
      </c>
      <c r="T36" s="175" t="n">
        <v>0</v>
      </c>
      <c r="U36" s="175" t="n">
        <v>0</v>
      </c>
      <c r="V36" s="117" t="n">
        <v>0.5</v>
      </c>
      <c r="W36" s="176" t="n">
        <f aca="false">Таблица32[[#This Row],[Столбец7]]*Таблица32[[#This Row],[Ishga kelish nazoratchi2]]%</f>
        <v>0</v>
      </c>
      <c r="X36" s="177" t="n">
        <f aca="false">Таблица32[[#This Row],[Столбец7]]*Таблица32[[#This Row],[Ishga vaqtida kelish ketish]]%</f>
        <v>0</v>
      </c>
      <c r="Y36" s="177" t="n">
        <f aca="false">Таблица32[[#This Row],[Столбец7]]*Таблица32[[#This Row],[Ishga kelish bank klient]]%</f>
        <v>0</v>
      </c>
      <c r="Z36" s="177" t="n">
        <f aca="false">Таблица32[[#This Row],[Столбец7]]*Таблица32[[#This Row],[Gruppa buxgalter]]%</f>
        <v>0</v>
      </c>
      <c r="AA36" s="177" t="n">
        <f aca="false">Таблица32[[#This Row],[Столбец7]]*Таблица32[[#This Row],[Gruppa bank klient ]]%</f>
        <v>0</v>
      </c>
      <c r="AB36" s="177" t="n">
        <f aca="false">Таблица32[[#This Row],[1c]]*Таблица32[[#This Row],[Столбец7]]/100</f>
        <v>0</v>
      </c>
      <c r="AC36" s="178" t="n">
        <f aca="false">SUM(Таблица32[[#This Row],[Didox]:[ мехнат]],Таблица32[[#This Row],[Avtokameral]])*Таблица32[[#This Row],[Столбец7]]/100</f>
        <v>0</v>
      </c>
      <c r="AD36" s="178" t="n">
        <f aca="false">SUM(Таблица32[[#This Row],[Pul oqimlari]:[Foyda va zarar]])*Таблица32[[#This Row],[Столбец7]]/100</f>
        <v>0</v>
      </c>
      <c r="AE36" s="177" t="n">
        <f aca="false">Таблица32[[#This Row],[Столбец7]]*Таблица32[[#This Row],[Nazoratchi]]%</f>
        <v>0</v>
      </c>
      <c r="AF36" s="177" t="n">
        <f aca="false">Таблица32[[#This Row],[Ishga vaqtida kelish nazoratchi]]+Таблица32[[#This Row],[Nazoratchi2]]</f>
        <v>0</v>
      </c>
      <c r="AG3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36" s="177" t="n">
        <f aca="false">Таблица32[[#This Row],[Ishga kelish bank klient3]]+Таблица32[[#This Row],[Gruppa bank klient 2]]</f>
        <v>0</v>
      </c>
    </row>
    <row r="37" customFormat="false" ht="17.35" hidden="false" customHeight="false" outlineLevel="0" collapsed="false">
      <c r="A37" s="112" t="n">
        <v>35</v>
      </c>
      <c r="B37" s="113" t="s">
        <v>261</v>
      </c>
      <c r="C37" s="113" t="s">
        <v>208</v>
      </c>
      <c r="D37" s="113" t="s">
        <v>238</v>
      </c>
      <c r="E37" s="115" t="n">
        <v>1500000</v>
      </c>
      <c r="F37" s="113" t="s">
        <v>210</v>
      </c>
      <c r="G37" s="174"/>
      <c r="H37" s="174" t="n">
        <v>1</v>
      </c>
      <c r="I37" s="174"/>
      <c r="J37" s="174" t="n">
        <v>1</v>
      </c>
      <c r="K37" s="174" t="n">
        <v>1</v>
      </c>
      <c r="L37" s="175" t="n">
        <v>-0.25</v>
      </c>
      <c r="M37" s="175" t="n">
        <v>-0.25</v>
      </c>
      <c r="N37" s="175"/>
      <c r="O37" s="175"/>
      <c r="P37" s="175" t="n">
        <v>0.25</v>
      </c>
      <c r="Q37" s="175" t="n">
        <v>0</v>
      </c>
      <c r="R37" s="175" t="n">
        <v>0.2</v>
      </c>
      <c r="S37" s="175" t="n">
        <v>0.2</v>
      </c>
      <c r="T37" s="175" t="n">
        <v>0.2</v>
      </c>
      <c r="U37" s="175" t="n">
        <v>0.2</v>
      </c>
      <c r="V37" s="117" t="n">
        <v>0.5</v>
      </c>
      <c r="W37" s="176" t="n">
        <f aca="false">Таблица32[[#This Row],[Столбец7]]*Таблица32[[#This Row],[Ishga kelish nazoratchi2]]%</f>
        <v>0</v>
      </c>
      <c r="X37" s="177" t="n">
        <f aca="false">Таблица32[[#This Row],[Столбец7]]*Таблица32[[#This Row],[Ishga vaqtida kelish ketish]]%</f>
        <v>0</v>
      </c>
      <c r="Y37" s="177" t="n">
        <f aca="false">Таблица32[[#This Row],[Столбец7]]*Таблица32[[#This Row],[Ishga kelish bank klient]]%</f>
        <v>15000</v>
      </c>
      <c r="Z37" s="177" t="n">
        <f aca="false">Таблица32[[#This Row],[Столбец7]]*Таблица32[[#This Row],[Gruppa buxgalter]]%</f>
        <v>15000</v>
      </c>
      <c r="AA37" s="177" t="n">
        <f aca="false">Таблица32[[#This Row],[Столбец7]]*Таблица32[[#This Row],[Gruppa bank klient ]]%</f>
        <v>15000</v>
      </c>
      <c r="AB37" s="177" t="n">
        <f aca="false">Таблица32[[#This Row],[1c]]*Таблица32[[#This Row],[Столбец7]]/100</f>
        <v>0</v>
      </c>
      <c r="AC37" s="178" t="n">
        <f aca="false">SUM(Таблица32[[#This Row],[Didox]:[ мехнат]],Таблица32[[#This Row],[Avtokameral]])*Таблица32[[#This Row],[Столбец7]]/100</f>
        <v>-3750</v>
      </c>
      <c r="AD37" s="178" t="n">
        <f aca="false">SUM(Таблица32[[#This Row],[Pul oqimlari]:[Foyda va zarar]])*Таблица32[[#This Row],[Столбец7]]/100</f>
        <v>12000</v>
      </c>
      <c r="AE37" s="177" t="n">
        <f aca="false">Таблица32[[#This Row],[Столбец7]]*Таблица32[[#This Row],[Nazoratchi]]%</f>
        <v>7500</v>
      </c>
      <c r="AF37" s="177" t="n">
        <f aca="false">Таблица32[[#This Row],[Ishga vaqtida kelish nazoratchi]]+Таблица32[[#This Row],[Nazoratchi2]]</f>
        <v>7500</v>
      </c>
      <c r="AG3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23250</v>
      </c>
      <c r="AH37" s="177" t="n">
        <f aca="false">Таблица32[[#This Row],[Ishga kelish bank klient3]]+Таблица32[[#This Row],[Gruppa bank klient 2]]</f>
        <v>30000</v>
      </c>
    </row>
    <row r="38" customFormat="false" ht="17.35" hidden="false" customHeight="false" outlineLevel="0" collapsed="false">
      <c r="A38" s="112" t="n">
        <v>36</v>
      </c>
      <c r="B38" s="113" t="s">
        <v>262</v>
      </c>
      <c r="C38" s="113" t="s">
        <v>212</v>
      </c>
      <c r="D38" s="113" t="s">
        <v>238</v>
      </c>
      <c r="E38" s="115" t="n">
        <v>2000000</v>
      </c>
      <c r="F38" s="113" t="s">
        <v>213</v>
      </c>
      <c r="G38" s="174"/>
      <c r="H38" s="174" t="n">
        <v>1</v>
      </c>
      <c r="I38" s="174"/>
      <c r="J38" s="174" t="n">
        <v>1</v>
      </c>
      <c r="K38" s="174" t="n">
        <v>1</v>
      </c>
      <c r="L38" s="175" t="n">
        <v>0.25</v>
      </c>
      <c r="M38" s="175" t="n">
        <v>0.25</v>
      </c>
      <c r="N38" s="175" t="n">
        <v>0.25</v>
      </c>
      <c r="O38" s="175"/>
      <c r="P38" s="175" t="n">
        <v>0.25</v>
      </c>
      <c r="Q38" s="175" t="n">
        <v>-0.2</v>
      </c>
      <c r="R38" s="175" t="n">
        <v>-0.2</v>
      </c>
      <c r="S38" s="175" t="n">
        <v>-0.2</v>
      </c>
      <c r="T38" s="175" t="n">
        <v>-0.2</v>
      </c>
      <c r="U38" s="175" t="n">
        <v>-0.2</v>
      </c>
      <c r="V38" s="117" t="n">
        <v>0.5</v>
      </c>
      <c r="W38" s="176" t="n">
        <f aca="false">Таблица32[[#This Row],[Столбец7]]*Таблица32[[#This Row],[Ishga kelish nazoratchi2]]%</f>
        <v>0</v>
      </c>
      <c r="X38" s="177" t="n">
        <f aca="false">Таблица32[[#This Row],[Столбец7]]*Таблица32[[#This Row],[Ishga vaqtida kelish ketish]]%</f>
        <v>0</v>
      </c>
      <c r="Y38" s="177" t="n">
        <f aca="false">Таблица32[[#This Row],[Столбец7]]*Таблица32[[#This Row],[Ishga kelish bank klient]]%</f>
        <v>20000</v>
      </c>
      <c r="Z38" s="177" t="n">
        <f aca="false">Таблица32[[#This Row],[Столбец7]]*Таблица32[[#This Row],[Gruppa buxgalter]]%</f>
        <v>20000</v>
      </c>
      <c r="AA38" s="177" t="n">
        <f aca="false">Таблица32[[#This Row],[Столбец7]]*Таблица32[[#This Row],[Gruppa bank klient ]]%</f>
        <v>20000</v>
      </c>
      <c r="AB38" s="177" t="n">
        <f aca="false">Таблица32[[#This Row],[1c]]*Таблица32[[#This Row],[Столбец7]]/100</f>
        <v>0</v>
      </c>
      <c r="AC38" s="178" t="n">
        <f aca="false">SUM(Таблица32[[#This Row],[Didox]:[ мехнат]],Таблица32[[#This Row],[Avtokameral]])*Таблица32[[#This Row],[Столбец7]]/100</f>
        <v>20000</v>
      </c>
      <c r="AD38" s="178" t="n">
        <f aca="false">SUM(Таблица32[[#This Row],[Pul oqimlari]:[Foyda va zarar]])*Таблица32[[#This Row],[Столбец7]]/100</f>
        <v>-20000</v>
      </c>
      <c r="AE38" s="177" t="n">
        <f aca="false">Таблица32[[#This Row],[Столбец7]]*Таблица32[[#This Row],[Nazoratchi]]%</f>
        <v>10000</v>
      </c>
      <c r="AF38" s="177" t="n">
        <f aca="false">Таблица32[[#This Row],[Ishga vaqtida kelish nazoratchi]]+Таблица32[[#This Row],[Nazoratchi2]]</f>
        <v>10000</v>
      </c>
      <c r="AG3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20000</v>
      </c>
      <c r="AH38" s="177" t="n">
        <f aca="false">Таблица32[[#This Row],[Ishga kelish bank klient3]]+Таблица32[[#This Row],[Gruppa bank klient 2]]</f>
        <v>40000</v>
      </c>
    </row>
    <row r="39" customFormat="false" ht="32.8" hidden="false" customHeight="false" outlineLevel="0" collapsed="false">
      <c r="A39" s="112" t="n">
        <v>37</v>
      </c>
      <c r="B39" s="113" t="s">
        <v>143</v>
      </c>
      <c r="C39" s="114" t="s">
        <v>226</v>
      </c>
      <c r="D39" s="113" t="s">
        <v>224</v>
      </c>
      <c r="E39" s="115" t="n">
        <v>700000</v>
      </c>
      <c r="F39" s="113" t="s">
        <v>213</v>
      </c>
      <c r="G39" s="174"/>
      <c r="H39" s="174" t="n">
        <v>1</v>
      </c>
      <c r="I39" s="174"/>
      <c r="J39" s="174" t="n">
        <v>1</v>
      </c>
      <c r="K39" s="174" t="n">
        <v>1</v>
      </c>
      <c r="L39" s="175" t="n">
        <v>0.25</v>
      </c>
      <c r="M39" s="175" t="n">
        <v>0.25</v>
      </c>
      <c r="N39" s="175"/>
      <c r="O39" s="175" t="n">
        <v>1</v>
      </c>
      <c r="P39" s="175" t="n">
        <v>0.25</v>
      </c>
      <c r="Q39" s="175" t="n">
        <v>0.2</v>
      </c>
      <c r="R39" s="175" t="n">
        <v>0.2</v>
      </c>
      <c r="S39" s="175" t="n">
        <v>0.2</v>
      </c>
      <c r="T39" s="175" t="n">
        <v>0.2</v>
      </c>
      <c r="U39" s="175" t="n">
        <v>0.2</v>
      </c>
      <c r="V39" s="117" t="n">
        <v>0.5</v>
      </c>
      <c r="W39" s="176" t="n">
        <f aca="false">Таблица32[[#This Row],[Столбец7]]*Таблица32[[#This Row],[Ishga kelish nazoratchi2]]%</f>
        <v>0</v>
      </c>
      <c r="X39" s="177" t="n">
        <f aca="false">Таблица32[[#This Row],[Столбец7]]*Таблица32[[#This Row],[Ishga vaqtida kelish ketish]]%</f>
        <v>0</v>
      </c>
      <c r="Y39" s="177" t="n">
        <f aca="false">Таблица32[[#This Row],[Столбец7]]*Таблица32[[#This Row],[Ishga kelish bank klient]]%</f>
        <v>7000</v>
      </c>
      <c r="Z39" s="177" t="n">
        <f aca="false">Таблица32[[#This Row],[Столбец7]]*Таблица32[[#This Row],[Gruppa buxgalter]]%</f>
        <v>7000</v>
      </c>
      <c r="AA39" s="177" t="n">
        <f aca="false">Таблица32[[#This Row],[Столбец7]]*Таблица32[[#This Row],[Gruppa bank klient ]]%</f>
        <v>7000</v>
      </c>
      <c r="AB39" s="177" t="n">
        <f aca="false">Таблица32[[#This Row],[1c]]*Таблица32[[#This Row],[Столбец7]]/100</f>
        <v>7000</v>
      </c>
      <c r="AC39" s="178" t="n">
        <f aca="false">SUM(Таблица32[[#This Row],[Didox]:[ мехнат]],Таблица32[[#This Row],[Avtokameral]])*Таблица32[[#This Row],[Столбец7]]/100</f>
        <v>5250</v>
      </c>
      <c r="AD39" s="178" t="n">
        <f aca="false">SUM(Таблица32[[#This Row],[Pul oqimlari]:[Foyda va zarar]])*Таблица32[[#This Row],[Столбец7]]/100</f>
        <v>7000</v>
      </c>
      <c r="AE39" s="177" t="n">
        <f aca="false">Таблица32[[#This Row],[Столбец7]]*Таблица32[[#This Row],[Nazoratchi]]%</f>
        <v>3500</v>
      </c>
      <c r="AF39" s="177" t="n">
        <f aca="false">Таблица32[[#This Row],[Ishga vaqtida kelish nazoratchi]]+Таблица32[[#This Row],[Nazoratchi2]]</f>
        <v>3500</v>
      </c>
      <c r="AG3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26250</v>
      </c>
      <c r="AH39" s="177" t="n">
        <f aca="false">Таблица32[[#This Row],[Ishga kelish bank klient3]]+Таблица32[[#This Row],[Gruppa bank klient 2]]</f>
        <v>14000</v>
      </c>
    </row>
    <row r="40" customFormat="false" ht="48" hidden="false" customHeight="true" outlineLevel="0" collapsed="false">
      <c r="A40" s="112" t="n">
        <v>38</v>
      </c>
      <c r="B40" s="113" t="s">
        <v>149</v>
      </c>
      <c r="C40" s="113" t="s">
        <v>226</v>
      </c>
      <c r="D40" s="113" t="s">
        <v>224</v>
      </c>
      <c r="E40" s="115" t="n">
        <v>500000</v>
      </c>
      <c r="F40" s="113" t="s">
        <v>213</v>
      </c>
      <c r="G40" s="174"/>
      <c r="H40" s="174" t="n">
        <v>1</v>
      </c>
      <c r="I40" s="174"/>
      <c r="J40" s="174" t="n">
        <v>1</v>
      </c>
      <c r="K40" s="174" t="n">
        <v>1</v>
      </c>
      <c r="L40" s="175" t="n">
        <v>0.25</v>
      </c>
      <c r="M40" s="175" t="n">
        <v>0.25</v>
      </c>
      <c r="N40" s="175"/>
      <c r="O40" s="175"/>
      <c r="P40" s="175" t="n">
        <v>0.25</v>
      </c>
      <c r="Q40" s="175" t="n">
        <v>0</v>
      </c>
      <c r="R40" s="175" t="n">
        <v>0</v>
      </c>
      <c r="S40" s="175" t="n">
        <v>0</v>
      </c>
      <c r="T40" s="175" t="n">
        <v>0</v>
      </c>
      <c r="U40" s="175" t="n">
        <v>0</v>
      </c>
      <c r="V40" s="117" t="n">
        <v>0.5</v>
      </c>
      <c r="W40" s="176" t="n">
        <f aca="false">Таблица32[[#This Row],[Столбец7]]*Таблица32[[#This Row],[Ishga kelish nazoratchi2]]%</f>
        <v>0</v>
      </c>
      <c r="X40" s="177" t="n">
        <f aca="false">Таблица32[[#This Row],[Столбец7]]*Таблица32[[#This Row],[Ishga vaqtida kelish ketish]]%</f>
        <v>0</v>
      </c>
      <c r="Y40" s="177" t="n">
        <f aca="false">Таблица32[[#This Row],[Столбец7]]*Таблица32[[#This Row],[Ishga kelish bank klient]]%</f>
        <v>5000</v>
      </c>
      <c r="Z40" s="177" t="n">
        <f aca="false">Таблица32[[#This Row],[Столбец7]]*Таблица32[[#This Row],[Gruppa buxgalter]]%</f>
        <v>5000</v>
      </c>
      <c r="AA40" s="177" t="n">
        <f aca="false">Таблица32[[#This Row],[Столбец7]]*Таблица32[[#This Row],[Gruppa bank klient ]]%</f>
        <v>5000</v>
      </c>
      <c r="AB40" s="177" t="n">
        <f aca="false">Таблица32[[#This Row],[1c]]*Таблица32[[#This Row],[Столбец7]]/100</f>
        <v>0</v>
      </c>
      <c r="AC40" s="178" t="n">
        <f aca="false">SUM(Таблица32[[#This Row],[Didox]:[ мехнат]],Таблица32[[#This Row],[Avtokameral]])*Таблица32[[#This Row],[Столбец7]]/100</f>
        <v>3750</v>
      </c>
      <c r="AD40" s="178" t="n">
        <f aca="false">SUM(Таблица32[[#This Row],[Pul oqimlari]:[Foyda va zarar]])*Таблица32[[#This Row],[Столбец7]]/100</f>
        <v>0</v>
      </c>
      <c r="AE40" s="177" t="n">
        <f aca="false">Таблица32[[#This Row],[Столбец7]]*Таблица32[[#This Row],[Nazoratchi]]%</f>
        <v>2500</v>
      </c>
      <c r="AF40" s="177" t="n">
        <f aca="false">Таблица32[[#This Row],[Ishga vaqtida kelish nazoratchi]]+Таблица32[[#This Row],[Nazoratchi2]]</f>
        <v>2500</v>
      </c>
      <c r="AG4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40" s="177" t="n">
        <f aca="false">Таблица32[[#This Row],[Ishga kelish bank klient3]]+Таблица32[[#This Row],[Gruppa bank klient 2]]</f>
        <v>10000</v>
      </c>
    </row>
    <row r="41" customFormat="false" ht="32.8" hidden="false" customHeight="false" outlineLevel="0" collapsed="false">
      <c r="A41" s="112" t="n">
        <v>39</v>
      </c>
      <c r="B41" s="113" t="s">
        <v>263</v>
      </c>
      <c r="C41" s="120" t="s">
        <v>221</v>
      </c>
      <c r="D41" s="113" t="s">
        <v>238</v>
      </c>
      <c r="E41" s="115" t="n">
        <v>1000000</v>
      </c>
      <c r="F41" s="113" t="s">
        <v>210</v>
      </c>
      <c r="G41" s="174"/>
      <c r="H41" s="174" t="n">
        <v>1</v>
      </c>
      <c r="I41" s="179"/>
      <c r="J41" s="174" t="n">
        <v>1</v>
      </c>
      <c r="K41" s="174" t="n">
        <v>1</v>
      </c>
      <c r="L41" s="175" t="n">
        <v>0.25</v>
      </c>
      <c r="M41" s="175" t="n">
        <v>0.25</v>
      </c>
      <c r="N41" s="175"/>
      <c r="O41" s="175" t="n">
        <v>1</v>
      </c>
      <c r="P41" s="175" t="n">
        <v>0.25</v>
      </c>
      <c r="Q41" s="175" t="n">
        <v>0.2</v>
      </c>
      <c r="R41" s="175" t="n">
        <v>0.2</v>
      </c>
      <c r="S41" s="175" t="n">
        <v>0.2</v>
      </c>
      <c r="T41" s="175" t="n">
        <v>-0.2</v>
      </c>
      <c r="U41" s="175" t="n">
        <v>-0.2</v>
      </c>
      <c r="V41" s="117" t="n">
        <v>0.5</v>
      </c>
      <c r="W41" s="176" t="n">
        <f aca="false">Таблица32[[#This Row],[Столбец7]]*Таблица32[[#This Row],[Ishga kelish nazoratchi2]]%</f>
        <v>0</v>
      </c>
      <c r="X41" s="177" t="n">
        <f aca="false">Таблица32[[#This Row],[Столбец7]]*Таблица32[[#This Row],[Ishga vaqtida kelish ketish]]%</f>
        <v>0</v>
      </c>
      <c r="Y41" s="177" t="n">
        <f aca="false">Таблица32[[#This Row],[Столбец7]]*Таблица32[[#This Row],[Ishga kelish bank klient]]%</f>
        <v>10000</v>
      </c>
      <c r="Z41" s="177" t="n">
        <f aca="false">Таблица32[[#This Row],[Столбец7]]*Таблица32[[#This Row],[Gruppa buxgalter]]%</f>
        <v>10000</v>
      </c>
      <c r="AA41" s="177" t="n">
        <f aca="false">Таблица32[[#This Row],[Столбец7]]*Таблица32[[#This Row],[Gruppa bank klient ]]%</f>
        <v>10000</v>
      </c>
      <c r="AB41" s="177" t="n">
        <f aca="false">Таблица32[[#This Row],[1c]]*Таблица32[[#This Row],[Столбец7]]/100</f>
        <v>10000</v>
      </c>
      <c r="AC41" s="178" t="n">
        <f aca="false">SUM(Таблица32[[#This Row],[Didox]:[ мехнат]],Таблица32[[#This Row],[Avtokameral]])*Таблица32[[#This Row],[Столбец7]]/100</f>
        <v>7500</v>
      </c>
      <c r="AD41" s="178" t="n">
        <f aca="false">SUM(Таблица32[[#This Row],[Pul oqimlari]:[Foyda va zarar]])*Таблица32[[#This Row],[Столбец7]]/100</f>
        <v>2000</v>
      </c>
      <c r="AE41" s="177" t="n">
        <f aca="false">Таблица32[[#This Row],[Столбец7]]*Таблица32[[#This Row],[Nazoratchi]]%</f>
        <v>5000</v>
      </c>
      <c r="AF41" s="177" t="n">
        <f aca="false">Таблица32[[#This Row],[Ishga vaqtida kelish nazoratchi]]+Таблица32[[#This Row],[Nazoratchi2]]</f>
        <v>5000</v>
      </c>
      <c r="AG4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29500</v>
      </c>
      <c r="AH41" s="177" t="n">
        <f aca="false">Таблица32[[#This Row],[Ishga kelish bank klient3]]+Таблица32[[#This Row],[Gruppa bank klient 2]]</f>
        <v>20000</v>
      </c>
    </row>
    <row r="42" customFormat="false" ht="32.8" hidden="false" customHeight="false" outlineLevel="0" collapsed="false">
      <c r="A42" s="112" t="n">
        <v>40</v>
      </c>
      <c r="B42" s="113" t="s">
        <v>170</v>
      </c>
      <c r="C42" s="113" t="s">
        <v>211</v>
      </c>
      <c r="D42" s="113" t="s">
        <v>238</v>
      </c>
      <c r="E42" s="115" t="n">
        <v>800000</v>
      </c>
      <c r="F42" s="113" t="s">
        <v>210</v>
      </c>
      <c r="G42" s="174"/>
      <c r="H42" s="174" t="n">
        <v>1</v>
      </c>
      <c r="I42" s="179"/>
      <c r="J42" s="174" t="n">
        <v>1</v>
      </c>
      <c r="K42" s="174" t="n">
        <v>1</v>
      </c>
      <c r="L42" s="175" t="n">
        <v>0.25</v>
      </c>
      <c r="M42" s="175" t="n">
        <v>0.25</v>
      </c>
      <c r="N42" s="175" t="n">
        <v>0.25</v>
      </c>
      <c r="O42" s="175" t="n">
        <v>1</v>
      </c>
      <c r="P42" s="175" t="n">
        <v>0.25</v>
      </c>
      <c r="Q42" s="175" t="n">
        <v>0.2</v>
      </c>
      <c r="R42" s="175" t="n">
        <v>0.2</v>
      </c>
      <c r="S42" s="175" t="n">
        <v>0.2</v>
      </c>
      <c r="T42" s="175" t="n">
        <v>0.2</v>
      </c>
      <c r="U42" s="175" t="n">
        <v>0</v>
      </c>
      <c r="V42" s="117" t="n">
        <v>0.5</v>
      </c>
      <c r="W42" s="176" t="n">
        <f aca="false">Таблица32[[#This Row],[Столбец7]]*Таблица32[[#This Row],[Ishga kelish nazoratchi2]]%</f>
        <v>0</v>
      </c>
      <c r="X42" s="177" t="n">
        <f aca="false">Таблица32[[#This Row],[Столбец7]]*Таблица32[[#This Row],[Ishga vaqtida kelish ketish]]%</f>
        <v>0</v>
      </c>
      <c r="Y42" s="177" t="n">
        <f aca="false">Таблица32[[#This Row],[Столбец7]]*Таблица32[[#This Row],[Ishga kelish bank klient]]%</f>
        <v>8000</v>
      </c>
      <c r="Z42" s="177" t="n">
        <f aca="false">Таблица32[[#This Row],[Столбец7]]*Таблица32[[#This Row],[Gruppa buxgalter]]%</f>
        <v>8000</v>
      </c>
      <c r="AA42" s="177" t="n">
        <f aca="false">Таблица32[[#This Row],[Столбец7]]*Таблица32[[#This Row],[Gruppa bank klient ]]%</f>
        <v>8000</v>
      </c>
      <c r="AB42" s="177" t="n">
        <f aca="false">Таблица32[[#This Row],[1c]]*Таблица32[[#This Row],[Столбец7]]/100</f>
        <v>8000</v>
      </c>
      <c r="AC42" s="178" t="n">
        <f aca="false">SUM(Таблица32[[#This Row],[Didox]:[ мехнат]],Таблица32[[#This Row],[Avtokameral]])*Таблица32[[#This Row],[Столбец7]]/100</f>
        <v>8000</v>
      </c>
      <c r="AD42" s="178" t="n">
        <f aca="false">SUM(Таблица32[[#This Row],[Pul oqimlari]:[Foyda va zarar]])*Таблица32[[#This Row],[Столбец7]]/100</f>
        <v>6400</v>
      </c>
      <c r="AE42" s="177" t="n">
        <f aca="false">Таблица32[[#This Row],[Столбец7]]*Таблица32[[#This Row],[Nazoratchi]]%</f>
        <v>4000</v>
      </c>
      <c r="AF42" s="177" t="n">
        <f aca="false">Таблица32[[#This Row],[Ishga vaqtida kelish nazoratchi]]+Таблица32[[#This Row],[Nazoratchi2]]</f>
        <v>4000</v>
      </c>
      <c r="AG4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30400</v>
      </c>
      <c r="AH42" s="177" t="n">
        <f aca="false">Таблица32[[#This Row],[Ishga kelish bank klient3]]+Таблица32[[#This Row],[Gruppa bank klient 2]]</f>
        <v>16000</v>
      </c>
    </row>
    <row r="43" customFormat="false" ht="32.8" hidden="false" customHeight="false" outlineLevel="0" collapsed="false">
      <c r="A43" s="112" t="n">
        <v>41</v>
      </c>
      <c r="B43" s="113" t="s">
        <v>171</v>
      </c>
      <c r="C43" s="113" t="s">
        <v>211</v>
      </c>
      <c r="D43" s="113" t="s">
        <v>238</v>
      </c>
      <c r="E43" s="115" t="n">
        <v>500000</v>
      </c>
      <c r="F43" s="113" t="s">
        <v>210</v>
      </c>
      <c r="G43" s="174"/>
      <c r="H43" s="174" t="n">
        <v>1</v>
      </c>
      <c r="I43" s="174"/>
      <c r="J43" s="174" t="n">
        <v>1</v>
      </c>
      <c r="K43" s="174" t="n">
        <v>1</v>
      </c>
      <c r="L43" s="175" t="n">
        <v>0.25</v>
      </c>
      <c r="M43" s="175" t="n">
        <v>0.25</v>
      </c>
      <c r="N43" s="175" t="n">
        <v>0.25</v>
      </c>
      <c r="O43" s="175" t="n">
        <v>1</v>
      </c>
      <c r="P43" s="175" t="n">
        <v>0.25</v>
      </c>
      <c r="Q43" s="175" t="n">
        <v>0.2</v>
      </c>
      <c r="R43" s="175" t="n">
        <v>0.2</v>
      </c>
      <c r="S43" s="175" t="n">
        <v>0.2</v>
      </c>
      <c r="T43" s="175" t="n">
        <v>0.2</v>
      </c>
      <c r="U43" s="175" t="n">
        <v>0</v>
      </c>
      <c r="V43" s="117" t="n">
        <v>0.5</v>
      </c>
      <c r="W43" s="176" t="n">
        <f aca="false">Таблица32[[#This Row],[Столбец7]]*Таблица32[[#This Row],[Ishga kelish nazoratchi2]]%</f>
        <v>0</v>
      </c>
      <c r="X43" s="177" t="n">
        <f aca="false">Таблица32[[#This Row],[Столбец7]]*Таблица32[[#This Row],[Ishga vaqtida kelish ketish]]%</f>
        <v>0</v>
      </c>
      <c r="Y43" s="177" t="n">
        <f aca="false">Таблица32[[#This Row],[Столбец7]]*Таблица32[[#This Row],[Ishga kelish bank klient]]%</f>
        <v>5000</v>
      </c>
      <c r="Z43" s="177" t="n">
        <f aca="false">Таблица32[[#This Row],[Столбец7]]*Таблица32[[#This Row],[Gruppa buxgalter]]%</f>
        <v>5000</v>
      </c>
      <c r="AA43" s="177" t="n">
        <f aca="false">Таблица32[[#This Row],[Столбец7]]*Таблица32[[#This Row],[Gruppa bank klient ]]%</f>
        <v>5000</v>
      </c>
      <c r="AB43" s="177" t="n">
        <f aca="false">Таблица32[[#This Row],[1c]]*Таблица32[[#This Row],[Столбец7]]/100</f>
        <v>5000</v>
      </c>
      <c r="AC43" s="178" t="n">
        <f aca="false">SUM(Таблица32[[#This Row],[Didox]:[ мехнат]],Таблица32[[#This Row],[Avtokameral]])*Таблица32[[#This Row],[Столбец7]]/100</f>
        <v>5000</v>
      </c>
      <c r="AD43" s="178" t="n">
        <f aca="false">SUM(Таблица32[[#This Row],[Pul oqimlari]:[Foyda va zarar]])*Таблица32[[#This Row],[Столбец7]]/100</f>
        <v>4000</v>
      </c>
      <c r="AE43" s="177" t="n">
        <f aca="false">Таблица32[[#This Row],[Столбец7]]*Таблица32[[#This Row],[Nazoratchi]]%</f>
        <v>2500</v>
      </c>
      <c r="AF43" s="177" t="n">
        <f aca="false">Таблица32[[#This Row],[Ishga vaqtida kelish nazoratchi]]+Таблица32[[#This Row],[Nazoratchi2]]</f>
        <v>2500</v>
      </c>
      <c r="AG4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19000</v>
      </c>
      <c r="AH43" s="177" t="n">
        <f aca="false">Таблица32[[#This Row],[Ishga kelish bank klient3]]+Таблица32[[#This Row],[Gruppa bank klient 2]]</f>
        <v>10000</v>
      </c>
    </row>
    <row r="44" customFormat="false" ht="17.35" hidden="false" customHeight="false" outlineLevel="0" collapsed="false">
      <c r="A44" s="112" t="n">
        <v>42</v>
      </c>
      <c r="B44" s="113" t="s">
        <v>172</v>
      </c>
      <c r="C44" s="113" t="s">
        <v>222</v>
      </c>
      <c r="D44" s="113" t="s">
        <v>224</v>
      </c>
      <c r="E44" s="115" t="n">
        <v>1500000</v>
      </c>
      <c r="F44" s="113" t="s">
        <v>213</v>
      </c>
      <c r="G44" s="174" t="n">
        <v>-0.05</v>
      </c>
      <c r="H44" s="174" t="n">
        <v>1</v>
      </c>
      <c r="I44" s="179"/>
      <c r="J44" s="174" t="n">
        <v>1</v>
      </c>
      <c r="K44" s="174" t="n">
        <v>1</v>
      </c>
      <c r="L44" s="175" t="n">
        <v>0.25</v>
      </c>
      <c r="M44" s="175" t="n">
        <v>0.25</v>
      </c>
      <c r="N44" s="175"/>
      <c r="O44" s="175"/>
      <c r="P44" s="175" t="n">
        <v>0.25</v>
      </c>
      <c r="Q44" s="175" t="n">
        <v>-0.2</v>
      </c>
      <c r="R44" s="175" t="n">
        <v>0.2</v>
      </c>
      <c r="S44" s="175" t="n">
        <v>-0.2</v>
      </c>
      <c r="T44" s="175" t="n">
        <v>-0.2</v>
      </c>
      <c r="U44" s="175" t="n">
        <v>-0.2</v>
      </c>
      <c r="V44" s="117" t="n">
        <v>0.5</v>
      </c>
      <c r="W44" s="176" t="n">
        <f aca="false">Таблица32[[#This Row],[Столбец7]]*Таблица32[[#This Row],[Ishga kelish nazoratchi2]]%</f>
        <v>0</v>
      </c>
      <c r="X44" s="177" t="n">
        <f aca="false">Таблица32[[#This Row],[Столбец7]]*Таблица32[[#This Row],[Ishga vaqtida kelish ketish]]%</f>
        <v>-750</v>
      </c>
      <c r="Y44" s="177" t="n">
        <f aca="false">Таблица32[[#This Row],[Столбец7]]*Таблица32[[#This Row],[Ishga kelish bank klient]]%</f>
        <v>15000</v>
      </c>
      <c r="Z44" s="177" t="n">
        <f aca="false">Таблица32[[#This Row],[Столбец7]]*Таблица32[[#This Row],[Gruppa buxgalter]]%</f>
        <v>15000</v>
      </c>
      <c r="AA44" s="177" t="n">
        <f aca="false">Таблица32[[#This Row],[Столбец7]]*Таблица32[[#This Row],[Gruppa bank klient ]]%</f>
        <v>15000</v>
      </c>
      <c r="AB44" s="177" t="n">
        <f aca="false">Таблица32[[#This Row],[1c]]*Таблица32[[#This Row],[Столбец7]]/100</f>
        <v>0</v>
      </c>
      <c r="AC44" s="178" t="n">
        <f aca="false">SUM(Таблица32[[#This Row],[Didox]:[ мехнат]],Таблица32[[#This Row],[Avtokameral]])*Таблица32[[#This Row],[Столбец7]]/100</f>
        <v>11250</v>
      </c>
      <c r="AD44" s="178" t="n">
        <f aca="false">SUM(Таблица32[[#This Row],[Pul oqimlari]:[Foyda va zarar]])*Таблица32[[#This Row],[Столбец7]]/100</f>
        <v>-9000</v>
      </c>
      <c r="AE44" s="177" t="n">
        <f aca="false">Таблица32[[#This Row],[Столбец7]]*Таблица32[[#This Row],[Nazoratchi]]%</f>
        <v>7500</v>
      </c>
      <c r="AF44" s="177" t="n">
        <f aca="false">Таблица32[[#This Row],[Ishga vaqtida kelish nazoratchi]]+Таблица32[[#This Row],[Nazoratchi2]]</f>
        <v>7500</v>
      </c>
      <c r="AG44" s="17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16500</v>
      </c>
      <c r="AH44" s="177" t="n">
        <f aca="false">Таблица32[[#This Row],[Ishga kelish bank klient3]]+Таблица32[[#This Row],[Gruppa bank klient 2]]</f>
        <v>30000</v>
      </c>
    </row>
    <row r="45" customFormat="false" ht="17.35" hidden="false" customHeight="false" outlineLevel="0" collapsed="false">
      <c r="A45" s="112" t="n">
        <v>43</v>
      </c>
      <c r="B45" s="120" t="s">
        <v>179</v>
      </c>
      <c r="C45" s="113" t="s">
        <v>224</v>
      </c>
      <c r="D45" s="113" t="s">
        <v>224</v>
      </c>
      <c r="E45" s="115" t="n">
        <v>400000</v>
      </c>
      <c r="F45" s="113" t="s">
        <v>210</v>
      </c>
      <c r="G45" s="174"/>
      <c r="H45" s="174" t="n">
        <v>1</v>
      </c>
      <c r="I45" s="174"/>
      <c r="J45" s="174"/>
      <c r="K45" s="174" t="n">
        <v>1</v>
      </c>
      <c r="L45" s="175" t="n">
        <v>-0.25</v>
      </c>
      <c r="M45" s="175" t="n">
        <v>0.25</v>
      </c>
      <c r="N45" s="175"/>
      <c r="O45" s="175"/>
      <c r="P45" s="175" t="n">
        <v>0.25</v>
      </c>
      <c r="Q45" s="175" t="n">
        <v>0</v>
      </c>
      <c r="R45" s="175" t="n">
        <v>0</v>
      </c>
      <c r="S45" s="175" t="n">
        <v>0</v>
      </c>
      <c r="T45" s="175" t="n">
        <v>0</v>
      </c>
      <c r="U45" s="175" t="n">
        <v>0</v>
      </c>
      <c r="V45" s="117"/>
      <c r="W45" s="176" t="n">
        <f aca="false">Таблица32[[#This Row],[Столбец7]]*Таблица32[[#This Row],[Ishga kelish nazoratchi2]]%</f>
        <v>0</v>
      </c>
      <c r="X45" s="177" t="n">
        <f aca="false">Таблица32[[#This Row],[Столбец7]]*Таблица32[[#This Row],[Ishga vaqtida kelish ketish]]%</f>
        <v>0</v>
      </c>
      <c r="Y45" s="177" t="n">
        <f aca="false">Таблица32[[#This Row],[Столбец7]]*Таблица32[[#This Row],[Ishga kelish bank klient]]%</f>
        <v>4000</v>
      </c>
      <c r="Z45" s="177" t="n">
        <f aca="false">Таблица32[[#This Row],[Столбец7]]*Таблица32[[#This Row],[Gruppa buxgalter]]%</f>
        <v>0</v>
      </c>
      <c r="AA45" s="177" t="n">
        <f aca="false">Таблица32[[#This Row],[Столбец7]]*Таблица32[[#This Row],[Gruppa bank klient ]]%</f>
        <v>4000</v>
      </c>
      <c r="AB45" s="177" t="n">
        <f aca="false">Таблица32[[#This Row],[1c]]*Таблица32[[#This Row],[Столбец7]]/100</f>
        <v>0</v>
      </c>
      <c r="AC45" s="178" t="n">
        <f aca="false">SUM(Таблица32[[#This Row],[Didox]:[ мехнат]],Таблица32[[#This Row],[Avtokameral]])*Таблица32[[#This Row],[Столбец7]]/100</f>
        <v>1000</v>
      </c>
      <c r="AD45" s="178" t="n">
        <f aca="false">SUM(Таблица32[[#This Row],[Pul oqimlari]:[Foyda va zarar]])*Таблица32[[#This Row],[Столбец7]]/100</f>
        <v>0</v>
      </c>
      <c r="AE45" s="177" t="n">
        <f aca="false">Таблица32[[#This Row],[Столбец7]]*Таблица32[[#This Row],[Nazoratchi]]%</f>
        <v>0</v>
      </c>
      <c r="AF45" s="177" t="n">
        <f aca="false">Таблица32[[#This Row],[Ishga vaqtida kelish nazoratchi]]+Таблица32[[#This Row],[Nazoratchi2]]</f>
        <v>0</v>
      </c>
      <c r="AG4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1000</v>
      </c>
      <c r="AH45" s="177" t="n">
        <f aca="false">Таблица32[[#This Row],[Ishga kelish bank klient3]]+Таблица32[[#This Row],[Gruppa bank klient 2]]</f>
        <v>8000</v>
      </c>
    </row>
    <row r="46" customFormat="false" ht="17.35" hidden="false" customHeight="false" outlineLevel="0" collapsed="false">
      <c r="A46" s="112" t="n">
        <v>44</v>
      </c>
      <c r="B46" s="113" t="s">
        <v>181</v>
      </c>
      <c r="C46" s="113" t="s">
        <v>211</v>
      </c>
      <c r="D46" s="113" t="s">
        <v>238</v>
      </c>
      <c r="E46" s="115" t="n">
        <v>2000000</v>
      </c>
      <c r="F46" s="113" t="s">
        <v>210</v>
      </c>
      <c r="G46" s="174"/>
      <c r="H46" s="174" t="n">
        <v>1</v>
      </c>
      <c r="I46" s="174"/>
      <c r="J46" s="174" t="n">
        <v>1</v>
      </c>
      <c r="K46" s="174" t="n">
        <v>1</v>
      </c>
      <c r="L46" s="175" t="n">
        <v>0.25</v>
      </c>
      <c r="M46" s="175" t="n">
        <v>0.25</v>
      </c>
      <c r="N46" s="175" t="n">
        <v>0.25</v>
      </c>
      <c r="O46" s="175"/>
      <c r="P46" s="175" t="n">
        <v>0.25</v>
      </c>
      <c r="Q46" s="175" t="n">
        <v>-0.2</v>
      </c>
      <c r="R46" s="180" t="n">
        <v>0.2</v>
      </c>
      <c r="S46" s="180" t="n">
        <v>0.2</v>
      </c>
      <c r="T46" s="175" t="n">
        <v>-0.2</v>
      </c>
      <c r="U46" s="175" t="n">
        <v>-0.2</v>
      </c>
      <c r="V46" s="117" t="n">
        <v>0.5</v>
      </c>
      <c r="W46" s="176" t="n">
        <f aca="false">Таблица32[[#This Row],[Столбец7]]*Таблица32[[#This Row],[Ishga kelish nazoratchi2]]%</f>
        <v>0</v>
      </c>
      <c r="X46" s="177" t="n">
        <f aca="false">Таблица32[[#This Row],[Столбец7]]*Таблица32[[#This Row],[Ishga vaqtida kelish ketish]]%</f>
        <v>0</v>
      </c>
      <c r="Y46" s="177" t="n">
        <f aca="false">Таблица32[[#This Row],[Столбец7]]*Таблица32[[#This Row],[Ishga kelish bank klient]]%</f>
        <v>20000</v>
      </c>
      <c r="Z46" s="177" t="n">
        <f aca="false">Таблица32[[#This Row],[Столбец7]]*Таблица32[[#This Row],[Gruppa buxgalter]]%</f>
        <v>20000</v>
      </c>
      <c r="AA46" s="177" t="n">
        <f aca="false">Таблица32[[#This Row],[Столбец7]]*Таблица32[[#This Row],[Gruppa bank klient ]]%</f>
        <v>20000</v>
      </c>
      <c r="AB46" s="177" t="n">
        <f aca="false">Таблица32[[#This Row],[1c]]*Таблица32[[#This Row],[Столбец7]]/100</f>
        <v>0</v>
      </c>
      <c r="AC46" s="178" t="n">
        <f aca="false">SUM(Таблица32[[#This Row],[Didox]:[ мехнат]],Таблица32[[#This Row],[Avtokameral]])*Таблица32[[#This Row],[Столбец7]]/100</f>
        <v>20000</v>
      </c>
      <c r="AD46" s="178" t="n">
        <f aca="false">SUM(Таблица32[[#This Row],[Pul oqimlari]:[Foyda va zarar]])*Таблица32[[#This Row],[Столбец7]]/100</f>
        <v>-4000</v>
      </c>
      <c r="AE46" s="177" t="n">
        <f aca="false">Таблица32[[#This Row],[Столбец7]]*Таблица32[[#This Row],[Nazoratchi]]%</f>
        <v>10000</v>
      </c>
      <c r="AF46" s="177" t="n">
        <f aca="false">Таблица32[[#This Row],[Ishga vaqtida kelish nazoratchi]]+Таблица32[[#This Row],[Nazoratchi2]]</f>
        <v>10000</v>
      </c>
      <c r="AG4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36000</v>
      </c>
      <c r="AH46" s="177" t="n">
        <f aca="false">Таблица32[[#This Row],[Ishga kelish bank klient3]]+Таблица32[[#This Row],[Gruppa bank klient 2]]</f>
        <v>40000</v>
      </c>
    </row>
    <row r="47" customFormat="false" ht="32.8" hidden="false" customHeight="false" outlineLevel="0" collapsed="false">
      <c r="A47" s="112" t="n">
        <v>45</v>
      </c>
      <c r="B47" s="125" t="s">
        <v>264</v>
      </c>
      <c r="C47" s="62" t="s">
        <v>216</v>
      </c>
      <c r="D47" s="125"/>
      <c r="E47" s="119" t="n">
        <v>4000000</v>
      </c>
      <c r="F47" s="113" t="s">
        <v>210</v>
      </c>
      <c r="G47" s="174" t="n">
        <v>-0.25</v>
      </c>
      <c r="H47" s="174"/>
      <c r="I47" s="174"/>
      <c r="J47" s="174" t="n">
        <v>1</v>
      </c>
      <c r="K47" s="174"/>
      <c r="L47" s="175" t="n">
        <v>0.25</v>
      </c>
      <c r="M47" s="175" t="n">
        <v>0.25</v>
      </c>
      <c r="N47" s="175" t="n">
        <v>0.25</v>
      </c>
      <c r="O47" s="175" t="n">
        <v>1</v>
      </c>
      <c r="P47" s="175" t="n">
        <v>-0.25</v>
      </c>
      <c r="Q47" s="175" t="n">
        <v>0.2</v>
      </c>
      <c r="R47" s="175" t="n">
        <v>0.2</v>
      </c>
      <c r="S47" s="175" t="n">
        <v>0.2</v>
      </c>
      <c r="T47" s="175" t="n">
        <v>-0.2</v>
      </c>
      <c r="U47" s="175" t="n">
        <v>-0.2</v>
      </c>
      <c r="V47" s="117" t="n">
        <v>0.5</v>
      </c>
      <c r="W47" s="176" t="n">
        <f aca="false">Таблица32[[#This Row],[Столбец7]]*Таблица32[[#This Row],[Ishga kelish nazoratchi2]]%</f>
        <v>0</v>
      </c>
      <c r="X47" s="177" t="n">
        <f aca="false">Таблица32[[#This Row],[Столбец7]]*Таблица32[[#This Row],[Ishga vaqtida kelish ketish]]%</f>
        <v>-10000</v>
      </c>
      <c r="Y47" s="177" t="n">
        <f aca="false">Таблица32[[#This Row],[Столбец7]]*Таблица32[[#This Row],[Ishga kelish bank klient]]%</f>
        <v>0</v>
      </c>
      <c r="Z47" s="177" t="n">
        <f aca="false">Таблица32[[#This Row],[Столбец7]]*Таблица32[[#This Row],[Gruppa buxgalter]]%</f>
        <v>40000</v>
      </c>
      <c r="AA47" s="177" t="n">
        <f aca="false">Таблица32[[#This Row],[Столбец7]]*Таблица32[[#This Row],[Gruppa bank klient ]]%</f>
        <v>0</v>
      </c>
      <c r="AB47" s="177" t="n">
        <f aca="false">Таблица32[[#This Row],[1c]]*Таблица32[[#This Row],[Столбец7]]/100</f>
        <v>40000</v>
      </c>
      <c r="AC47" s="178" t="n">
        <f aca="false">SUM(Таблица32[[#This Row],[Didox]:[ мехнат]],Таблица32[[#This Row],[Avtokameral]])*Таблица32[[#This Row],[Столбец7]]/100</f>
        <v>20000</v>
      </c>
      <c r="AD47" s="178" t="n">
        <f aca="false">SUM(Таблица32[[#This Row],[Pul oqimlari]:[Foyda va zarar]])*Таблица32[[#This Row],[Столбец7]]/100</f>
        <v>8000</v>
      </c>
      <c r="AE47" s="177" t="n">
        <f aca="false">Таблица32[[#This Row],[Столбец7]]*Таблица32[[#This Row],[Nazoratchi]]%</f>
        <v>20000</v>
      </c>
      <c r="AF47" s="177" t="n">
        <f aca="false">Таблица32[[#This Row],[Ishga vaqtida kelish nazoratchi]]+Таблица32[[#This Row],[Nazoratchi2]]</f>
        <v>20000</v>
      </c>
      <c r="AG4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98000</v>
      </c>
      <c r="AH47" s="177" t="n">
        <f aca="false">Таблица32[[#This Row],[Ishga kelish bank klient3]]+Таблица32[[#This Row],[Gruppa bank klient 2]]</f>
        <v>0</v>
      </c>
    </row>
    <row r="48" customFormat="false" ht="32.8" hidden="false" customHeight="false" outlineLevel="0" collapsed="false">
      <c r="A48" s="112" t="n">
        <v>46</v>
      </c>
      <c r="B48" s="113" t="s">
        <v>265</v>
      </c>
      <c r="C48" s="113" t="s">
        <v>221</v>
      </c>
      <c r="D48" s="113" t="s">
        <v>238</v>
      </c>
      <c r="E48" s="115" t="n">
        <v>700000</v>
      </c>
      <c r="F48" s="113" t="s">
        <v>210</v>
      </c>
      <c r="G48" s="174"/>
      <c r="H48" s="174" t="n">
        <v>1</v>
      </c>
      <c r="I48" s="174"/>
      <c r="J48" s="174" t="n">
        <v>1</v>
      </c>
      <c r="K48" s="174" t="n">
        <v>1</v>
      </c>
      <c r="L48" s="175" t="n">
        <v>0.25</v>
      </c>
      <c r="M48" s="175" t="n">
        <v>0.25</v>
      </c>
      <c r="N48" s="175"/>
      <c r="O48" s="175" t="n">
        <v>1</v>
      </c>
      <c r="P48" s="175" t="n">
        <v>0.25</v>
      </c>
      <c r="Q48" s="175" t="n">
        <v>0.2</v>
      </c>
      <c r="R48" s="175" t="n">
        <v>0.2</v>
      </c>
      <c r="S48" s="175" t="n">
        <v>-0.2</v>
      </c>
      <c r="T48" s="175" t="n">
        <v>-0.2</v>
      </c>
      <c r="U48" s="175" t="n">
        <v>-0.2</v>
      </c>
      <c r="V48" s="117" t="n">
        <v>0.5</v>
      </c>
      <c r="W48" s="176" t="n">
        <f aca="false">Таблица32[[#This Row],[Столбец7]]*Таблица32[[#This Row],[Ishga kelish nazoratchi2]]%</f>
        <v>0</v>
      </c>
      <c r="X48" s="177" t="n">
        <f aca="false">Таблица32[[#This Row],[Столбец7]]*Таблица32[[#This Row],[Ishga vaqtida kelish ketish]]%</f>
        <v>0</v>
      </c>
      <c r="Y48" s="177" t="n">
        <f aca="false">Таблица32[[#This Row],[Столбец7]]*Таблица32[[#This Row],[Ishga kelish bank klient]]%</f>
        <v>7000</v>
      </c>
      <c r="Z48" s="177" t="n">
        <f aca="false">Таблица32[[#This Row],[Столбец7]]*Таблица32[[#This Row],[Gruppa buxgalter]]%</f>
        <v>7000</v>
      </c>
      <c r="AA48" s="177" t="n">
        <f aca="false">Таблица32[[#This Row],[Столбец7]]*Таблица32[[#This Row],[Gruppa bank klient ]]%</f>
        <v>7000</v>
      </c>
      <c r="AB48" s="177" t="n">
        <f aca="false">Таблица32[[#This Row],[1c]]*Таблица32[[#This Row],[Столбец7]]/100</f>
        <v>7000</v>
      </c>
      <c r="AC48" s="178" t="n">
        <f aca="false">SUM(Таблица32[[#This Row],[Didox]:[ мехнат]],Таблица32[[#This Row],[Avtokameral]])*Таблица32[[#This Row],[Столбец7]]/100</f>
        <v>5250</v>
      </c>
      <c r="AD48" s="178" t="n">
        <f aca="false">SUM(Таблица32[[#This Row],[Pul oqimlari]:[Foyda va zarar]])*Таблица32[[#This Row],[Столбец7]]/100</f>
        <v>-1400</v>
      </c>
      <c r="AE48" s="177" t="n">
        <f aca="false">Таблица32[[#This Row],[Столбец7]]*Таблица32[[#This Row],[Nazoratchi]]%</f>
        <v>3500</v>
      </c>
      <c r="AF48" s="177" t="n">
        <f aca="false">Таблица32[[#This Row],[Ishga vaqtida kelish nazoratchi]]+Таблица32[[#This Row],[Nazoratchi2]]</f>
        <v>3500</v>
      </c>
      <c r="AG4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17850</v>
      </c>
      <c r="AH48" s="177" t="n">
        <f aca="false">Таблица32[[#This Row],[Ishga kelish bank klient3]]+Таблица32[[#This Row],[Gruppa bank klient 2]]</f>
        <v>14000</v>
      </c>
    </row>
    <row r="49" customFormat="false" ht="17.35" hidden="false" customHeight="false" outlineLevel="0" collapsed="false">
      <c r="A49" s="112" t="n">
        <v>47</v>
      </c>
      <c r="B49" s="125" t="s">
        <v>266</v>
      </c>
      <c r="C49" s="62" t="s">
        <v>221</v>
      </c>
      <c r="D49" s="125" t="s">
        <v>238</v>
      </c>
      <c r="E49" s="119" t="n">
        <v>1000000</v>
      </c>
      <c r="F49" s="113" t="s">
        <v>210</v>
      </c>
      <c r="G49" s="174"/>
      <c r="H49" s="174" t="n">
        <v>1</v>
      </c>
      <c r="I49" s="179"/>
      <c r="J49" s="174" t="n">
        <v>1</v>
      </c>
      <c r="K49" s="174" t="n">
        <v>1</v>
      </c>
      <c r="L49" s="175" t="n">
        <v>0.25</v>
      </c>
      <c r="M49" s="175" t="n">
        <v>0.25</v>
      </c>
      <c r="N49" s="175"/>
      <c r="O49" s="175" t="n">
        <v>1</v>
      </c>
      <c r="P49" s="175" t="n">
        <v>0.25</v>
      </c>
      <c r="Q49" s="175" t="n">
        <v>0</v>
      </c>
      <c r="R49" s="175" t="n">
        <v>0.2</v>
      </c>
      <c r="S49" s="175" t="n">
        <v>0.2</v>
      </c>
      <c r="T49" s="175" t="n">
        <v>0</v>
      </c>
      <c r="U49" s="175" t="n">
        <v>0</v>
      </c>
      <c r="V49" s="117" t="n">
        <v>0.5</v>
      </c>
      <c r="W49" s="176" t="n">
        <f aca="false">Таблица32[[#This Row],[Столбец7]]*Таблица32[[#This Row],[Ishga kelish nazoratchi2]]%</f>
        <v>0</v>
      </c>
      <c r="X49" s="177" t="n">
        <f aca="false">Таблица32[[#This Row],[Столбец7]]*Таблица32[[#This Row],[Ishga vaqtida kelish ketish]]%</f>
        <v>0</v>
      </c>
      <c r="Y49" s="177" t="n">
        <f aca="false">Таблица32[[#This Row],[Столбец7]]*Таблица32[[#This Row],[Ishga kelish bank klient]]%</f>
        <v>10000</v>
      </c>
      <c r="Z49" s="177" t="n">
        <f aca="false">Таблица32[[#This Row],[Столбец7]]*Таблица32[[#This Row],[Gruppa buxgalter]]%</f>
        <v>10000</v>
      </c>
      <c r="AA49" s="177" t="n">
        <f aca="false">Таблица32[[#This Row],[Столбец7]]*Таблица32[[#This Row],[Gruppa bank klient ]]%</f>
        <v>10000</v>
      </c>
      <c r="AB49" s="177" t="n">
        <f aca="false">Таблица32[[#This Row],[1c]]*Таблица32[[#This Row],[Столбец7]]/100</f>
        <v>10000</v>
      </c>
      <c r="AC49" s="178" t="n">
        <f aca="false">SUM(Таблица32[[#This Row],[Didox]:[ мехнат]],Таблица32[[#This Row],[Avtokameral]])*Таблица32[[#This Row],[Столбец7]]/100</f>
        <v>7500</v>
      </c>
      <c r="AD49" s="178" t="n">
        <f aca="false">SUM(Таблица32[[#This Row],[Pul oqimlari]:[Foyda va zarar]])*Таблица32[[#This Row],[Столбец7]]/100</f>
        <v>4000</v>
      </c>
      <c r="AE49" s="177" t="n">
        <f aca="false">Таблица32[[#This Row],[Столбец7]]*Таблица32[[#This Row],[Nazoratchi]]%</f>
        <v>5000</v>
      </c>
      <c r="AF49" s="177" t="n">
        <f aca="false">Таблица32[[#This Row],[Ishga vaqtida kelish nazoratchi]]+Таблица32[[#This Row],[Nazoratchi2]]</f>
        <v>5000</v>
      </c>
      <c r="AG4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31500</v>
      </c>
      <c r="AH49" s="177" t="n">
        <f aca="false">Таблица32[[#This Row],[Ishga kelish bank klient3]]+Таблица32[[#This Row],[Gruppa bank klient 2]]</f>
        <v>20000</v>
      </c>
    </row>
    <row r="50" customFormat="false" ht="17.35" hidden="false" customHeight="false" outlineLevel="0" collapsed="false">
      <c r="A50" s="112" t="n">
        <v>48</v>
      </c>
      <c r="B50" s="113" t="s">
        <v>145</v>
      </c>
      <c r="C50" s="113" t="s">
        <v>211</v>
      </c>
      <c r="D50" s="113"/>
      <c r="E50" s="115" t="n">
        <v>3000000</v>
      </c>
      <c r="F50" s="113" t="s">
        <v>210</v>
      </c>
      <c r="G50" s="174"/>
      <c r="H50" s="174"/>
      <c r="I50" s="179"/>
      <c r="J50" s="174" t="n">
        <v>-1</v>
      </c>
      <c r="K50" s="174"/>
      <c r="L50" s="175" t="n">
        <v>0.25</v>
      </c>
      <c r="M50" s="175" t="n">
        <v>0.25</v>
      </c>
      <c r="N50" s="175" t="n">
        <v>0.25</v>
      </c>
      <c r="O50" s="175" t="n">
        <v>1</v>
      </c>
      <c r="P50" s="175" t="n">
        <v>0.25</v>
      </c>
      <c r="Q50" s="175" t="n">
        <v>0.2</v>
      </c>
      <c r="R50" s="175" t="n">
        <v>0.2</v>
      </c>
      <c r="S50" s="175" t="n">
        <v>0.2</v>
      </c>
      <c r="T50" s="175" t="n">
        <v>0.2</v>
      </c>
      <c r="U50" s="175" t="n">
        <v>0.2</v>
      </c>
      <c r="V50" s="117" t="n">
        <v>-1</v>
      </c>
      <c r="W50" s="176" t="n">
        <f aca="false">Таблица32[[#This Row],[Столбец7]]*Таблица32[[#This Row],[Ishga kelish nazoratchi2]]%</f>
        <v>0</v>
      </c>
      <c r="X50" s="177" t="n">
        <f aca="false">Таблица32[[#This Row],[Столбец7]]*Таблица32[[#This Row],[Ishga vaqtida kelish ketish]]%</f>
        <v>0</v>
      </c>
      <c r="Y50" s="177" t="n">
        <f aca="false">Таблица32[[#This Row],[Столбец7]]*Таблица32[[#This Row],[Ishga kelish bank klient]]%</f>
        <v>0</v>
      </c>
      <c r="Z50" s="177" t="n">
        <f aca="false">Таблица32[[#This Row],[Столбец7]]*Таблица32[[#This Row],[Gruppa buxgalter]]%</f>
        <v>-30000</v>
      </c>
      <c r="AA50" s="177" t="n">
        <f aca="false">Таблица32[[#This Row],[Столбец7]]*Таблица32[[#This Row],[Gruppa bank klient ]]%</f>
        <v>0</v>
      </c>
      <c r="AB50" s="177" t="n">
        <f aca="false">Таблица32[[#This Row],[1c]]*Таблица32[[#This Row],[Столбец7]]/100</f>
        <v>30000</v>
      </c>
      <c r="AC50" s="178" t="n">
        <f aca="false">SUM(Таблица32[[#This Row],[Didox]:[ мехнат]],Таблица32[[#This Row],[Avtokameral]])*Таблица32[[#This Row],[Столбец7]]/100</f>
        <v>30000</v>
      </c>
      <c r="AD50" s="178" t="n">
        <f aca="false">SUM(Таблица32[[#This Row],[Pul oqimlari]:[Foyda va zarar]])*Таблица32[[#This Row],[Столбец7]]/100</f>
        <v>30000</v>
      </c>
      <c r="AE50" s="177" t="n">
        <f aca="false">Таблица32[[#This Row],[Столбец7]]*Таблица32[[#This Row],[Nazoratchi]]%</f>
        <v>-30000</v>
      </c>
      <c r="AF50" s="177" t="n">
        <f aca="false">Таблица32[[#This Row],[Ishga vaqtida kelish nazoratchi]]+Таблица32[[#This Row],[Nazoratchi2]]</f>
        <v>-30000</v>
      </c>
      <c r="AG5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60000</v>
      </c>
      <c r="AH50" s="177" t="n">
        <f aca="false">Таблица32[[#This Row],[Ishga kelish bank klient3]]+Таблица32[[#This Row],[Gruppa bank klient 2]]</f>
        <v>0</v>
      </c>
    </row>
    <row r="51" customFormat="false" ht="32.8" hidden="false" customHeight="false" outlineLevel="0" collapsed="false">
      <c r="A51" s="112" t="n">
        <v>49</v>
      </c>
      <c r="B51" s="113" t="s">
        <v>193</v>
      </c>
      <c r="C51" s="113" t="s">
        <v>218</v>
      </c>
      <c r="D51" s="113" t="s">
        <v>238</v>
      </c>
      <c r="E51" s="115" t="n">
        <v>1000000</v>
      </c>
      <c r="F51" s="113" t="s">
        <v>210</v>
      </c>
      <c r="G51" s="174" t="n">
        <v>-0.35</v>
      </c>
      <c r="H51" s="174" t="n">
        <v>1</v>
      </c>
      <c r="I51" s="179"/>
      <c r="J51" s="174" t="n">
        <v>1</v>
      </c>
      <c r="K51" s="174" t="n">
        <v>1</v>
      </c>
      <c r="L51" s="175" t="n">
        <v>0.25</v>
      </c>
      <c r="M51" s="175" t="n">
        <v>-0.25</v>
      </c>
      <c r="N51" s="175"/>
      <c r="O51" s="175" t="n">
        <v>1</v>
      </c>
      <c r="P51" s="175" t="n">
        <v>0.25</v>
      </c>
      <c r="Q51" s="175" t="n">
        <v>0.2</v>
      </c>
      <c r="R51" s="175" t="n">
        <v>0.2</v>
      </c>
      <c r="S51" s="175" t="n">
        <v>0.2</v>
      </c>
      <c r="T51" s="175" t="n">
        <v>0.2</v>
      </c>
      <c r="U51" s="175" t="n">
        <v>0.2</v>
      </c>
      <c r="V51" s="117" t="n">
        <v>0.5</v>
      </c>
      <c r="W51" s="176" t="n">
        <f aca="false">Таблица32[[#This Row],[Столбец7]]*Таблица32[[#This Row],[Ishga kelish nazoratchi2]]%</f>
        <v>0</v>
      </c>
      <c r="X51" s="177" t="n">
        <f aca="false">Таблица32[[#This Row],[Столбец7]]*Таблица32[[#This Row],[Ishga vaqtida kelish ketish]]%</f>
        <v>-3500</v>
      </c>
      <c r="Y51" s="177" t="n">
        <f aca="false">Таблица32[[#This Row],[Столбец7]]*Таблица32[[#This Row],[Ishga kelish bank klient]]%</f>
        <v>10000</v>
      </c>
      <c r="Z51" s="177" t="n">
        <f aca="false">Таблица32[[#This Row],[Столбец7]]*Таблица32[[#This Row],[Gruppa buxgalter]]%</f>
        <v>10000</v>
      </c>
      <c r="AA51" s="177" t="n">
        <f aca="false">Таблица32[[#This Row],[Столбец7]]*Таблица32[[#This Row],[Gruppa bank klient ]]%</f>
        <v>10000</v>
      </c>
      <c r="AB51" s="177" t="n">
        <f aca="false">Таблица32[[#This Row],[1c]]*Таблица32[[#This Row],[Столбец7]]/100</f>
        <v>10000</v>
      </c>
      <c r="AC51" s="178" t="n">
        <f aca="false">SUM(Таблица32[[#This Row],[Didox]:[ мехнат]],Таблица32[[#This Row],[Avtokameral]])*Таблица32[[#This Row],[Столбец7]]/100</f>
        <v>2500</v>
      </c>
      <c r="AD51" s="178" t="n">
        <f aca="false">SUM(Таблица32[[#This Row],[Pul oqimlari]:[Foyda va zarar]])*Таблица32[[#This Row],[Столбец7]]/100</f>
        <v>10000</v>
      </c>
      <c r="AE51" s="177" t="n">
        <f aca="false">Таблица32[[#This Row],[Столбец7]]*Таблица32[[#This Row],[Nazoratchi]]%</f>
        <v>5000</v>
      </c>
      <c r="AF51" s="177" t="n">
        <f aca="false">Таблица32[[#This Row],[Ishga vaqtida kelish nazoratchi]]+Таблица32[[#This Row],[Nazoratchi2]]</f>
        <v>5000</v>
      </c>
      <c r="AG5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29000</v>
      </c>
      <c r="AH51" s="177" t="n">
        <f aca="false">Таблица32[[#This Row],[Ishga kelish bank klient3]]+Таблица32[[#This Row],[Gruppa bank klient 2]]</f>
        <v>20000</v>
      </c>
    </row>
    <row r="52" customFormat="false" ht="17.35" hidden="false" customHeight="false" outlineLevel="0" collapsed="false">
      <c r="A52" s="112" t="n">
        <v>50</v>
      </c>
      <c r="B52" s="113" t="s">
        <v>109</v>
      </c>
      <c r="C52" s="113" t="s">
        <v>218</v>
      </c>
      <c r="D52" s="113" t="s">
        <v>224</v>
      </c>
      <c r="E52" s="115" t="n">
        <v>2000000</v>
      </c>
      <c r="F52" s="113" t="s">
        <v>210</v>
      </c>
      <c r="G52" s="174" t="n">
        <v>-0.35</v>
      </c>
      <c r="H52" s="174" t="n">
        <v>1</v>
      </c>
      <c r="I52" s="179"/>
      <c r="J52" s="174" t="n">
        <v>1</v>
      </c>
      <c r="K52" s="174" t="n">
        <v>1</v>
      </c>
      <c r="L52" s="175" t="n">
        <v>0.25</v>
      </c>
      <c r="M52" s="175" t="n">
        <v>0.25</v>
      </c>
      <c r="N52" s="175" t="n">
        <v>0.25</v>
      </c>
      <c r="O52" s="175" t="n">
        <v>1</v>
      </c>
      <c r="P52" s="175" t="n">
        <v>0.25</v>
      </c>
      <c r="Q52" s="175" t="n">
        <v>0.2</v>
      </c>
      <c r="R52" s="175" t="n">
        <v>0.2</v>
      </c>
      <c r="S52" s="175" t="n">
        <v>0.2</v>
      </c>
      <c r="T52" s="175" t="n">
        <v>0.2</v>
      </c>
      <c r="U52" s="175" t="n">
        <v>0.2</v>
      </c>
      <c r="V52" s="117" t="n">
        <v>0.5</v>
      </c>
      <c r="W52" s="176" t="n">
        <f aca="false">Таблица32[[#This Row],[Столбец7]]*Таблица32[[#This Row],[Ishga kelish nazoratchi2]]%</f>
        <v>0</v>
      </c>
      <c r="X52" s="177" t="n">
        <f aca="false">Таблица32[[#This Row],[Столбец7]]*Таблица32[[#This Row],[Ishga vaqtida kelish ketish]]%</f>
        <v>-7000</v>
      </c>
      <c r="Y52" s="177" t="n">
        <f aca="false">Таблица32[[#This Row],[Столбец7]]*Таблица32[[#This Row],[Ishga kelish bank klient]]%</f>
        <v>20000</v>
      </c>
      <c r="Z52" s="177" t="n">
        <f aca="false">Таблица32[[#This Row],[Столбец7]]*Таблица32[[#This Row],[Gruppa buxgalter]]%</f>
        <v>20000</v>
      </c>
      <c r="AA52" s="177" t="n">
        <f aca="false">Таблица32[[#This Row],[Столбец7]]*Таблица32[[#This Row],[Gruppa bank klient ]]%</f>
        <v>20000</v>
      </c>
      <c r="AB52" s="177" t="n">
        <f aca="false">Таблица32[[#This Row],[1c]]*Таблица32[[#This Row],[Столбец7]]/100</f>
        <v>20000</v>
      </c>
      <c r="AC52" s="178" t="n">
        <f aca="false">SUM(Таблица32[[#This Row],[Didox]:[ мехнат]],Таблица32[[#This Row],[Avtokameral]])*Таблица32[[#This Row],[Столбец7]]/100</f>
        <v>20000</v>
      </c>
      <c r="AD52" s="178" t="n">
        <f aca="false">SUM(Таблица32[[#This Row],[Pul oqimlari]:[Foyda va zarar]])*Таблица32[[#This Row],[Столбец7]]/100</f>
        <v>20000</v>
      </c>
      <c r="AE52" s="177" t="n">
        <f aca="false">Таблица32[[#This Row],[Столбец7]]*Таблица32[[#This Row],[Nazoratchi]]%</f>
        <v>10000</v>
      </c>
      <c r="AF52" s="177" t="n">
        <f aca="false">Таблица32[[#This Row],[Ishga vaqtida kelish nazoratchi]]+Таблица32[[#This Row],[Nazoratchi2]]</f>
        <v>10000</v>
      </c>
      <c r="AG5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73000</v>
      </c>
      <c r="AH52" s="177" t="n">
        <f aca="false">Таблица32[[#This Row],[Ishga kelish bank klient3]]+Таблица32[[#This Row],[Gruppa bank klient 2]]</f>
        <v>40000</v>
      </c>
    </row>
    <row r="53" customFormat="false" ht="17.35" hidden="false" customHeight="false" outlineLevel="0" collapsed="false">
      <c r="A53" s="112" t="n">
        <v>51</v>
      </c>
      <c r="B53" s="113" t="s">
        <v>267</v>
      </c>
      <c r="C53" s="114" t="s">
        <v>223</v>
      </c>
      <c r="D53" s="113" t="s">
        <v>238</v>
      </c>
      <c r="E53" s="115" t="n">
        <v>2500000</v>
      </c>
      <c r="F53" s="113" t="s">
        <v>210</v>
      </c>
      <c r="G53" s="174" t="n">
        <v>-0.8</v>
      </c>
      <c r="H53" s="174" t="n">
        <v>1</v>
      </c>
      <c r="I53" s="174"/>
      <c r="J53" s="174" t="n">
        <v>1</v>
      </c>
      <c r="K53" s="174" t="n">
        <v>1</v>
      </c>
      <c r="L53" s="175" t="n">
        <v>0.25</v>
      </c>
      <c r="M53" s="175" t="n">
        <v>0.25</v>
      </c>
      <c r="N53" s="175" t="n">
        <v>0.25</v>
      </c>
      <c r="O53" s="175" t="n">
        <v>1</v>
      </c>
      <c r="P53" s="175" t="n">
        <v>0.25</v>
      </c>
      <c r="Q53" s="175" t="n">
        <v>0.2</v>
      </c>
      <c r="R53" s="175" t="n">
        <v>0.2</v>
      </c>
      <c r="S53" s="175" t="n">
        <v>0.2</v>
      </c>
      <c r="T53" s="175" t="n">
        <v>-0.2</v>
      </c>
      <c r="U53" s="175" t="n">
        <v>0.2</v>
      </c>
      <c r="V53" s="174" t="n">
        <v>0.5</v>
      </c>
      <c r="W53" s="176" t="n">
        <f aca="false">Таблица32[[#This Row],[Столбец7]]*Таблица32[[#This Row],[Ishga kelish nazoratchi2]]%</f>
        <v>0</v>
      </c>
      <c r="X53" s="177" t="n">
        <f aca="false">Таблица32[[#This Row],[Столбец7]]*Таблица32[[#This Row],[Ishga vaqtida kelish ketish]]%</f>
        <v>-20000</v>
      </c>
      <c r="Y53" s="177" t="n">
        <f aca="false">Таблица32[[#This Row],[Столбец7]]*Таблица32[[#This Row],[Ishga kelish bank klient]]%</f>
        <v>25000</v>
      </c>
      <c r="Z53" s="177" t="n">
        <f aca="false">Таблица32[[#This Row],[Столбец7]]*Таблица32[[#This Row],[Gruppa buxgalter]]%</f>
        <v>25000</v>
      </c>
      <c r="AA53" s="177" t="n">
        <f aca="false">Таблица32[[#This Row],[Столбец7]]*Таблица32[[#This Row],[Gruppa bank klient ]]%</f>
        <v>25000</v>
      </c>
      <c r="AB53" s="177" t="n">
        <f aca="false">Таблица32[[#This Row],[1c]]*Таблица32[[#This Row],[Столбец7]]/100</f>
        <v>25000</v>
      </c>
      <c r="AC53" s="178" t="n">
        <f aca="false">SUM(Таблица32[[#This Row],[Didox]:[ мехнат]],Таблица32[[#This Row],[Avtokameral]])*Таблица32[[#This Row],[Столбец7]]/100</f>
        <v>25000</v>
      </c>
      <c r="AD53" s="178" t="n">
        <f aca="false">SUM(Таблица32[[#This Row],[Pul oqimlari]:[Foyda va zarar]])*Таблица32[[#This Row],[Столбец7]]/100</f>
        <v>15000</v>
      </c>
      <c r="AE53" s="177" t="n">
        <f aca="false">Таблица32[[#This Row],[Столбец7]]*Таблица32[[#This Row],[Nazoratchi]]%</f>
        <v>12500</v>
      </c>
      <c r="AF53" s="177" t="n">
        <f aca="false">Таблица32[[#This Row],[Ishga vaqtida kelish nazoratchi]]+Таблица32[[#This Row],[Nazoratchi2]]</f>
        <v>12500</v>
      </c>
      <c r="AG5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70000</v>
      </c>
      <c r="AH53" s="177" t="n">
        <f aca="false">Таблица32[[#This Row],[Ishga kelish bank klient3]]+Таблица32[[#This Row],[Gruppa bank klient 2]]</f>
        <v>50000</v>
      </c>
    </row>
    <row r="54" customFormat="false" ht="17.35" hidden="false" customHeight="false" outlineLevel="0" collapsed="false">
      <c r="A54" s="112" t="n">
        <v>52</v>
      </c>
      <c r="B54" s="113" t="s">
        <v>268</v>
      </c>
      <c r="C54" s="113" t="s">
        <v>212</v>
      </c>
      <c r="D54" s="113" t="s">
        <v>238</v>
      </c>
      <c r="E54" s="115" t="n">
        <v>1000000</v>
      </c>
      <c r="F54" s="113" t="s">
        <v>213</v>
      </c>
      <c r="G54" s="174"/>
      <c r="H54" s="174" t="n">
        <v>1</v>
      </c>
      <c r="I54" s="174"/>
      <c r="J54" s="174" t="n">
        <v>1</v>
      </c>
      <c r="K54" s="174" t="n">
        <v>1</v>
      </c>
      <c r="L54" s="175" t="n">
        <v>0.25</v>
      </c>
      <c r="M54" s="175" t="n">
        <v>-0.25</v>
      </c>
      <c r="N54" s="175"/>
      <c r="O54" s="175"/>
      <c r="P54" s="175" t="n">
        <v>-0.25</v>
      </c>
      <c r="Q54" s="175" t="n">
        <v>-0.2</v>
      </c>
      <c r="R54" s="175" t="n">
        <v>-0.2</v>
      </c>
      <c r="S54" s="175" t="n">
        <v>-0.2</v>
      </c>
      <c r="T54" s="175" t="n">
        <v>-0.2</v>
      </c>
      <c r="U54" s="175" t="n">
        <v>-0.2</v>
      </c>
      <c r="V54" s="117" t="n">
        <v>0.5</v>
      </c>
      <c r="W54" s="176" t="n">
        <f aca="false">Таблица32[[#This Row],[Столбец7]]*Таблица32[[#This Row],[Ishga kelish nazoratchi2]]%</f>
        <v>0</v>
      </c>
      <c r="X54" s="177" t="n">
        <f aca="false">Таблица32[[#This Row],[Столбец7]]*Таблица32[[#This Row],[Ishga vaqtida kelish ketish]]%</f>
        <v>0</v>
      </c>
      <c r="Y54" s="177" t="n">
        <f aca="false">Таблица32[[#This Row],[Столбец7]]*Таблица32[[#This Row],[Ishga kelish bank klient]]%</f>
        <v>10000</v>
      </c>
      <c r="Z54" s="177" t="n">
        <f aca="false">Таблица32[[#This Row],[Столбец7]]*Таблица32[[#This Row],[Gruppa buxgalter]]%</f>
        <v>10000</v>
      </c>
      <c r="AA54" s="177" t="n">
        <f aca="false">Таблица32[[#This Row],[Столбец7]]*Таблица32[[#This Row],[Gruppa bank klient ]]%</f>
        <v>10000</v>
      </c>
      <c r="AB54" s="177" t="n">
        <f aca="false">Таблица32[[#This Row],[1c]]*Таблица32[[#This Row],[Столбец7]]/100</f>
        <v>0</v>
      </c>
      <c r="AC54" s="178" t="n">
        <f aca="false">SUM(Таблица32[[#This Row],[Didox]:[ мехнат]],Таблица32[[#This Row],[Avtokameral]])*Таблица32[[#This Row],[Столбец7]]/100</f>
        <v>-2500</v>
      </c>
      <c r="AD54" s="178" t="n">
        <f aca="false">SUM(Таблица32[[#This Row],[Pul oqimlari]:[Foyda va zarar]])*Таблица32[[#This Row],[Столбец7]]/100</f>
        <v>-10000</v>
      </c>
      <c r="AE54" s="177" t="n">
        <f aca="false">Таблица32[[#This Row],[Столбец7]]*Таблица32[[#This Row],[Nazoratchi]]%</f>
        <v>5000</v>
      </c>
      <c r="AF54" s="177" t="n">
        <f aca="false">Таблица32[[#This Row],[Ishga vaqtida kelish nazoratchi]]+Таблица32[[#This Row],[Nazoratchi2]]</f>
        <v>5000</v>
      </c>
      <c r="AG5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-2500</v>
      </c>
      <c r="AH54" s="177" t="n">
        <f aca="false">Таблица32[[#This Row],[Ishga kelish bank klient3]]+Таблица32[[#This Row],[Gruppa bank klient 2]]</f>
        <v>20000</v>
      </c>
    </row>
    <row r="55" customFormat="false" ht="17.35" hidden="false" customHeight="false" outlineLevel="0" collapsed="false">
      <c r="A55" s="112" t="n">
        <v>53</v>
      </c>
      <c r="B55" s="113" t="s">
        <v>269</v>
      </c>
      <c r="C55" s="113" t="s">
        <v>217</v>
      </c>
      <c r="D55" s="113" t="s">
        <v>238</v>
      </c>
      <c r="E55" s="115" t="n">
        <v>1500000</v>
      </c>
      <c r="F55" s="113" t="s">
        <v>210</v>
      </c>
      <c r="G55" s="174" t="n">
        <v>0.9</v>
      </c>
      <c r="H55" s="174" t="n">
        <v>1</v>
      </c>
      <c r="I55" s="179"/>
      <c r="J55" s="174" t="n">
        <v>1</v>
      </c>
      <c r="K55" s="174" t="n">
        <v>1</v>
      </c>
      <c r="L55" s="175" t="n">
        <v>0.25</v>
      </c>
      <c r="M55" s="175" t="n">
        <v>0.25</v>
      </c>
      <c r="N55" s="175" t="n">
        <v>-0.25</v>
      </c>
      <c r="O55" s="175"/>
      <c r="P55" s="175" t="n">
        <v>-0.25</v>
      </c>
      <c r="Q55" s="175" t="n">
        <v>0.2</v>
      </c>
      <c r="R55" s="175" t="n">
        <v>0.2</v>
      </c>
      <c r="S55" s="175" t="n">
        <v>0.2</v>
      </c>
      <c r="T55" s="175" t="n">
        <v>-0.2</v>
      </c>
      <c r="U55" s="175" t="n">
        <v>-0.2</v>
      </c>
      <c r="V55" s="117" t="n">
        <v>0.5</v>
      </c>
      <c r="W55" s="176" t="n">
        <f aca="false">Таблица32[[#This Row],[Столбец7]]*Таблица32[[#This Row],[Ishga kelish nazoratchi2]]%</f>
        <v>0</v>
      </c>
      <c r="X55" s="177" t="n">
        <f aca="false">Таблица32[[#This Row],[Столбец7]]*Таблица32[[#This Row],[Ishga vaqtida kelish ketish]]%</f>
        <v>13500</v>
      </c>
      <c r="Y55" s="177" t="n">
        <f aca="false">Таблица32[[#This Row],[Столбец7]]*Таблица32[[#This Row],[Ishga kelish bank klient]]%</f>
        <v>15000</v>
      </c>
      <c r="Z55" s="177" t="n">
        <f aca="false">Таблица32[[#This Row],[Столбец7]]*Таблица32[[#This Row],[Gruppa buxgalter]]%</f>
        <v>15000</v>
      </c>
      <c r="AA55" s="177" t="n">
        <f aca="false">Таблица32[[#This Row],[Столбец7]]*Таблица32[[#This Row],[Gruppa bank klient ]]%</f>
        <v>15000</v>
      </c>
      <c r="AB55" s="177" t="n">
        <f aca="false">Таблица32[[#This Row],[1c]]*Таблица32[[#This Row],[Столбец7]]/100</f>
        <v>0</v>
      </c>
      <c r="AC55" s="178" t="n">
        <f aca="false">SUM(Таблица32[[#This Row],[Didox]:[ мехнат]],Таблица32[[#This Row],[Avtokameral]])*Таблица32[[#This Row],[Столбец7]]/100</f>
        <v>0</v>
      </c>
      <c r="AD55" s="178" t="n">
        <f aca="false">SUM(Таблица32[[#This Row],[Pul oqimlari]:[Foyda va zarar]])*Таблица32[[#This Row],[Столбец7]]/100</f>
        <v>3000</v>
      </c>
      <c r="AE55" s="177" t="n">
        <f aca="false">Таблица32[[#This Row],[Столбец7]]*Таблица32[[#This Row],[Nazoratchi]]%</f>
        <v>7500</v>
      </c>
      <c r="AF55" s="177" t="n">
        <f aca="false">Таблица32[[#This Row],[Ishga vaqtida kelish nazoratchi]]+Таблица32[[#This Row],[Nazoratchi2]]</f>
        <v>7500</v>
      </c>
      <c r="AG5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31500</v>
      </c>
      <c r="AH55" s="177" t="n">
        <f aca="false">Таблица32[[#This Row],[Ishga kelish bank klient3]]+Таблица32[[#This Row],[Gruppa bank klient 2]]</f>
        <v>30000</v>
      </c>
    </row>
    <row r="56" customFormat="false" ht="17.35" hidden="false" customHeight="false" outlineLevel="0" collapsed="false">
      <c r="A56" s="112" t="n">
        <v>54</v>
      </c>
      <c r="B56" s="120" t="s">
        <v>270</v>
      </c>
      <c r="C56" s="120" t="s">
        <v>210</v>
      </c>
      <c r="D56" s="113" t="s">
        <v>238</v>
      </c>
      <c r="E56" s="115" t="n">
        <v>1000000</v>
      </c>
      <c r="F56" s="113" t="s">
        <v>213</v>
      </c>
      <c r="G56" s="174" t="n">
        <v>0.05</v>
      </c>
      <c r="H56" s="174" t="n">
        <v>1</v>
      </c>
      <c r="I56" s="174"/>
      <c r="J56" s="174" t="n">
        <v>1</v>
      </c>
      <c r="K56" s="174" t="n">
        <v>1</v>
      </c>
      <c r="L56" s="175" t="n">
        <v>-0.25</v>
      </c>
      <c r="M56" s="175" t="n">
        <v>0.25</v>
      </c>
      <c r="N56" s="175" t="n">
        <v>0.25</v>
      </c>
      <c r="O56" s="175" t="n">
        <v>1</v>
      </c>
      <c r="P56" s="175" t="n">
        <v>0.25</v>
      </c>
      <c r="Q56" s="175" t="n">
        <v>0.2</v>
      </c>
      <c r="R56" s="175" t="n">
        <v>0.2</v>
      </c>
      <c r="S56" s="175" t="n">
        <v>0.2</v>
      </c>
      <c r="T56" s="175" t="n">
        <v>-0.2</v>
      </c>
      <c r="U56" s="175" t="n">
        <v>0.2</v>
      </c>
      <c r="V56" s="174" t="n">
        <v>0.5</v>
      </c>
      <c r="W56" s="176" t="n">
        <f aca="false">Таблица32[[#This Row],[Столбец7]]*Таблица32[[#This Row],[Ishga kelish nazoratchi2]]%</f>
        <v>0</v>
      </c>
      <c r="X56" s="177" t="n">
        <f aca="false">Таблица32[[#This Row],[Столбец7]]*Таблица32[[#This Row],[Ishga vaqtida kelish ketish]]%</f>
        <v>500</v>
      </c>
      <c r="Y56" s="177" t="n">
        <f aca="false">Таблица32[[#This Row],[Столбец7]]*Таблица32[[#This Row],[Ishga kelish bank klient]]%</f>
        <v>10000</v>
      </c>
      <c r="Z56" s="177" t="n">
        <f aca="false">Таблица32[[#This Row],[Столбец7]]*Таблица32[[#This Row],[Gruppa buxgalter]]%</f>
        <v>10000</v>
      </c>
      <c r="AA56" s="177" t="n">
        <f aca="false">Таблица32[[#This Row],[Столбец7]]*Таблица32[[#This Row],[Gruppa bank klient ]]%</f>
        <v>10000</v>
      </c>
      <c r="AB56" s="177" t="n">
        <f aca="false">Таблица32[[#This Row],[1c]]*Таблица32[[#This Row],[Столбец7]]/100</f>
        <v>10000</v>
      </c>
      <c r="AC56" s="178" t="n">
        <f aca="false">SUM(Таблица32[[#This Row],[Didox]:[ мехнат]],Таблица32[[#This Row],[Avtokameral]])*Таблица32[[#This Row],[Столбец7]]/100</f>
        <v>5000</v>
      </c>
      <c r="AD56" s="178" t="n">
        <f aca="false">SUM(Таблица32[[#This Row],[Pul oqimlari]:[Foyda va zarar]])*Таблица32[[#This Row],[Столбец7]]/100</f>
        <v>6000</v>
      </c>
      <c r="AE56" s="177" t="n">
        <f aca="false">Таблица32[[#This Row],[Столбец7]]*Таблица32[[#This Row],[Nazoratchi]]%</f>
        <v>5000</v>
      </c>
      <c r="AF56" s="177" t="n">
        <f aca="false">Таблица32[[#This Row],[Ishga vaqtida kelish nazoratchi]]+Таблица32[[#This Row],[Nazoratchi2]]</f>
        <v>5000</v>
      </c>
      <c r="AG5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31500</v>
      </c>
      <c r="AH56" s="177" t="n">
        <f aca="false">Таблица32[[#This Row],[Ishga kelish bank klient3]]+Таблица32[[#This Row],[Gruppa bank klient 2]]</f>
        <v>20000</v>
      </c>
    </row>
    <row r="57" customFormat="false" ht="17.35" hidden="false" customHeight="false" outlineLevel="0" collapsed="false">
      <c r="A57" s="112" t="n">
        <v>55</v>
      </c>
      <c r="B57" s="113" t="s">
        <v>271</v>
      </c>
      <c r="C57" s="113" t="s">
        <v>212</v>
      </c>
      <c r="D57" s="113" t="s">
        <v>224</v>
      </c>
      <c r="E57" s="115" t="n">
        <v>1500000</v>
      </c>
      <c r="F57" s="113" t="s">
        <v>213</v>
      </c>
      <c r="G57" s="174"/>
      <c r="H57" s="174" t="n">
        <v>1</v>
      </c>
      <c r="I57" s="174"/>
      <c r="J57" s="174" t="n">
        <v>1</v>
      </c>
      <c r="K57" s="174" t="n">
        <v>1</v>
      </c>
      <c r="L57" s="175" t="n">
        <v>0.25</v>
      </c>
      <c r="M57" s="175" t="n">
        <v>0.25</v>
      </c>
      <c r="N57" s="175" t="n">
        <v>0.25</v>
      </c>
      <c r="O57" s="175"/>
      <c r="P57" s="175" t="n">
        <v>0.25</v>
      </c>
      <c r="Q57" s="175" t="n">
        <v>0.2</v>
      </c>
      <c r="R57" s="175" t="n">
        <v>0.2</v>
      </c>
      <c r="S57" s="175" t="n">
        <v>0.2</v>
      </c>
      <c r="T57" s="175" t="n">
        <v>0.2</v>
      </c>
      <c r="U57" s="175" t="n">
        <v>0.2</v>
      </c>
      <c r="V57" s="117" t="n">
        <v>0.5</v>
      </c>
      <c r="W57" s="176" t="n">
        <f aca="false">Таблица32[[#This Row],[Столбец7]]*Таблица32[[#This Row],[Ishga kelish nazoratchi2]]%</f>
        <v>0</v>
      </c>
      <c r="X57" s="177" t="n">
        <f aca="false">Таблица32[[#This Row],[Столбец7]]*Таблица32[[#This Row],[Ishga vaqtida kelish ketish]]%</f>
        <v>0</v>
      </c>
      <c r="Y57" s="177" t="n">
        <f aca="false">Таблица32[[#This Row],[Столбец7]]*Таблица32[[#This Row],[Ishga kelish bank klient]]%</f>
        <v>15000</v>
      </c>
      <c r="Z57" s="177" t="n">
        <f aca="false">Таблица32[[#This Row],[Столбец7]]*Таблица32[[#This Row],[Gruppa buxgalter]]%</f>
        <v>15000</v>
      </c>
      <c r="AA57" s="177" t="n">
        <f aca="false">Таблица32[[#This Row],[Столбец7]]*Таблица32[[#This Row],[Gruppa bank klient ]]%</f>
        <v>15000</v>
      </c>
      <c r="AB57" s="177" t="n">
        <f aca="false">Таблица32[[#This Row],[1c]]*Таблица32[[#This Row],[Столбец7]]/100</f>
        <v>0</v>
      </c>
      <c r="AC57" s="178" t="n">
        <f aca="false">SUM(Таблица32[[#This Row],[Didox]:[ мехнат]],Таблица32[[#This Row],[Avtokameral]])*Таблица32[[#This Row],[Столбец7]]/100</f>
        <v>15000</v>
      </c>
      <c r="AD57" s="178" t="n">
        <f aca="false">SUM(Таблица32[[#This Row],[Pul oqimlari]:[Foyda va zarar]])*Таблица32[[#This Row],[Столбец7]]/100</f>
        <v>15000</v>
      </c>
      <c r="AE57" s="177" t="n">
        <f aca="false">Таблица32[[#This Row],[Столбец7]]*Таблица32[[#This Row],[Nazoratchi]]%</f>
        <v>7500</v>
      </c>
      <c r="AF57" s="177" t="n">
        <f aca="false">Таблица32[[#This Row],[Ishga vaqtida kelish nazoratchi]]+Таблица32[[#This Row],[Nazoratchi2]]</f>
        <v>7500</v>
      </c>
      <c r="AG5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45000</v>
      </c>
      <c r="AH57" s="177" t="n">
        <f aca="false">Таблица32[[#This Row],[Ishga kelish bank klient3]]+Таблица32[[#This Row],[Gruppa bank klient 2]]</f>
        <v>30000</v>
      </c>
    </row>
    <row r="58" customFormat="false" ht="17.35" hidden="false" customHeight="false" outlineLevel="0" collapsed="false">
      <c r="A58" s="112" t="n">
        <v>56</v>
      </c>
      <c r="B58" s="113" t="s">
        <v>108</v>
      </c>
      <c r="C58" s="113" t="s">
        <v>209</v>
      </c>
      <c r="D58" s="113" t="s">
        <v>238</v>
      </c>
      <c r="E58" s="115" t="n">
        <v>4000000</v>
      </c>
      <c r="F58" s="113" t="s">
        <v>213</v>
      </c>
      <c r="G58" s="174"/>
      <c r="H58" s="174" t="n">
        <v>1</v>
      </c>
      <c r="I58" s="174"/>
      <c r="J58" s="174" t="n">
        <v>-0.5</v>
      </c>
      <c r="K58" s="174" t="n">
        <v>1</v>
      </c>
      <c r="L58" s="175" t="n">
        <v>0.25</v>
      </c>
      <c r="M58" s="175" t="n">
        <v>0.25</v>
      </c>
      <c r="N58" s="175"/>
      <c r="O58" s="175" t="n">
        <v>1</v>
      </c>
      <c r="P58" s="175" t="n">
        <v>0.25</v>
      </c>
      <c r="Q58" s="175" t="n">
        <v>0.2</v>
      </c>
      <c r="R58" s="175" t="n">
        <v>0.2</v>
      </c>
      <c r="S58" s="175" t="n">
        <v>0.2</v>
      </c>
      <c r="T58" s="175" t="n">
        <v>0.2</v>
      </c>
      <c r="U58" s="175" t="n">
        <v>0.2</v>
      </c>
      <c r="V58" s="174" t="n">
        <v>-0.5</v>
      </c>
      <c r="W58" s="176" t="n">
        <f aca="false">Таблица32[[#This Row],[Столбец7]]*Таблица32[[#This Row],[Ishga kelish nazoratchi2]]%</f>
        <v>0</v>
      </c>
      <c r="X58" s="177" t="n">
        <f aca="false">Таблица32[[#This Row],[Столбец7]]*Таблица32[[#This Row],[Ishga vaqtida kelish ketish]]%</f>
        <v>0</v>
      </c>
      <c r="Y58" s="177" t="n">
        <f aca="false">Таблица32[[#This Row],[Столбец7]]*Таблица32[[#This Row],[Ishga kelish bank klient]]%</f>
        <v>40000</v>
      </c>
      <c r="Z58" s="177" t="n">
        <f aca="false">Таблица32[[#This Row],[Столбец7]]*Таблица32[[#This Row],[Gruppa buxgalter]]%</f>
        <v>-20000</v>
      </c>
      <c r="AA58" s="177" t="n">
        <f aca="false">Таблица32[[#This Row],[Столбец7]]*Таблица32[[#This Row],[Gruppa bank klient ]]%</f>
        <v>40000</v>
      </c>
      <c r="AB58" s="177" t="n">
        <f aca="false">Таблица32[[#This Row],[1c]]*Таблица32[[#This Row],[Столбец7]]/100</f>
        <v>40000</v>
      </c>
      <c r="AC58" s="178" t="n">
        <f aca="false">SUM(Таблица32[[#This Row],[Didox]:[ мехнат]],Таблица32[[#This Row],[Avtokameral]])*Таблица32[[#This Row],[Столбец7]]/100</f>
        <v>30000</v>
      </c>
      <c r="AD58" s="178" t="n">
        <f aca="false">SUM(Таблица32[[#This Row],[Pul oqimlari]:[Foyda va zarar]])*Таблица32[[#This Row],[Столбец7]]/100</f>
        <v>40000</v>
      </c>
      <c r="AE58" s="177" t="n">
        <f aca="false">Таблица32[[#This Row],[Столбец7]]*Таблица32[[#This Row],[Nazoratchi]]%</f>
        <v>-20000</v>
      </c>
      <c r="AF58" s="177" t="n">
        <f aca="false">Таблица32[[#This Row],[Ishga vaqtida kelish nazoratchi]]+Таблица32[[#This Row],[Nazoratchi2]]</f>
        <v>-20000</v>
      </c>
      <c r="AG5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90000</v>
      </c>
      <c r="AH58" s="177" t="n">
        <f aca="false">Таблица32[[#This Row],[Ishga kelish bank klient3]]+Таблица32[[#This Row],[Gruppa bank klient 2]]</f>
        <v>80000</v>
      </c>
    </row>
    <row r="59" customFormat="false" ht="17.35" hidden="false" customHeight="false" outlineLevel="0" collapsed="false">
      <c r="A59" s="112" t="n">
        <v>57</v>
      </c>
      <c r="B59" s="113" t="s">
        <v>125</v>
      </c>
      <c r="C59" s="113" t="s">
        <v>223</v>
      </c>
      <c r="D59" s="113" t="s">
        <v>238</v>
      </c>
      <c r="E59" s="119" t="n">
        <v>2500000</v>
      </c>
      <c r="F59" s="113" t="s">
        <v>210</v>
      </c>
      <c r="G59" s="174" t="n">
        <v>-0.8</v>
      </c>
      <c r="H59" s="174" t="n">
        <v>1</v>
      </c>
      <c r="I59" s="174"/>
      <c r="J59" s="174" t="n">
        <v>-0.5</v>
      </c>
      <c r="K59" s="174" t="n">
        <v>1</v>
      </c>
      <c r="L59" s="175" t="n">
        <v>0.25</v>
      </c>
      <c r="M59" s="175" t="n">
        <v>0.25</v>
      </c>
      <c r="N59" s="175" t="n">
        <v>0.25</v>
      </c>
      <c r="O59" s="175" t="n">
        <v>1</v>
      </c>
      <c r="P59" s="175" t="n">
        <v>0.25</v>
      </c>
      <c r="Q59" s="175" t="n">
        <v>0.2</v>
      </c>
      <c r="R59" s="175" t="n">
        <v>0.2</v>
      </c>
      <c r="S59" s="175" t="n">
        <v>0.2</v>
      </c>
      <c r="T59" s="175" t="n">
        <v>0.2</v>
      </c>
      <c r="U59" s="175" t="n">
        <v>-0.2</v>
      </c>
      <c r="V59" s="174" t="n">
        <v>-0.5</v>
      </c>
      <c r="W59" s="176" t="n">
        <f aca="false">Таблица32[[#This Row],[Столбец7]]*Таблица32[[#This Row],[Ishga kelish nazoratchi2]]%</f>
        <v>0</v>
      </c>
      <c r="X59" s="177" t="n">
        <f aca="false">Таблица32[[#This Row],[Столбец7]]*Таблица32[[#This Row],[Ishga vaqtida kelish ketish]]%</f>
        <v>-20000</v>
      </c>
      <c r="Y59" s="177" t="n">
        <f aca="false">Таблица32[[#This Row],[Столбец7]]*Таблица32[[#This Row],[Ishga kelish bank klient]]%</f>
        <v>25000</v>
      </c>
      <c r="Z59" s="177" t="n">
        <f aca="false">Таблица32[[#This Row],[Столбец7]]*Таблица32[[#This Row],[Gruppa buxgalter]]%</f>
        <v>-12500</v>
      </c>
      <c r="AA59" s="177" t="n">
        <f aca="false">Таблица32[[#This Row],[Столбец7]]*Таблица32[[#This Row],[Gruppa bank klient ]]%</f>
        <v>25000</v>
      </c>
      <c r="AB59" s="177" t="n">
        <f aca="false">Таблица32[[#This Row],[1c]]*Таблица32[[#This Row],[Столбец7]]/100</f>
        <v>25000</v>
      </c>
      <c r="AC59" s="178" t="n">
        <f aca="false">SUM(Таблица32[[#This Row],[Didox]:[ мехнат]],Таблица32[[#This Row],[Avtokameral]])*Таблица32[[#This Row],[Столбец7]]/100</f>
        <v>25000</v>
      </c>
      <c r="AD59" s="178" t="n">
        <f aca="false">SUM(Таблица32[[#This Row],[Pul oqimlari]:[Foyda va zarar]])*Таблица32[[#This Row],[Столбец7]]/100</f>
        <v>15000</v>
      </c>
      <c r="AE59" s="177" t="n">
        <f aca="false">Таблица32[[#This Row],[Столбец7]]*Таблица32[[#This Row],[Nazoratchi]]%</f>
        <v>-12500</v>
      </c>
      <c r="AF59" s="177" t="n">
        <f aca="false">Таблица32[[#This Row],[Ishga vaqtida kelish nazoratchi]]+Таблица32[[#This Row],[Nazoratchi2]]</f>
        <v>-12500</v>
      </c>
      <c r="AG5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32500</v>
      </c>
      <c r="AH59" s="177" t="n">
        <f aca="false">Таблица32[[#This Row],[Ishga kelish bank klient3]]+Таблица32[[#This Row],[Gruppa bank klient 2]]</f>
        <v>50000</v>
      </c>
    </row>
    <row r="60" customFormat="false" ht="32.8" hidden="false" customHeight="false" outlineLevel="0" collapsed="false">
      <c r="A60" s="112" t="n">
        <v>58</v>
      </c>
      <c r="B60" s="113" t="s">
        <v>272</v>
      </c>
      <c r="C60" s="113" t="s">
        <v>213</v>
      </c>
      <c r="D60" s="113"/>
      <c r="E60" s="115" t="n">
        <v>4000000</v>
      </c>
      <c r="F60" s="113" t="s">
        <v>210</v>
      </c>
      <c r="G60" s="174" t="n">
        <v>-0.8</v>
      </c>
      <c r="H60" s="174"/>
      <c r="I60" s="174"/>
      <c r="J60" s="174" t="n">
        <v>1</v>
      </c>
      <c r="K60" s="174"/>
      <c r="L60" s="175" t="n">
        <v>0.25</v>
      </c>
      <c r="M60" s="175" t="n">
        <v>0.25</v>
      </c>
      <c r="N60" s="175" t="n">
        <v>0.25</v>
      </c>
      <c r="O60" s="175" t="n">
        <v>1</v>
      </c>
      <c r="P60" s="175" t="n">
        <v>0.25</v>
      </c>
      <c r="Q60" s="175" t="n">
        <v>0.2</v>
      </c>
      <c r="R60" s="175" t="n">
        <v>0.2</v>
      </c>
      <c r="S60" s="175" t="n">
        <v>0.2</v>
      </c>
      <c r="T60" s="175" t="n">
        <v>0.2</v>
      </c>
      <c r="U60" s="175" t="n">
        <v>0.2</v>
      </c>
      <c r="V60" s="117" t="n">
        <v>0.5</v>
      </c>
      <c r="W60" s="176" t="n">
        <f aca="false">Таблица32[[#This Row],[Столбец7]]*Таблица32[[#This Row],[Ishga kelish nazoratchi2]]%</f>
        <v>0</v>
      </c>
      <c r="X60" s="177" t="n">
        <f aca="false">Таблица32[[#This Row],[Столбец7]]*Таблица32[[#This Row],[Ishga vaqtida kelish ketish]]%</f>
        <v>-32000</v>
      </c>
      <c r="Y60" s="177" t="n">
        <f aca="false">Таблица32[[#This Row],[Столбец7]]*Таблица32[[#This Row],[Ishga kelish bank klient]]%</f>
        <v>0</v>
      </c>
      <c r="Z60" s="177" t="n">
        <f aca="false">Таблица32[[#This Row],[Столбец7]]*Таблица32[[#This Row],[Gruppa buxgalter]]%</f>
        <v>40000</v>
      </c>
      <c r="AA60" s="177" t="n">
        <f aca="false">Таблица32[[#This Row],[Столбец7]]*Таблица32[[#This Row],[Gruppa bank klient ]]%</f>
        <v>0</v>
      </c>
      <c r="AB60" s="177" t="n">
        <f aca="false">Таблица32[[#This Row],[1c]]*Таблица32[[#This Row],[Столбец7]]/100</f>
        <v>40000</v>
      </c>
      <c r="AC60" s="178" t="n">
        <f aca="false">SUM(Таблица32[[#This Row],[Didox]:[ мехнат]],Таблица32[[#This Row],[Avtokameral]])*Таблица32[[#This Row],[Столбец7]]/100</f>
        <v>40000</v>
      </c>
      <c r="AD60" s="178" t="n">
        <f aca="false">SUM(Таблица32[[#This Row],[Pul oqimlari]:[Foyda va zarar]])*Таблица32[[#This Row],[Столбец7]]/100</f>
        <v>40000</v>
      </c>
      <c r="AE60" s="177" t="n">
        <f aca="false">Таблица32[[#This Row],[Столбец7]]*Таблица32[[#This Row],[Nazoratchi]]%</f>
        <v>20000</v>
      </c>
      <c r="AF60" s="177" t="n">
        <f aca="false">Таблица32[[#This Row],[Ishga vaqtida kelish nazoratchi]]+Таблица32[[#This Row],[Nazoratchi2]]</f>
        <v>20000</v>
      </c>
      <c r="AG6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128000</v>
      </c>
      <c r="AH60" s="177" t="n">
        <f aca="false">Таблица32[[#This Row],[Ishga kelish bank klient3]]+Таблица32[[#This Row],[Gruppa bank klient 2]]</f>
        <v>0</v>
      </c>
    </row>
    <row r="61" customFormat="false" ht="17.35" hidden="false" customHeight="false" outlineLevel="0" collapsed="false">
      <c r="A61" s="112" t="n">
        <v>59</v>
      </c>
      <c r="B61" s="113" t="s">
        <v>152</v>
      </c>
      <c r="C61" s="113" t="s">
        <v>218</v>
      </c>
      <c r="D61" s="113" t="s">
        <v>224</v>
      </c>
      <c r="E61" s="115" t="n">
        <v>700000</v>
      </c>
      <c r="F61" s="113" t="s">
        <v>210</v>
      </c>
      <c r="G61" s="174" t="n">
        <v>-0.35</v>
      </c>
      <c r="H61" s="174" t="n">
        <v>1</v>
      </c>
      <c r="I61" s="174"/>
      <c r="J61" s="174" t="n">
        <v>1</v>
      </c>
      <c r="K61" s="174" t="n">
        <v>1</v>
      </c>
      <c r="L61" s="175" t="n">
        <v>0.25</v>
      </c>
      <c r="M61" s="175" t="n">
        <v>-0.25</v>
      </c>
      <c r="N61" s="175" t="n">
        <v>0.25</v>
      </c>
      <c r="O61" s="175" t="n">
        <v>1</v>
      </c>
      <c r="P61" s="175" t="n">
        <v>0.25</v>
      </c>
      <c r="Q61" s="175" t="n">
        <v>0.2</v>
      </c>
      <c r="R61" s="175" t="n">
        <v>0.2</v>
      </c>
      <c r="S61" s="175" t="n">
        <v>0.2</v>
      </c>
      <c r="T61" s="175" t="n">
        <v>0.2</v>
      </c>
      <c r="U61" s="175" t="n">
        <v>0.2</v>
      </c>
      <c r="V61" s="117" t="n">
        <v>0.5</v>
      </c>
      <c r="W61" s="176" t="n">
        <f aca="false">Таблица32[[#This Row],[Столбец7]]*Таблица32[[#This Row],[Ishga kelish nazoratchi2]]%</f>
        <v>0</v>
      </c>
      <c r="X61" s="177" t="n">
        <f aca="false">Таблица32[[#This Row],[Столбец7]]*Таблица32[[#This Row],[Ishga vaqtida kelish ketish]]%</f>
        <v>-2450</v>
      </c>
      <c r="Y61" s="177" t="n">
        <f aca="false">Таблица32[[#This Row],[Столбец7]]*Таблица32[[#This Row],[Ishga kelish bank klient]]%</f>
        <v>7000</v>
      </c>
      <c r="Z61" s="177" t="n">
        <f aca="false">Таблица32[[#This Row],[Столбец7]]*Таблица32[[#This Row],[Gruppa buxgalter]]%</f>
        <v>7000</v>
      </c>
      <c r="AA61" s="177" t="n">
        <f aca="false">Таблица32[[#This Row],[Столбец7]]*Таблица32[[#This Row],[Gruppa bank klient ]]%</f>
        <v>7000</v>
      </c>
      <c r="AB61" s="177" t="n">
        <f aca="false">Таблица32[[#This Row],[1c]]*Таблица32[[#This Row],[Столбец7]]/100</f>
        <v>7000</v>
      </c>
      <c r="AC61" s="178" t="n">
        <f aca="false">SUM(Таблица32[[#This Row],[Didox]:[ мехнат]],Таблица32[[#This Row],[Avtokameral]])*Таблица32[[#This Row],[Столбец7]]/100</f>
        <v>3500</v>
      </c>
      <c r="AD61" s="178" t="n">
        <f aca="false">SUM(Таблица32[[#This Row],[Pul oqimlari]:[Foyda va zarar]])*Таблица32[[#This Row],[Столбец7]]/100</f>
        <v>7000</v>
      </c>
      <c r="AE61" s="177" t="n">
        <f aca="false">Таблица32[[#This Row],[Столбец7]]*Таблица32[[#This Row],[Nazoratchi]]%</f>
        <v>3500</v>
      </c>
      <c r="AF61" s="177" t="n">
        <f aca="false">Таблица32[[#This Row],[Ishga vaqtida kelish nazoratchi]]+Таблица32[[#This Row],[Nazoratchi2]]</f>
        <v>3500</v>
      </c>
      <c r="AG6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22050</v>
      </c>
      <c r="AH61" s="177" t="n">
        <f aca="false">Таблица32[[#This Row],[Ishga kelish bank klient3]]+Таблица32[[#This Row],[Gruppa bank klient 2]]</f>
        <v>14000</v>
      </c>
    </row>
    <row r="62" customFormat="false" ht="17.35" hidden="false" customHeight="false" outlineLevel="0" collapsed="false">
      <c r="A62" s="112" t="n">
        <v>60</v>
      </c>
      <c r="B62" s="113" t="s">
        <v>273</v>
      </c>
      <c r="C62" s="113" t="s">
        <v>217</v>
      </c>
      <c r="D62" s="113" t="s">
        <v>238</v>
      </c>
      <c r="E62" s="115" t="n">
        <v>4350000</v>
      </c>
      <c r="F62" s="113" t="s">
        <v>210</v>
      </c>
      <c r="G62" s="174" t="n">
        <v>0.9</v>
      </c>
      <c r="H62" s="174" t="n">
        <v>1</v>
      </c>
      <c r="I62" s="174"/>
      <c r="J62" s="174" t="n">
        <v>-1</v>
      </c>
      <c r="K62" s="174" t="n">
        <v>1</v>
      </c>
      <c r="L62" s="175" t="n">
        <v>0.25</v>
      </c>
      <c r="M62" s="175" t="n">
        <v>0.25</v>
      </c>
      <c r="N62" s="175" t="n">
        <v>-0.25</v>
      </c>
      <c r="O62" s="175"/>
      <c r="P62" s="175" t="n">
        <v>0.25</v>
      </c>
      <c r="Q62" s="175" t="n">
        <v>0.2</v>
      </c>
      <c r="R62" s="180" t="n">
        <v>0.2</v>
      </c>
      <c r="S62" s="180" t="n">
        <v>0.2</v>
      </c>
      <c r="T62" s="175" t="n">
        <v>0.2</v>
      </c>
      <c r="U62" s="175" t="n">
        <v>0.2</v>
      </c>
      <c r="V62" s="174" t="n">
        <v>-1</v>
      </c>
      <c r="W62" s="176" t="n">
        <f aca="false">Таблица32[[#This Row],[Столбец7]]*Таблица32[[#This Row],[Ishga kelish nazoratchi2]]%</f>
        <v>0</v>
      </c>
      <c r="X62" s="177" t="n">
        <f aca="false">Таблица32[[#This Row],[Столбец7]]*Таблица32[[#This Row],[Ishga vaqtida kelish ketish]]%</f>
        <v>39150</v>
      </c>
      <c r="Y62" s="177" t="n">
        <f aca="false">Таблица32[[#This Row],[Столбец7]]*Таблица32[[#This Row],[Ishga kelish bank klient]]%</f>
        <v>43500</v>
      </c>
      <c r="Z62" s="177" t="n">
        <f aca="false">Таблица32[[#This Row],[Столбец7]]*Таблица32[[#This Row],[Gruppa buxgalter]]%</f>
        <v>-43500</v>
      </c>
      <c r="AA62" s="177" t="n">
        <f aca="false">Таблица32[[#This Row],[Столбец7]]*Таблица32[[#This Row],[Gruppa bank klient ]]%</f>
        <v>43500</v>
      </c>
      <c r="AB62" s="177" t="n">
        <f aca="false">Таблица32[[#This Row],[1c]]*Таблица32[[#This Row],[Столбец7]]/100</f>
        <v>0</v>
      </c>
      <c r="AC62" s="178" t="n">
        <f aca="false">SUM(Таблица32[[#This Row],[Didox]:[ мехнат]],Таблица32[[#This Row],[Avtokameral]])*Таблица32[[#This Row],[Столбец7]]/100</f>
        <v>21750</v>
      </c>
      <c r="AD62" s="178" t="n">
        <f aca="false">SUM(Таблица32[[#This Row],[Pul oqimlari]:[Foyda va zarar]])*Таблица32[[#This Row],[Столбец7]]/100</f>
        <v>43500</v>
      </c>
      <c r="AE62" s="177" t="n">
        <f aca="false">Таблица32[[#This Row],[Столбец7]]*Таблица32[[#This Row],[Nazoratchi]]%</f>
        <v>-43500</v>
      </c>
      <c r="AF62" s="177" t="n">
        <f aca="false">Таблица32[[#This Row],[Ishga vaqtida kelish nazoratchi]]+Таблица32[[#This Row],[Nazoratchi2]]</f>
        <v>-43500</v>
      </c>
      <c r="AG62" s="17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60900</v>
      </c>
      <c r="AH62" s="177" t="n">
        <f aca="false">Таблица32[[#This Row],[Ishga kelish bank klient3]]+Таблица32[[#This Row],[Gruppa bank klient 2]]</f>
        <v>87000</v>
      </c>
    </row>
    <row r="63" customFormat="false" ht="17.35" hidden="false" customHeight="false" outlineLevel="0" collapsed="false">
      <c r="A63" s="112" t="n">
        <v>61</v>
      </c>
      <c r="B63" s="128" t="s">
        <v>274</v>
      </c>
      <c r="C63" s="113" t="s">
        <v>223</v>
      </c>
      <c r="D63" s="113" t="s">
        <v>224</v>
      </c>
      <c r="E63" s="115" t="n">
        <v>0</v>
      </c>
      <c r="F63" s="113" t="s">
        <v>210</v>
      </c>
      <c r="G63" s="174" t="n">
        <v>-0.8</v>
      </c>
      <c r="H63" s="174" t="n">
        <v>1</v>
      </c>
      <c r="I63" s="179"/>
      <c r="J63" s="174" t="n">
        <v>1</v>
      </c>
      <c r="K63" s="174" t="n">
        <v>1</v>
      </c>
      <c r="L63" s="175" t="n">
        <v>0.25</v>
      </c>
      <c r="M63" s="175" t="n">
        <v>-0.25</v>
      </c>
      <c r="N63" s="175"/>
      <c r="O63" s="175"/>
      <c r="P63" s="175" t="n">
        <v>0.25</v>
      </c>
      <c r="Q63" s="175" t="n">
        <v>0</v>
      </c>
      <c r="R63" s="175" t="n">
        <v>0</v>
      </c>
      <c r="S63" s="175" t="n">
        <v>0</v>
      </c>
      <c r="T63" s="175" t="n">
        <v>0</v>
      </c>
      <c r="U63" s="175" t="n">
        <v>0</v>
      </c>
      <c r="V63" s="174" t="n">
        <v>0.5</v>
      </c>
      <c r="W63" s="176" t="n">
        <f aca="false">Таблица32[[#This Row],[Столбец7]]*Таблица32[[#This Row],[Ishga kelish nazoratchi2]]%</f>
        <v>0</v>
      </c>
      <c r="X63" s="177" t="n">
        <f aca="false">Таблица32[[#This Row],[Столбец7]]*Таблица32[[#This Row],[Ishga vaqtida kelish ketish]]%</f>
        <v>0</v>
      </c>
      <c r="Y63" s="177" t="n">
        <f aca="false">Таблица32[[#This Row],[Столбец7]]*Таблица32[[#This Row],[Ishga kelish bank klient]]%</f>
        <v>0</v>
      </c>
      <c r="Z63" s="177" t="n">
        <f aca="false">Таблица32[[#This Row],[Столбец7]]*Таблица32[[#This Row],[Gruppa buxgalter]]%</f>
        <v>0</v>
      </c>
      <c r="AA63" s="177" t="n">
        <f aca="false">Таблица32[[#This Row],[Столбец7]]*Таблица32[[#This Row],[Gruppa bank klient ]]%</f>
        <v>0</v>
      </c>
      <c r="AB63" s="177" t="n">
        <f aca="false">Таблица32[[#This Row],[1c]]*Таблица32[[#This Row],[Столбец7]]/100</f>
        <v>0</v>
      </c>
      <c r="AC63" s="178" t="n">
        <f aca="false">SUM(Таблица32[[#This Row],[Didox]:[ мехнат]],Таблица32[[#This Row],[Avtokameral]])*Таблица32[[#This Row],[Столбец7]]/100</f>
        <v>0</v>
      </c>
      <c r="AD63" s="178" t="n">
        <f aca="false">SUM(Таблица32[[#This Row],[Pul oqimlari]:[Foyda va zarar]])*Таблица32[[#This Row],[Столбец7]]/100</f>
        <v>0</v>
      </c>
      <c r="AE63" s="177" t="n">
        <f aca="false">Таблица32[[#This Row],[Столбец7]]*Таблица32[[#This Row],[Nazoratchi]]%</f>
        <v>0</v>
      </c>
      <c r="AF63" s="177" t="n">
        <f aca="false">Таблица32[[#This Row],[Ishga vaqtida kelish nazoratchi]]+Таблица32[[#This Row],[Nazoratchi2]]</f>
        <v>0</v>
      </c>
      <c r="AG6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63" s="177" t="n">
        <f aca="false">Таблица32[[#This Row],[Ishga kelish bank klient3]]+Таблица32[[#This Row],[Gruppa bank klient 2]]</f>
        <v>0</v>
      </c>
    </row>
    <row r="64" customFormat="false" ht="17.35" hidden="false" customHeight="false" outlineLevel="0" collapsed="false">
      <c r="A64" s="112" t="n">
        <v>62</v>
      </c>
      <c r="B64" s="113" t="s">
        <v>275</v>
      </c>
      <c r="C64" s="113" t="s">
        <v>216</v>
      </c>
      <c r="D64" s="113"/>
      <c r="E64" s="115" t="n">
        <v>5000000</v>
      </c>
      <c r="F64" s="113" t="s">
        <v>210</v>
      </c>
      <c r="G64" s="174" t="n">
        <v>-0.25</v>
      </c>
      <c r="H64" s="174"/>
      <c r="I64" s="174"/>
      <c r="J64" s="174" t="n">
        <v>1</v>
      </c>
      <c r="K64" s="174"/>
      <c r="L64" s="175" t="n">
        <v>0</v>
      </c>
      <c r="M64" s="175" t="n">
        <v>0.25</v>
      </c>
      <c r="N64" s="175" t="n">
        <v>0.25</v>
      </c>
      <c r="O64" s="175"/>
      <c r="P64" s="175" t="n">
        <v>0.25</v>
      </c>
      <c r="Q64" s="159" t="n">
        <v>0.2</v>
      </c>
      <c r="R64" s="159" t="n">
        <v>0.2</v>
      </c>
      <c r="S64" s="175" t="n">
        <v>0.2</v>
      </c>
      <c r="T64" s="175" t="n">
        <v>-0.2</v>
      </c>
      <c r="U64" s="159" t="n">
        <v>0.2</v>
      </c>
      <c r="V64" s="117" t="n">
        <v>0.5</v>
      </c>
      <c r="W64" s="176" t="n">
        <f aca="false">Таблица32[[#This Row],[Столбец7]]*Таблица32[[#This Row],[Ishga kelish nazoratchi2]]%</f>
        <v>0</v>
      </c>
      <c r="X64" s="177" t="n">
        <f aca="false">Таблица32[[#This Row],[Столбец7]]*Таблица32[[#This Row],[Ishga vaqtida kelish ketish]]%</f>
        <v>-12500</v>
      </c>
      <c r="Y64" s="177" t="n">
        <f aca="false">Таблица32[[#This Row],[Столбец7]]*Таблица32[[#This Row],[Ishga kelish bank klient]]%</f>
        <v>0</v>
      </c>
      <c r="Z64" s="177" t="n">
        <f aca="false">Таблица32[[#This Row],[Столбец7]]*Таблица32[[#This Row],[Gruppa buxgalter]]%</f>
        <v>50000</v>
      </c>
      <c r="AA64" s="177" t="n">
        <f aca="false">Таблица32[[#This Row],[Столбец7]]*Таблица32[[#This Row],[Gruppa bank klient ]]%</f>
        <v>0</v>
      </c>
      <c r="AB64" s="177" t="n">
        <f aca="false">Таблица32[[#This Row],[1c]]*Таблица32[[#This Row],[Столбец7]]/100</f>
        <v>0</v>
      </c>
      <c r="AC64" s="178" t="n">
        <f aca="false">SUM(Таблица32[[#This Row],[Didox]:[ мехнат]],Таблица32[[#This Row],[Avtokameral]])*Таблица32[[#This Row],[Столбец7]]/100</f>
        <v>37500</v>
      </c>
      <c r="AD64" s="178" t="n">
        <f aca="false">SUM(Таблица32[[#This Row],[Pul oqimlari]:[Foyda va zarar]])*Таблица32[[#This Row],[Столбец7]]/100</f>
        <v>30000</v>
      </c>
      <c r="AE64" s="177" t="n">
        <f aca="false">Таблица32[[#This Row],[Столбец7]]*Таблица32[[#This Row],[Nazoratchi]]%</f>
        <v>25000</v>
      </c>
      <c r="AF64" s="177" t="n">
        <f aca="false">Таблица32[[#This Row],[Ishga vaqtida kelish nazoratchi]]+Таблица32[[#This Row],[Nazoratchi2]]</f>
        <v>25000</v>
      </c>
      <c r="AG6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105000</v>
      </c>
      <c r="AH64" s="177" t="n">
        <f aca="false">Таблица32[[#This Row],[Ishga kelish bank klient3]]+Таблица32[[#This Row],[Gruppa bank klient 2]]</f>
        <v>0</v>
      </c>
    </row>
    <row r="65" customFormat="false" ht="17.35" hidden="false" customHeight="false" outlineLevel="0" collapsed="false">
      <c r="A65" s="112" t="n">
        <v>63</v>
      </c>
      <c r="B65" s="120" t="s">
        <v>276</v>
      </c>
      <c r="C65" s="114" t="s">
        <v>230</v>
      </c>
      <c r="D65" s="120" t="s">
        <v>238</v>
      </c>
      <c r="E65" s="115" t="n">
        <v>1000000</v>
      </c>
      <c r="F65" s="113" t="s">
        <v>213</v>
      </c>
      <c r="G65" s="174" t="n">
        <v>-6</v>
      </c>
      <c r="H65" s="174" t="n">
        <v>1</v>
      </c>
      <c r="I65" s="174"/>
      <c r="J65" s="174" t="n">
        <v>-0.5</v>
      </c>
      <c r="K65" s="174" t="n">
        <v>1</v>
      </c>
      <c r="L65" s="175" t="n">
        <v>0.25</v>
      </c>
      <c r="M65" s="175" t="n">
        <v>0.25</v>
      </c>
      <c r="N65" s="175"/>
      <c r="O65" s="175"/>
      <c r="P65" s="175" t="n">
        <v>0.25</v>
      </c>
      <c r="Q65" s="175" t="n">
        <v>-0.2</v>
      </c>
      <c r="R65" s="159" t="n">
        <v>0.2</v>
      </c>
      <c r="S65" s="159" t="n">
        <v>0.2</v>
      </c>
      <c r="T65" s="175" t="n">
        <v>-0.2</v>
      </c>
      <c r="U65" s="175" t="n">
        <v>-0.2</v>
      </c>
      <c r="V65" s="117" t="n">
        <v>-0.5</v>
      </c>
      <c r="W65" s="176" t="n">
        <f aca="false">Таблица32[[#This Row],[Столбец7]]*Таблица32[[#This Row],[Ishga kelish nazoratchi2]]%</f>
        <v>0</v>
      </c>
      <c r="X65" s="177" t="n">
        <f aca="false">Таблица32[[#This Row],[Столбец7]]*Таблица32[[#This Row],[Ishga vaqtida kelish ketish]]%</f>
        <v>-60000</v>
      </c>
      <c r="Y65" s="177" t="n">
        <f aca="false">Таблица32[[#This Row],[Столбец7]]*Таблица32[[#This Row],[Ishga kelish bank klient]]%</f>
        <v>10000</v>
      </c>
      <c r="Z65" s="177" t="n">
        <f aca="false">Таблица32[[#This Row],[Столбец7]]*Таблица32[[#This Row],[Gruppa buxgalter]]%</f>
        <v>-5000</v>
      </c>
      <c r="AA65" s="177" t="n">
        <f aca="false">Таблица32[[#This Row],[Столбец7]]*Таблица32[[#This Row],[Gruppa bank klient ]]%</f>
        <v>10000</v>
      </c>
      <c r="AB65" s="177" t="n">
        <f aca="false">Таблица32[[#This Row],[1c]]*Таблица32[[#This Row],[Столбец7]]/100</f>
        <v>0</v>
      </c>
      <c r="AC65" s="178" t="n">
        <f aca="false">SUM(Таблица32[[#This Row],[Didox]:[ мехнат]],Таблица32[[#This Row],[Avtokameral]])*Таблица32[[#This Row],[Столбец7]]/100</f>
        <v>7500</v>
      </c>
      <c r="AD65" s="178" t="n">
        <f aca="false">SUM(Таблица32[[#This Row],[Pul oqimlari]:[Foyda va zarar]])*Таблица32[[#This Row],[Столбец7]]/100</f>
        <v>-2000</v>
      </c>
      <c r="AE65" s="177" t="n">
        <f aca="false">Таблица32[[#This Row],[Столбец7]]*Таблица32[[#This Row],[Nazoratchi]]%</f>
        <v>-5000</v>
      </c>
      <c r="AF65" s="177" t="n">
        <f aca="false">Таблица32[[#This Row],[Ishga vaqtida kelish nazoratchi]]+Таблица32[[#This Row],[Nazoratchi2]]</f>
        <v>-5000</v>
      </c>
      <c r="AG6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-59500</v>
      </c>
      <c r="AH65" s="177" t="n">
        <f aca="false">Таблица32[[#This Row],[Ishga kelish bank klient3]]+Таблица32[[#This Row],[Gruppa bank klient 2]]</f>
        <v>20000</v>
      </c>
    </row>
    <row r="66" customFormat="false" ht="17.35" hidden="false" customHeight="false" outlineLevel="0" collapsed="false">
      <c r="A66" s="112" t="n">
        <v>64</v>
      </c>
      <c r="B66" s="113" t="s">
        <v>105</v>
      </c>
      <c r="C66" s="113" t="s">
        <v>217</v>
      </c>
      <c r="D66" s="113" t="s">
        <v>224</v>
      </c>
      <c r="E66" s="115" t="n">
        <v>2500000</v>
      </c>
      <c r="F66" s="113" t="s">
        <v>210</v>
      </c>
      <c r="G66" s="174" t="n">
        <v>0.9</v>
      </c>
      <c r="H66" s="174" t="n">
        <v>1</v>
      </c>
      <c r="I66" s="179"/>
      <c r="J66" s="174" t="n">
        <v>-0.5</v>
      </c>
      <c r="K66" s="174" t="n">
        <v>1</v>
      </c>
      <c r="L66" s="175" t="n">
        <v>-0.25</v>
      </c>
      <c r="M66" s="175" t="n">
        <v>0.25</v>
      </c>
      <c r="N66" s="175"/>
      <c r="O66" s="175"/>
      <c r="P66" s="175" t="n">
        <v>0.25</v>
      </c>
      <c r="Q66" s="180" t="n">
        <v>0.2</v>
      </c>
      <c r="R66" s="175" t="n">
        <v>0.2</v>
      </c>
      <c r="S66" s="175" t="n">
        <v>0.2</v>
      </c>
      <c r="T66" s="180" t="n">
        <v>0.2</v>
      </c>
      <c r="U66" s="175" t="n">
        <v>0.2</v>
      </c>
      <c r="V66" s="174" t="n">
        <v>-0.5</v>
      </c>
      <c r="W66" s="176" t="n">
        <f aca="false">Таблица32[[#This Row],[Столбец7]]*Таблица32[[#This Row],[Ishga kelish nazoratchi2]]%</f>
        <v>0</v>
      </c>
      <c r="X66" s="177" t="n">
        <f aca="false">Таблица32[[#This Row],[Столбец7]]*Таблица32[[#This Row],[Ishga vaqtida kelish ketish]]%</f>
        <v>22500</v>
      </c>
      <c r="Y66" s="177" t="n">
        <f aca="false">Таблица32[[#This Row],[Столбец7]]*Таблица32[[#This Row],[Ishga kelish bank klient]]%</f>
        <v>25000</v>
      </c>
      <c r="Z66" s="177" t="n">
        <f aca="false">Таблица32[[#This Row],[Столбец7]]*Таблица32[[#This Row],[Gruppa buxgalter]]%</f>
        <v>-12500</v>
      </c>
      <c r="AA66" s="177" t="n">
        <f aca="false">Таблица32[[#This Row],[Столбец7]]*Таблица32[[#This Row],[Gruppa bank klient ]]%</f>
        <v>25000</v>
      </c>
      <c r="AB66" s="177" t="n">
        <f aca="false">Таблица32[[#This Row],[1c]]*Таблица32[[#This Row],[Столбец7]]/100</f>
        <v>0</v>
      </c>
      <c r="AC66" s="178" t="n">
        <f aca="false">SUM(Таблица32[[#This Row],[Didox]:[ мехнат]],Таблица32[[#This Row],[Avtokameral]])*Таблица32[[#This Row],[Столбец7]]/100</f>
        <v>6250</v>
      </c>
      <c r="AD66" s="178" t="n">
        <f aca="false">SUM(Таблица32[[#This Row],[Pul oqimlari]:[Foyda va zarar]])*Таблица32[[#This Row],[Столбец7]]/100</f>
        <v>25000</v>
      </c>
      <c r="AE66" s="177" t="n">
        <f aca="false">Таблица32[[#This Row],[Столбец7]]*Таблица32[[#This Row],[Nazoratchi]]%</f>
        <v>-12500</v>
      </c>
      <c r="AF66" s="177" t="n">
        <f aca="false">Таблица32[[#This Row],[Ishga vaqtida kelish nazoratchi]]+Таблица32[[#This Row],[Nazoratchi2]]</f>
        <v>-12500</v>
      </c>
      <c r="AG6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41250</v>
      </c>
      <c r="AH66" s="177" t="n">
        <f aca="false">Таблица32[[#This Row],[Ishga kelish bank klient3]]+Таблица32[[#This Row],[Gruppa bank klient 2]]</f>
        <v>50000</v>
      </c>
    </row>
    <row r="67" customFormat="false" ht="17.35" hidden="false" customHeight="false" outlineLevel="0" collapsed="false">
      <c r="A67" s="112" t="n">
        <v>65</v>
      </c>
      <c r="B67" s="125" t="s">
        <v>277</v>
      </c>
      <c r="C67" s="62" t="s">
        <v>208</v>
      </c>
      <c r="D67" s="125" t="s">
        <v>238</v>
      </c>
      <c r="E67" s="119" t="n">
        <v>0</v>
      </c>
      <c r="F67" s="113" t="s">
        <v>210</v>
      </c>
      <c r="G67" s="174"/>
      <c r="H67" s="174" t="n">
        <v>1</v>
      </c>
      <c r="I67" s="174"/>
      <c r="J67" s="174" t="n">
        <v>-0.5</v>
      </c>
      <c r="K67" s="174" t="n">
        <v>1</v>
      </c>
      <c r="L67" s="175" t="n">
        <v>-0.25</v>
      </c>
      <c r="M67" s="175" t="n">
        <v>0.25</v>
      </c>
      <c r="N67" s="175"/>
      <c r="O67" s="175"/>
      <c r="P67" s="175" t="n">
        <v>0.25</v>
      </c>
      <c r="Q67" s="175" t="n">
        <v>0</v>
      </c>
      <c r="R67" s="175" t="n">
        <v>-0.2</v>
      </c>
      <c r="S67" s="175" t="n">
        <v>0</v>
      </c>
      <c r="T67" s="175" t="n">
        <v>0</v>
      </c>
      <c r="U67" s="175" t="n">
        <v>0</v>
      </c>
      <c r="V67" s="174" t="n">
        <v>-0.5</v>
      </c>
      <c r="W67" s="176" t="n">
        <f aca="false">Таблица32[[#This Row],[Столбец7]]*Таблица32[[#This Row],[Ishga kelish nazoratchi2]]%</f>
        <v>0</v>
      </c>
      <c r="X67" s="177" t="n">
        <f aca="false">Таблица32[[#This Row],[Столбец7]]*Таблица32[[#This Row],[Ishga vaqtida kelish ketish]]%</f>
        <v>0</v>
      </c>
      <c r="Y67" s="177" t="n">
        <f aca="false">Таблица32[[#This Row],[Столбец7]]*Таблица32[[#This Row],[Ishga kelish bank klient]]%</f>
        <v>0</v>
      </c>
      <c r="Z67" s="177" t="n">
        <f aca="false">Таблица32[[#This Row],[Столбец7]]*Таблица32[[#This Row],[Gruppa buxgalter]]%</f>
        <v>0</v>
      </c>
      <c r="AA67" s="177" t="n">
        <f aca="false">Таблица32[[#This Row],[Столбец7]]*Таблица32[[#This Row],[Gruppa bank klient ]]%</f>
        <v>0</v>
      </c>
      <c r="AB67" s="177" t="n">
        <f aca="false">Таблица32[[#This Row],[1c]]*Таблица32[[#This Row],[Столбец7]]/100</f>
        <v>0</v>
      </c>
      <c r="AC67" s="178" t="n">
        <f aca="false">SUM(Таблица32[[#This Row],[Didox]:[ мехнат]],Таблица32[[#This Row],[Avtokameral]])*Таблица32[[#This Row],[Столбец7]]/100</f>
        <v>0</v>
      </c>
      <c r="AD67" s="178" t="n">
        <f aca="false">SUM(Таблица32[[#This Row],[Pul oqimlari]:[Foyda va zarar]])*Таблица32[[#This Row],[Столбец7]]/100</f>
        <v>0</v>
      </c>
      <c r="AE67" s="177" t="n">
        <f aca="false">Таблица32[[#This Row],[Столбец7]]*Таблица32[[#This Row],[Nazoratchi]]%</f>
        <v>0</v>
      </c>
      <c r="AF67" s="177" t="n">
        <f aca="false">Таблица32[[#This Row],[Ishga vaqtida kelish nazoratchi]]+Таблица32[[#This Row],[Nazoratchi2]]</f>
        <v>0</v>
      </c>
      <c r="AG6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67" s="177" t="n">
        <f aca="false">Таблица32[[#This Row],[Ishga kelish bank klient3]]+Таблица32[[#This Row],[Gruppa bank klient 2]]</f>
        <v>0</v>
      </c>
    </row>
    <row r="68" customFormat="false" ht="17.35" hidden="false" customHeight="false" outlineLevel="0" collapsed="false">
      <c r="A68" s="112" t="n">
        <v>66</v>
      </c>
      <c r="B68" s="125" t="s">
        <v>278</v>
      </c>
      <c r="C68" s="125" t="s">
        <v>222</v>
      </c>
      <c r="D68" s="125" t="s">
        <v>238</v>
      </c>
      <c r="E68" s="119" t="n">
        <v>4000000</v>
      </c>
      <c r="F68" s="117" t="s">
        <v>213</v>
      </c>
      <c r="G68" s="174" t="n">
        <v>-0.05</v>
      </c>
      <c r="H68" s="174" t="n">
        <v>1</v>
      </c>
      <c r="I68" s="174"/>
      <c r="J68" s="174" t="n">
        <v>1</v>
      </c>
      <c r="K68" s="174" t="n">
        <v>1</v>
      </c>
      <c r="L68" s="175" t="n">
        <v>0.25</v>
      </c>
      <c r="M68" s="175" t="n">
        <v>0.25</v>
      </c>
      <c r="N68" s="175" t="n">
        <v>0.25</v>
      </c>
      <c r="O68" s="175"/>
      <c r="P68" s="175" t="n">
        <v>-0.25</v>
      </c>
      <c r="Q68" s="175" t="n">
        <v>0.2</v>
      </c>
      <c r="R68" s="175" t="n">
        <v>-0.2</v>
      </c>
      <c r="S68" s="175" t="n">
        <v>-0.2</v>
      </c>
      <c r="T68" s="175" t="n">
        <v>0.2</v>
      </c>
      <c r="U68" s="175" t="n">
        <v>-0.2</v>
      </c>
      <c r="V68" s="117" t="n">
        <v>0.5</v>
      </c>
      <c r="W68" s="176" t="n">
        <f aca="false">Таблица32[[#This Row],[Столбец7]]*Таблица32[[#This Row],[Ishga kelish nazoratchi2]]%</f>
        <v>0</v>
      </c>
      <c r="X68" s="177" t="n">
        <f aca="false">Таблица32[[#This Row],[Столбец7]]*Таблица32[[#This Row],[Ishga vaqtida kelish ketish]]%</f>
        <v>-2000</v>
      </c>
      <c r="Y68" s="177" t="n">
        <f aca="false">Таблица32[[#This Row],[Столбец7]]*Таблица32[[#This Row],[Ishga kelish bank klient]]%</f>
        <v>40000</v>
      </c>
      <c r="Z68" s="177" t="n">
        <f aca="false">Таблица32[[#This Row],[Столбец7]]*Таблица32[[#This Row],[Gruppa buxgalter]]%</f>
        <v>40000</v>
      </c>
      <c r="AA68" s="177" t="n">
        <f aca="false">Таблица32[[#This Row],[Столбец7]]*Таблица32[[#This Row],[Gruppa bank klient ]]%</f>
        <v>40000</v>
      </c>
      <c r="AB68" s="177" t="n">
        <f aca="false">Таблица32[[#This Row],[1c]]*Таблица32[[#This Row],[Столбец7]]/100</f>
        <v>0</v>
      </c>
      <c r="AC68" s="178" t="n">
        <f aca="false">SUM(Таблица32[[#This Row],[Didox]:[ мехнат]],Таблица32[[#This Row],[Avtokameral]])*Таблица32[[#This Row],[Столбец7]]/100</f>
        <v>20000</v>
      </c>
      <c r="AD68" s="178" t="n">
        <f aca="false">SUM(Таблица32[[#This Row],[Pul oqimlari]:[Foyda va zarar]])*Таблица32[[#This Row],[Столбец7]]/100</f>
        <v>-8000</v>
      </c>
      <c r="AE68" s="177" t="n">
        <f aca="false">Таблица32[[#This Row],[Столбец7]]*Таблица32[[#This Row],[Nazoratchi]]%</f>
        <v>20000</v>
      </c>
      <c r="AF68" s="177" t="n">
        <f aca="false">Таблица32[[#This Row],[Ishga vaqtida kelish nazoratchi]]+Таблица32[[#This Row],[Nazoratchi2]]</f>
        <v>20000</v>
      </c>
      <c r="AG6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50000</v>
      </c>
      <c r="AH68" s="177" t="n">
        <f aca="false">Таблица32[[#This Row],[Ishga kelish bank klient3]]+Таблица32[[#This Row],[Gruppa bank klient 2]]</f>
        <v>80000</v>
      </c>
    </row>
    <row r="69" customFormat="false" ht="17.35" hidden="false" customHeight="false" outlineLevel="0" collapsed="false">
      <c r="A69" s="112" t="n">
        <v>67</v>
      </c>
      <c r="B69" s="114" t="s">
        <v>279</v>
      </c>
      <c r="C69" s="120" t="s">
        <v>222</v>
      </c>
      <c r="D69" s="113" t="s">
        <v>224</v>
      </c>
      <c r="E69" s="129" t="n">
        <v>3000000</v>
      </c>
      <c r="F69" s="113" t="s">
        <v>213</v>
      </c>
      <c r="G69" s="174" t="n">
        <v>-0.05</v>
      </c>
      <c r="H69" s="174" t="n">
        <v>1</v>
      </c>
      <c r="I69" s="174"/>
      <c r="J69" s="174" t="n">
        <v>1</v>
      </c>
      <c r="K69" s="174" t="n">
        <v>1</v>
      </c>
      <c r="L69" s="180" t="n">
        <v>-0.25</v>
      </c>
      <c r="M69" s="180" t="n">
        <v>0.25</v>
      </c>
      <c r="N69" s="175"/>
      <c r="O69" s="175"/>
      <c r="P69" s="175" t="n">
        <v>-0.25</v>
      </c>
      <c r="Q69" s="175" t="n">
        <v>0.2</v>
      </c>
      <c r="R69" s="175" t="n">
        <v>0.2</v>
      </c>
      <c r="S69" s="175" t="n">
        <v>0.2</v>
      </c>
      <c r="T69" s="175" t="n">
        <v>0.2</v>
      </c>
      <c r="U69" s="175" t="n">
        <v>-0.2</v>
      </c>
      <c r="V69" s="117" t="n">
        <v>0.5</v>
      </c>
      <c r="W69" s="176" t="n">
        <f aca="false">Таблица32[[#This Row],[Столбец7]]*Таблица32[[#This Row],[Ishga kelish nazoratchi2]]%</f>
        <v>0</v>
      </c>
      <c r="X69" s="177" t="n">
        <f aca="false">Таблица32[[#This Row],[Столбец7]]*Таблица32[[#This Row],[Ishga vaqtida kelish ketish]]%</f>
        <v>-1500</v>
      </c>
      <c r="Y69" s="177" t="n">
        <f aca="false">Таблица32[[#This Row],[Столбец7]]*Таблица32[[#This Row],[Ishga kelish bank klient]]%</f>
        <v>30000</v>
      </c>
      <c r="Z69" s="177" t="n">
        <f aca="false">Таблица32[[#This Row],[Столбец7]]*Таблица32[[#This Row],[Gruppa buxgalter]]%</f>
        <v>30000</v>
      </c>
      <c r="AA69" s="177" t="n">
        <f aca="false">Таблица32[[#This Row],[Столбец7]]*Таблица32[[#This Row],[Gruppa bank klient ]]%</f>
        <v>30000</v>
      </c>
      <c r="AB69" s="177" t="n">
        <f aca="false">Таблица32[[#This Row],[1c]]*Таблица32[[#This Row],[Столбец7]]/100</f>
        <v>0</v>
      </c>
      <c r="AC69" s="178" t="n">
        <f aca="false">SUM(Таблица32[[#This Row],[Didox]:[ мехнат]],Таблица32[[#This Row],[Avtokameral]])*Таблица32[[#This Row],[Столбец7]]/100</f>
        <v>-7500</v>
      </c>
      <c r="AD69" s="178" t="n">
        <f aca="false">SUM(Таблица32[[#This Row],[Pul oqimlari]:[Foyda va zarar]])*Таблица32[[#This Row],[Столбец7]]/100</f>
        <v>18000</v>
      </c>
      <c r="AE69" s="177" t="n">
        <f aca="false">Таблица32[[#This Row],[Столбец7]]*Таблица32[[#This Row],[Nazoratchi]]%</f>
        <v>15000</v>
      </c>
      <c r="AF69" s="177" t="n">
        <f aca="false">Таблица32[[#This Row],[Ishga vaqtida kelish nazoratchi]]+Таблица32[[#This Row],[Nazoratchi2]]</f>
        <v>15000</v>
      </c>
      <c r="AG6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39000</v>
      </c>
      <c r="AH69" s="177" t="n">
        <f aca="false">Таблица32[[#This Row],[Ishga kelish bank klient3]]+Таблица32[[#This Row],[Gruppa bank klient 2]]</f>
        <v>60000</v>
      </c>
    </row>
    <row r="70" customFormat="false" ht="17.35" hidden="false" customHeight="false" outlineLevel="0" collapsed="false">
      <c r="A70" s="112" t="n">
        <v>68</v>
      </c>
      <c r="B70" s="125" t="s">
        <v>280</v>
      </c>
      <c r="C70" s="125" t="s">
        <v>212</v>
      </c>
      <c r="D70" s="125" t="s">
        <v>238</v>
      </c>
      <c r="E70" s="119" t="n">
        <v>1500000</v>
      </c>
      <c r="F70" s="117" t="s">
        <v>213</v>
      </c>
      <c r="G70" s="174"/>
      <c r="H70" s="174" t="n">
        <v>1</v>
      </c>
      <c r="I70" s="174"/>
      <c r="J70" s="174" t="n">
        <v>1</v>
      </c>
      <c r="K70" s="174" t="n">
        <v>1</v>
      </c>
      <c r="L70" s="180" t="n">
        <v>0.25</v>
      </c>
      <c r="M70" s="180" t="n">
        <v>0.25</v>
      </c>
      <c r="N70" s="175"/>
      <c r="O70" s="175"/>
      <c r="P70" s="175" t="n">
        <v>-0.25</v>
      </c>
      <c r="Q70" s="175" t="n">
        <v>0</v>
      </c>
      <c r="R70" s="175" t="n">
        <v>0</v>
      </c>
      <c r="S70" s="175" t="n">
        <v>0</v>
      </c>
      <c r="T70" s="175" t="n">
        <v>0</v>
      </c>
      <c r="U70" s="175" t="n">
        <v>0</v>
      </c>
      <c r="V70" s="117" t="n">
        <v>0.5</v>
      </c>
      <c r="W70" s="176" t="n">
        <f aca="false">Таблица32[[#This Row],[Столбец7]]*Таблица32[[#This Row],[Ishga kelish nazoratchi2]]%</f>
        <v>0</v>
      </c>
      <c r="X70" s="177" t="n">
        <f aca="false">Таблица32[[#This Row],[Столбец7]]*Таблица32[[#This Row],[Ishga vaqtida kelish ketish]]%</f>
        <v>0</v>
      </c>
      <c r="Y70" s="177" t="n">
        <f aca="false">Таблица32[[#This Row],[Столбец7]]*Таблица32[[#This Row],[Ishga kelish bank klient]]%</f>
        <v>15000</v>
      </c>
      <c r="Z70" s="177" t="n">
        <f aca="false">Таблица32[[#This Row],[Столбец7]]*Таблица32[[#This Row],[Gruppa buxgalter]]%</f>
        <v>15000</v>
      </c>
      <c r="AA70" s="177" t="n">
        <f aca="false">Таблица32[[#This Row],[Столбец7]]*Таблица32[[#This Row],[Gruppa bank klient ]]%</f>
        <v>15000</v>
      </c>
      <c r="AB70" s="177" t="n">
        <f aca="false">Таблица32[[#This Row],[1c]]*Таблица32[[#This Row],[Столбец7]]/100</f>
        <v>0</v>
      </c>
      <c r="AC70" s="178" t="n">
        <f aca="false">SUM(Таблица32[[#This Row],[Didox]:[ мехнат]],Таблица32[[#This Row],[Avtokameral]])*Таблица32[[#This Row],[Столбец7]]/100</f>
        <v>3750</v>
      </c>
      <c r="AD70" s="178" t="n">
        <f aca="false">SUM(Таблица32[[#This Row],[Pul oqimlari]:[Foyda va zarar]])*Таблица32[[#This Row],[Столбец7]]/100</f>
        <v>0</v>
      </c>
      <c r="AE70" s="177" t="n">
        <f aca="false">Таблица32[[#This Row],[Столбец7]]*Таблица32[[#This Row],[Nazoratchi]]%</f>
        <v>7500</v>
      </c>
      <c r="AF70" s="177" t="n">
        <f aca="false">Таблица32[[#This Row],[Ishga vaqtida kelish nazoratchi]]+Таблица32[[#This Row],[Nazoratchi2]]</f>
        <v>7500</v>
      </c>
      <c r="AG7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18750</v>
      </c>
      <c r="AH70" s="177" t="n">
        <f aca="false">Таблица32[[#This Row],[Ishga kelish bank klient3]]+Таблица32[[#This Row],[Gruppa bank klient 2]]</f>
        <v>30000</v>
      </c>
    </row>
    <row r="71" customFormat="false" ht="17.35" hidden="false" customHeight="false" outlineLevel="0" collapsed="false">
      <c r="A71" s="112" t="n">
        <v>69</v>
      </c>
      <c r="B71" s="113" t="s">
        <v>281</v>
      </c>
      <c r="C71" s="113"/>
      <c r="D71" s="113"/>
      <c r="E71" s="115" t="n">
        <v>20000000</v>
      </c>
      <c r="F71" s="113"/>
      <c r="G71" s="174"/>
      <c r="H71" s="174"/>
      <c r="I71" s="179"/>
      <c r="J71" s="174"/>
      <c r="K71" s="174"/>
      <c r="L71" s="180" t="n">
        <v>0</v>
      </c>
      <c r="M71" s="180" t="n">
        <v>0</v>
      </c>
      <c r="N71" s="175"/>
      <c r="O71" s="175"/>
      <c r="P71" s="180" t="n">
        <v>0</v>
      </c>
      <c r="Q71" s="175" t="n">
        <v>0</v>
      </c>
      <c r="R71" s="175" t="n">
        <v>0</v>
      </c>
      <c r="S71" s="175" t="n">
        <v>0</v>
      </c>
      <c r="T71" s="175" t="n">
        <v>0</v>
      </c>
      <c r="U71" s="175" t="n">
        <v>0</v>
      </c>
      <c r="V71" s="117"/>
      <c r="W71" s="176" t="n">
        <f aca="false">Таблица32[[#This Row],[Столбец7]]*Таблица32[[#This Row],[Ishga kelish nazoratchi2]]%</f>
        <v>0</v>
      </c>
      <c r="X71" s="177" t="n">
        <f aca="false">Таблица32[[#This Row],[Столбец7]]*Таблица32[[#This Row],[Ishga vaqtida kelish ketish]]%</f>
        <v>0</v>
      </c>
      <c r="Y71" s="177" t="n">
        <f aca="false">Таблица32[[#This Row],[Столбец7]]*Таблица32[[#This Row],[Ishga kelish bank klient]]%</f>
        <v>0</v>
      </c>
      <c r="Z71" s="177" t="n">
        <f aca="false">Таблица32[[#This Row],[Столбец7]]*Таблица32[[#This Row],[Gruppa buxgalter]]%</f>
        <v>0</v>
      </c>
      <c r="AA71" s="177" t="n">
        <f aca="false">Таблица32[[#This Row],[Столбец7]]*Таблица32[[#This Row],[Gruppa bank klient ]]%</f>
        <v>0</v>
      </c>
      <c r="AB71" s="177" t="n">
        <f aca="false">Таблица32[[#This Row],[1c]]*Таблица32[[#This Row],[Столбец7]]/100</f>
        <v>0</v>
      </c>
      <c r="AC71" s="178" t="n">
        <f aca="false">SUM(Таблица32[[#This Row],[Didox]:[ мехнат]],Таблица32[[#This Row],[Avtokameral]])*Таблица32[[#This Row],[Столбец7]]/100</f>
        <v>0</v>
      </c>
      <c r="AD71" s="178" t="n">
        <f aca="false">SUM(Таблица32[[#This Row],[Pul oqimlari]:[Foyda va zarar]])*Таблица32[[#This Row],[Столбец7]]/100</f>
        <v>0</v>
      </c>
      <c r="AE71" s="177" t="n">
        <f aca="false">Таблица32[[#This Row],[Столбец7]]*Таблица32[[#This Row],[Nazoratchi]]%</f>
        <v>0</v>
      </c>
      <c r="AF71" s="177" t="n">
        <f aca="false">Таблица32[[#This Row],[Ishga vaqtida kelish nazoratchi]]+Таблица32[[#This Row],[Nazoratchi2]]</f>
        <v>0</v>
      </c>
      <c r="AG7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71" s="177" t="n">
        <f aca="false">Таблица32[[#This Row],[Ishga kelish bank klient3]]+Таблица32[[#This Row],[Gruppa bank klient 2]]</f>
        <v>0</v>
      </c>
    </row>
    <row r="72" customFormat="false" ht="17.35" hidden="false" customHeight="false" outlineLevel="0" collapsed="false">
      <c r="A72" s="112" t="n">
        <v>70</v>
      </c>
      <c r="B72" s="114" t="s">
        <v>282</v>
      </c>
      <c r="C72" s="113" t="s">
        <v>223</v>
      </c>
      <c r="D72" s="114"/>
      <c r="E72" s="115" t="n">
        <v>200000</v>
      </c>
      <c r="F72" s="113" t="s">
        <v>210</v>
      </c>
      <c r="G72" s="174" t="n">
        <v>-0.8</v>
      </c>
      <c r="H72" s="174"/>
      <c r="I72" s="174"/>
      <c r="J72" s="174" t="n">
        <v>1</v>
      </c>
      <c r="K72" s="174"/>
      <c r="L72" s="180" t="n">
        <v>0</v>
      </c>
      <c r="M72" s="180" t="n">
        <v>0</v>
      </c>
      <c r="N72" s="175"/>
      <c r="O72" s="175"/>
      <c r="P72" s="180" t="n">
        <v>0</v>
      </c>
      <c r="Q72" s="175" t="n">
        <v>0</v>
      </c>
      <c r="R72" s="175" t="n">
        <v>0</v>
      </c>
      <c r="S72" s="175" t="n">
        <v>0</v>
      </c>
      <c r="T72" s="175" t="n">
        <v>0</v>
      </c>
      <c r="U72" s="175" t="n">
        <v>0</v>
      </c>
      <c r="V72" s="174" t="n">
        <v>0.5</v>
      </c>
      <c r="W72" s="176" t="n">
        <f aca="false">Таблица32[[#This Row],[Столбец7]]*Таблица32[[#This Row],[Ishga kelish nazoratchi2]]%</f>
        <v>0</v>
      </c>
      <c r="X72" s="177" t="n">
        <f aca="false">Таблица32[[#This Row],[Столбец7]]*Таблица32[[#This Row],[Ishga vaqtida kelish ketish]]%</f>
        <v>-1600</v>
      </c>
      <c r="Y72" s="177" t="n">
        <f aca="false">Таблица32[[#This Row],[Столбец7]]*Таблица32[[#This Row],[Ishga kelish bank klient]]%</f>
        <v>0</v>
      </c>
      <c r="Z72" s="177" t="n">
        <f aca="false">Таблица32[[#This Row],[Столбец7]]*Таблица32[[#This Row],[Gruppa buxgalter]]%</f>
        <v>2000</v>
      </c>
      <c r="AA72" s="177" t="n">
        <f aca="false">Таблица32[[#This Row],[Столбец7]]*Таблица32[[#This Row],[Gruppa bank klient ]]%</f>
        <v>0</v>
      </c>
      <c r="AB72" s="177" t="n">
        <f aca="false">Таблица32[[#This Row],[1c]]*Таблица32[[#This Row],[Столбец7]]/100</f>
        <v>0</v>
      </c>
      <c r="AC72" s="178" t="n">
        <f aca="false">SUM(Таблица32[[#This Row],[Didox]:[ мехнат]],Таблица32[[#This Row],[Avtokameral]])*Таблица32[[#This Row],[Столбец7]]/100</f>
        <v>0</v>
      </c>
      <c r="AD72" s="178" t="n">
        <f aca="false">SUM(Таблица32[[#This Row],[Pul oqimlari]:[Foyda va zarar]])*Таблица32[[#This Row],[Столбец7]]/100</f>
        <v>0</v>
      </c>
      <c r="AE72" s="177" t="n">
        <f aca="false">Таблица32[[#This Row],[Столбец7]]*Таблица32[[#This Row],[Nazoratchi]]%</f>
        <v>1000</v>
      </c>
      <c r="AF72" s="177" t="n">
        <f aca="false">Таблица32[[#This Row],[Ishga vaqtida kelish nazoratchi]]+Таблица32[[#This Row],[Nazoratchi2]]</f>
        <v>1000</v>
      </c>
      <c r="AG7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400</v>
      </c>
      <c r="AH72" s="177" t="n">
        <f aca="false">Таблица32[[#This Row],[Ishga kelish bank klient3]]+Таблица32[[#This Row],[Gruppa bank klient 2]]</f>
        <v>0</v>
      </c>
    </row>
    <row r="73" customFormat="false" ht="17.35" hidden="false" customHeight="false" outlineLevel="0" collapsed="false">
      <c r="A73" s="112" t="n">
        <v>71</v>
      </c>
      <c r="B73" s="113" t="s">
        <v>283</v>
      </c>
      <c r="C73" s="113" t="s">
        <v>208</v>
      </c>
      <c r="D73" s="113"/>
      <c r="E73" s="115" t="n">
        <v>1000000</v>
      </c>
      <c r="F73" s="113" t="s">
        <v>210</v>
      </c>
      <c r="G73" s="174"/>
      <c r="H73" s="174"/>
      <c r="I73" s="174"/>
      <c r="J73" s="174" t="n">
        <v>-1</v>
      </c>
      <c r="K73" s="174"/>
      <c r="L73" s="180" t="n">
        <v>0.25</v>
      </c>
      <c r="M73" s="180" t="n">
        <v>0.25</v>
      </c>
      <c r="N73" s="175"/>
      <c r="O73" s="175"/>
      <c r="P73" s="175" t="n">
        <v>-0.25</v>
      </c>
      <c r="Q73" s="175" t="n">
        <v>0</v>
      </c>
      <c r="R73" s="175" t="n">
        <v>0.2</v>
      </c>
      <c r="S73" s="175" t="n">
        <v>0.2</v>
      </c>
      <c r="T73" s="175" t="n">
        <v>-0.2</v>
      </c>
      <c r="U73" s="175" t="n">
        <v>0.2</v>
      </c>
      <c r="V73" s="174" t="n">
        <v>-1</v>
      </c>
      <c r="W73" s="176" t="n">
        <f aca="false">Таблица32[[#This Row],[Столбец7]]*Таблица32[[#This Row],[Ishga kelish nazoratchi2]]%</f>
        <v>0</v>
      </c>
      <c r="X73" s="177" t="n">
        <f aca="false">Таблица32[[#This Row],[Столбец7]]*Таблица32[[#This Row],[Ishga vaqtida kelish ketish]]%</f>
        <v>0</v>
      </c>
      <c r="Y73" s="177" t="n">
        <f aca="false">Таблица32[[#This Row],[Столбец7]]*Таблица32[[#This Row],[Ishga kelish bank klient]]%</f>
        <v>0</v>
      </c>
      <c r="Z73" s="177" t="n">
        <f aca="false">Таблица32[[#This Row],[Столбец7]]*Таблица32[[#This Row],[Gruppa buxgalter]]%</f>
        <v>-10000</v>
      </c>
      <c r="AA73" s="177"/>
      <c r="AB73" s="177" t="n">
        <f aca="false">Таблица32[[#This Row],[1c]]*Таблица32[[#This Row],[Столбец7]]/100</f>
        <v>0</v>
      </c>
      <c r="AC73" s="178" t="n">
        <f aca="false">SUM(Таблица32[[#This Row],[Didox]:[ мехнат]],Таблица32[[#This Row],[Avtokameral]])*Таблица32[[#This Row],[Столбец7]]/100</f>
        <v>2500</v>
      </c>
      <c r="AD73" s="178" t="n">
        <f aca="false">SUM(Таблица32[[#This Row],[Pul oqimlari]:[Foyda va zarar]])*Таблица32[[#This Row],[Столбец7]]/100</f>
        <v>4000</v>
      </c>
      <c r="AE73" s="177" t="n">
        <f aca="false">Таблица32[[#This Row],[Столбец7]]*Таблица32[[#This Row],[Nazoratchi]]%</f>
        <v>-10000</v>
      </c>
      <c r="AF73" s="177" t="n">
        <f aca="false">Таблица32[[#This Row],[Ishga vaqtida kelish nazoratchi]]+Таблица32[[#This Row],[Nazoratchi2]]</f>
        <v>-10000</v>
      </c>
      <c r="AG7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-3500</v>
      </c>
      <c r="AH73" s="178" t="n">
        <f aca="false">Таблица32[[#This Row],[Ishga kelish bank klient3]]+Таблица32[[#This Row],[Gruppa bank klient 2]]</f>
        <v>0</v>
      </c>
    </row>
    <row r="74" customFormat="false" ht="17.35" hidden="false" customHeight="false" outlineLevel="0" collapsed="false">
      <c r="A74" s="112" t="n">
        <v>72</v>
      </c>
      <c r="B74" s="113" t="s">
        <v>284</v>
      </c>
      <c r="C74" s="113" t="s">
        <v>209</v>
      </c>
      <c r="D74" s="113" t="s">
        <v>224</v>
      </c>
      <c r="E74" s="115" t="n">
        <v>11000000</v>
      </c>
      <c r="F74" s="113" t="s">
        <v>213</v>
      </c>
      <c r="G74" s="174"/>
      <c r="H74" s="174" t="n">
        <v>1</v>
      </c>
      <c r="I74" s="174"/>
      <c r="J74" s="174" t="n">
        <v>1</v>
      </c>
      <c r="K74" s="174" t="n">
        <v>1</v>
      </c>
      <c r="L74" s="180" t="n">
        <v>0.25</v>
      </c>
      <c r="M74" s="180" t="n">
        <v>0.25</v>
      </c>
      <c r="N74" s="180"/>
      <c r="O74" s="175"/>
      <c r="P74" s="180" t="n">
        <v>0.25</v>
      </c>
      <c r="Q74" s="175" t="n">
        <v>0.2</v>
      </c>
      <c r="R74" s="175" t="n">
        <v>-0.2</v>
      </c>
      <c r="S74" s="175" t="n">
        <v>0</v>
      </c>
      <c r="T74" s="175" t="n">
        <v>-0.2</v>
      </c>
      <c r="U74" s="175" t="n">
        <v>-0.2</v>
      </c>
      <c r="V74" s="117" t="n">
        <v>0.5</v>
      </c>
      <c r="W74" s="176" t="n">
        <f aca="false">Таблица32[[#This Row],[Столбец7]]*Таблица32[[#This Row],[Ishga kelish nazoratchi2]]%</f>
        <v>0</v>
      </c>
      <c r="X74" s="177" t="n">
        <f aca="false">Таблица32[[#This Row],[Столбец7]]*Таблица32[[#This Row],[Ishga vaqtida kelish ketish]]%</f>
        <v>0</v>
      </c>
      <c r="Y74" s="177" t="n">
        <f aca="false">Таблица32[[#This Row],[Столбец7]]*Таблица32[[#This Row],[Ishga kelish bank klient]]%</f>
        <v>110000</v>
      </c>
      <c r="Z74" s="177" t="n">
        <f aca="false">Таблица32[[#This Row],[Столбец7]]*Таблица32[[#This Row],[Gruppa buxgalter]]%</f>
        <v>110000</v>
      </c>
      <c r="AA74" s="177" t="n">
        <f aca="false">Таблица32[[#This Row],[Столбец7]]*Таблица32[[#This Row],[Gruppa bank klient ]]%</f>
        <v>110000</v>
      </c>
      <c r="AB74" s="177" t="n">
        <f aca="false">Таблица32[[#This Row],[1c]]*Таблица32[[#This Row],[Столбец7]]/100</f>
        <v>0</v>
      </c>
      <c r="AC74" s="178" t="n">
        <f aca="false">SUM(Таблица32[[#This Row],[Didox]:[ мехнат]],Таблица32[[#This Row],[Avtokameral]])*Таблица32[[#This Row],[Столбец7]]/100</f>
        <v>82500</v>
      </c>
      <c r="AD74" s="178" t="n">
        <f aca="false">SUM(Таблица32[[#This Row],[Pul oqimlari]:[Foyda va zarar]])*Таблица32[[#This Row],[Столбец7]]/100</f>
        <v>-44000</v>
      </c>
      <c r="AE74" s="177" t="n">
        <f aca="false">Таблица32[[#This Row],[Столбец7]]*Таблица32[[#This Row],[Nazoratchi]]%</f>
        <v>55000</v>
      </c>
      <c r="AF74" s="177" t="n">
        <f aca="false">Таблица32[[#This Row],[Ishga vaqtida kelish nazoratchi]]+Таблица32[[#This Row],[Nazoratchi2]]</f>
        <v>55000</v>
      </c>
      <c r="AG7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148500</v>
      </c>
      <c r="AH74" s="177" t="n">
        <f aca="false">Таблица32[[#This Row],[Ishga kelish bank klient3]]+Таблица32[[#This Row],[Gruppa bank klient 2]]</f>
        <v>220000</v>
      </c>
    </row>
    <row r="75" customFormat="false" ht="17.35" hidden="false" customHeight="false" outlineLevel="0" collapsed="false">
      <c r="A75" s="112" t="n">
        <v>73</v>
      </c>
      <c r="B75" s="113" t="s">
        <v>285</v>
      </c>
      <c r="C75" s="113" t="s">
        <v>212</v>
      </c>
      <c r="D75" s="113" t="s">
        <v>238</v>
      </c>
      <c r="E75" s="115" t="n">
        <v>1000000</v>
      </c>
      <c r="F75" s="113" t="s">
        <v>213</v>
      </c>
      <c r="G75" s="174"/>
      <c r="H75" s="174" t="n">
        <v>1</v>
      </c>
      <c r="I75" s="179"/>
      <c r="J75" s="174" t="n">
        <v>1</v>
      </c>
      <c r="K75" s="174" t="n">
        <v>1</v>
      </c>
      <c r="L75" s="180" t="n">
        <v>-0.25</v>
      </c>
      <c r="M75" s="180" t="n">
        <v>-0.25</v>
      </c>
      <c r="N75" s="180"/>
      <c r="O75" s="175"/>
      <c r="P75" s="175" t="n">
        <v>0.25</v>
      </c>
      <c r="Q75" s="175" t="n">
        <v>-0.2</v>
      </c>
      <c r="R75" s="175" t="n">
        <v>-0.2</v>
      </c>
      <c r="S75" s="175" t="n">
        <v>-0.2</v>
      </c>
      <c r="T75" s="175" t="n">
        <v>-0.2</v>
      </c>
      <c r="U75" s="175" t="n">
        <v>-0.2</v>
      </c>
      <c r="V75" s="117" t="n">
        <v>0.5</v>
      </c>
      <c r="W75" s="176" t="n">
        <f aca="false">Таблица32[[#This Row],[Столбец7]]*Таблица32[[#This Row],[Ishga kelish nazoratchi2]]%</f>
        <v>0</v>
      </c>
      <c r="X75" s="177" t="n">
        <f aca="false">Таблица32[[#This Row],[Столбец7]]*Таблица32[[#This Row],[Ishga vaqtida kelish ketish]]%</f>
        <v>0</v>
      </c>
      <c r="Y75" s="177" t="n">
        <f aca="false">Таблица32[[#This Row],[Столбец7]]*Таблица32[[#This Row],[Ishga kelish bank klient]]%</f>
        <v>10000</v>
      </c>
      <c r="Z75" s="177" t="n">
        <f aca="false">Таблица32[[#This Row],[Столбец7]]*Таблица32[[#This Row],[Gruppa buxgalter]]%</f>
        <v>10000</v>
      </c>
      <c r="AA75" s="177" t="n">
        <f aca="false">Таблица32[[#This Row],[Столбец7]]*Таблица32[[#This Row],[Gruppa bank klient ]]%</f>
        <v>10000</v>
      </c>
      <c r="AB75" s="177" t="n">
        <f aca="false">Таблица32[[#This Row],[1c]]*Таблица32[[#This Row],[Столбец7]]/100</f>
        <v>0</v>
      </c>
      <c r="AC75" s="178" t="n">
        <f aca="false">SUM(Таблица32[[#This Row],[Didox]:[ мехнат]],Таблица32[[#This Row],[Avtokameral]])*Таблица32[[#This Row],[Столбец7]]/100</f>
        <v>-2500</v>
      </c>
      <c r="AD75" s="178" t="n">
        <f aca="false">SUM(Таблица32[[#This Row],[Pul oqimlari]:[Foyda va zarar]])*Таблица32[[#This Row],[Столбец7]]/100</f>
        <v>-10000</v>
      </c>
      <c r="AE75" s="177" t="n">
        <f aca="false">Таблица32[[#This Row],[Столбец7]]*Таблица32[[#This Row],[Nazoratchi]]%</f>
        <v>5000</v>
      </c>
      <c r="AF75" s="177" t="n">
        <f aca="false">Таблица32[[#This Row],[Ishga vaqtida kelish nazoratchi]]+Таблица32[[#This Row],[Nazoratchi2]]</f>
        <v>5000</v>
      </c>
      <c r="AG7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-2500</v>
      </c>
      <c r="AH75" s="177" t="n">
        <f aca="false">Таблица32[[#This Row],[Ishga kelish bank klient3]]+Таблица32[[#This Row],[Gruppa bank klient 2]]</f>
        <v>20000</v>
      </c>
    </row>
    <row r="76" customFormat="false" ht="17.35" hidden="false" customHeight="false" outlineLevel="0" collapsed="false">
      <c r="A76" s="112" t="n">
        <v>74</v>
      </c>
      <c r="B76" s="114" t="s">
        <v>286</v>
      </c>
      <c r="C76" s="113" t="s">
        <v>213</v>
      </c>
      <c r="D76" s="113" t="s">
        <v>224</v>
      </c>
      <c r="E76" s="115" t="n">
        <v>2500000</v>
      </c>
      <c r="F76" s="113" t="s">
        <v>210</v>
      </c>
      <c r="G76" s="174" t="n">
        <v>-0.8</v>
      </c>
      <c r="H76" s="174" t="n">
        <v>1</v>
      </c>
      <c r="I76" s="179"/>
      <c r="J76" s="174" t="n">
        <v>-1</v>
      </c>
      <c r="K76" s="174" t="n">
        <v>1</v>
      </c>
      <c r="L76" s="180" t="n">
        <v>0.25</v>
      </c>
      <c r="M76" s="180" t="n">
        <v>0.25</v>
      </c>
      <c r="N76" s="175" t="n">
        <v>0.25</v>
      </c>
      <c r="O76" s="175"/>
      <c r="P76" s="180" t="n">
        <v>0.25</v>
      </c>
      <c r="Q76" s="159" t="n">
        <v>0.2</v>
      </c>
      <c r="R76" s="159" t="n">
        <v>0.2</v>
      </c>
      <c r="S76" s="159" t="n">
        <v>0.2</v>
      </c>
      <c r="T76" s="159" t="n">
        <v>0.2</v>
      </c>
      <c r="U76" s="159" t="n">
        <v>0.2</v>
      </c>
      <c r="V76" s="117" t="n">
        <v>-1</v>
      </c>
      <c r="W76" s="176" t="n">
        <f aca="false">Таблица32[[#This Row],[Столбец7]]*Таблица32[[#This Row],[Ishga kelish nazoratchi2]]%</f>
        <v>0</v>
      </c>
      <c r="X76" s="177" t="n">
        <f aca="false">Таблица32[[#This Row],[Столбец7]]*Таблица32[[#This Row],[Ishga vaqtida kelish ketish]]%</f>
        <v>-20000</v>
      </c>
      <c r="Y76" s="177" t="n">
        <f aca="false">Таблица32[[#This Row],[Столбец7]]*Таблица32[[#This Row],[Ishga kelish bank klient]]%</f>
        <v>25000</v>
      </c>
      <c r="Z76" s="177" t="n">
        <f aca="false">Таблица32[[#This Row],[Столбец7]]*Таблица32[[#This Row],[Gruppa buxgalter]]%</f>
        <v>-25000</v>
      </c>
      <c r="AA76" s="177" t="n">
        <f aca="false">Таблица32[[#This Row],[Столбец7]]*Таблица32[[#This Row],[Gruppa bank klient ]]%</f>
        <v>25000</v>
      </c>
      <c r="AB76" s="177" t="n">
        <f aca="false">Таблица32[[#This Row],[1c]]*Таблица32[[#This Row],[Столбец7]]/100</f>
        <v>0</v>
      </c>
      <c r="AC76" s="178" t="n">
        <f aca="false">SUM(Таблица32[[#This Row],[Didox]:[ мехнат]],Таблица32[[#This Row],[Avtokameral]])*Таблица32[[#This Row],[Столбец7]]/100</f>
        <v>25000</v>
      </c>
      <c r="AD76" s="178" t="n">
        <f aca="false">SUM(Таблица32[[#This Row],[Pul oqimlari]:[Foyda va zarar]])*Таблица32[[#This Row],[Столбец7]]/100</f>
        <v>25000</v>
      </c>
      <c r="AE76" s="177" t="n">
        <f aca="false">Таблица32[[#This Row],[Столбец7]]*Таблица32[[#This Row],[Nazoratchi]]%</f>
        <v>-25000</v>
      </c>
      <c r="AF76" s="177" t="n">
        <f aca="false">Таблица32[[#This Row],[Ishga vaqtida kelish nazoratchi]]+Таблица32[[#This Row],[Nazoratchi2]]</f>
        <v>-25000</v>
      </c>
      <c r="AG7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5000</v>
      </c>
      <c r="AH76" s="177" t="n">
        <f aca="false">Таблица32[[#This Row],[Ishga kelish bank klient3]]+Таблица32[[#This Row],[Gruppa bank klient 2]]</f>
        <v>50000</v>
      </c>
    </row>
    <row r="77" customFormat="false" ht="17.35" hidden="false" customHeight="false" outlineLevel="0" collapsed="false">
      <c r="A77" s="112" t="n">
        <v>75</v>
      </c>
      <c r="B77" s="113" t="s">
        <v>287</v>
      </c>
      <c r="C77" s="113" t="s">
        <v>213</v>
      </c>
      <c r="D77" s="114" t="s">
        <v>238</v>
      </c>
      <c r="E77" s="115" t="n">
        <v>700000</v>
      </c>
      <c r="F77" s="113" t="s">
        <v>210</v>
      </c>
      <c r="G77" s="174" t="n">
        <v>-0.8</v>
      </c>
      <c r="H77" s="174" t="n">
        <v>1</v>
      </c>
      <c r="I77" s="179"/>
      <c r="J77" s="174" t="n">
        <v>1</v>
      </c>
      <c r="K77" s="174" t="n">
        <v>1</v>
      </c>
      <c r="L77" s="180" t="n">
        <v>0.25</v>
      </c>
      <c r="M77" s="180" t="n">
        <v>0.25</v>
      </c>
      <c r="N77" s="175"/>
      <c r="O77" s="175"/>
      <c r="P77" s="180" t="n">
        <v>0.25</v>
      </c>
      <c r="Q77" s="175" t="n">
        <v>0</v>
      </c>
      <c r="R77" s="159" t="n">
        <v>0.2</v>
      </c>
      <c r="S77" s="159" t="n">
        <v>0.2</v>
      </c>
      <c r="T77" s="175" t="n">
        <v>0</v>
      </c>
      <c r="U77" s="175" t="n">
        <v>0</v>
      </c>
      <c r="V77" s="117" t="n">
        <v>0.5</v>
      </c>
      <c r="W77" s="176" t="n">
        <f aca="false">Таблица32[[#This Row],[Столбец7]]*Таблица32[[#This Row],[Ishga kelish nazoratchi2]]%</f>
        <v>0</v>
      </c>
      <c r="X77" s="177" t="n">
        <f aca="false">Таблица32[[#This Row],[Столбец7]]*Таблица32[[#This Row],[Ishga vaqtida kelish ketish]]%</f>
        <v>-5600</v>
      </c>
      <c r="Y77" s="177" t="n">
        <f aca="false">Таблица32[[#This Row],[Столбец7]]*Таблица32[[#This Row],[Ishga kelish bank klient]]%</f>
        <v>7000</v>
      </c>
      <c r="Z77" s="177" t="n">
        <f aca="false">Таблица32[[#This Row],[Столбец7]]*Таблица32[[#This Row],[Gruppa buxgalter]]%</f>
        <v>7000</v>
      </c>
      <c r="AA77" s="177" t="n">
        <f aca="false">Таблица32[[#This Row],[Столбец7]]*Таблица32[[#This Row],[Gruppa bank klient ]]%</f>
        <v>7000</v>
      </c>
      <c r="AB77" s="177" t="n">
        <f aca="false">Таблица32[[#This Row],[1c]]*Таблица32[[#This Row],[Столбец7]]/100</f>
        <v>0</v>
      </c>
      <c r="AC77" s="178" t="n">
        <f aca="false">SUM(Таблица32[[#This Row],[Didox]:[ мехнат]],Таблица32[[#This Row],[Avtokameral]])*Таблица32[[#This Row],[Столбец7]]/100</f>
        <v>5250</v>
      </c>
      <c r="AD77" s="178" t="n">
        <f aca="false">SUM(Таблица32[[#This Row],[Pul oqimlari]:[Foyda va zarar]])*Таблица32[[#This Row],[Столбец7]]/100</f>
        <v>2800</v>
      </c>
      <c r="AE77" s="177" t="n">
        <f aca="false">Таблица32[[#This Row],[Столбец7]]*Таблица32[[#This Row],[Nazoratchi]]%</f>
        <v>3500</v>
      </c>
      <c r="AF77" s="177" t="n">
        <f aca="false">Таблица32[[#This Row],[Ishga vaqtida kelish nazoratchi]]+Таблица32[[#This Row],[Nazoratchi2]]</f>
        <v>3500</v>
      </c>
      <c r="AG7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9450</v>
      </c>
      <c r="AH77" s="177" t="n">
        <f aca="false">Таблица32[[#This Row],[Ishga kelish bank klient3]]+Таблица32[[#This Row],[Gruppa bank klient 2]]</f>
        <v>14000</v>
      </c>
    </row>
    <row r="78" customFormat="false" ht="17.35" hidden="false" customHeight="false" outlineLevel="0" collapsed="false">
      <c r="A78" s="112" t="n">
        <v>76</v>
      </c>
      <c r="B78" s="113" t="s">
        <v>288</v>
      </c>
      <c r="C78" s="113" t="s">
        <v>210</v>
      </c>
      <c r="D78" s="113"/>
      <c r="E78" s="129" t="n">
        <v>170000</v>
      </c>
      <c r="F78" s="113" t="s">
        <v>213</v>
      </c>
      <c r="G78" s="174" t="n">
        <v>0.05</v>
      </c>
      <c r="H78" s="174"/>
      <c r="I78" s="174"/>
      <c r="J78" s="174" t="n">
        <v>1</v>
      </c>
      <c r="K78" s="174"/>
      <c r="L78" s="180" t="n">
        <v>0</v>
      </c>
      <c r="M78" s="180" t="n">
        <v>0</v>
      </c>
      <c r="N78" s="175"/>
      <c r="O78" s="175"/>
      <c r="P78" s="180" t="n">
        <v>0</v>
      </c>
      <c r="Q78" s="180" t="n">
        <v>0</v>
      </c>
      <c r="R78" s="180" t="n">
        <v>0</v>
      </c>
      <c r="S78" s="180" t="n">
        <v>0</v>
      </c>
      <c r="T78" s="180" t="n">
        <v>0</v>
      </c>
      <c r="U78" s="180" t="n">
        <v>0</v>
      </c>
      <c r="V78" s="174" t="n">
        <v>0.5</v>
      </c>
      <c r="W78" s="176" t="n">
        <f aca="false">Таблица32[[#This Row],[Столбец7]]*Таблица32[[#This Row],[Ishga kelish nazoratchi2]]%</f>
        <v>0</v>
      </c>
      <c r="X78" s="177" t="n">
        <f aca="false">Таблица32[[#This Row],[Столбец7]]*Таблица32[[#This Row],[Ishga vaqtida kelish ketish]]%</f>
        <v>85</v>
      </c>
      <c r="Y78" s="177" t="n">
        <f aca="false">Таблица32[[#This Row],[Столбец7]]*Таблица32[[#This Row],[Ishga kelish bank klient]]%</f>
        <v>0</v>
      </c>
      <c r="Z78" s="177" t="n">
        <f aca="false">Таблица32[[#This Row],[Столбец7]]*Таблица32[[#This Row],[Gruppa buxgalter]]%</f>
        <v>1700</v>
      </c>
      <c r="AA78" s="177" t="n">
        <f aca="false">Таблица32[[#This Row],[Столбец7]]*Таблица32[[#This Row],[Gruppa bank klient ]]%</f>
        <v>0</v>
      </c>
      <c r="AB78" s="177" t="n">
        <f aca="false">Таблица32[[#This Row],[1c]]*Таблица32[[#This Row],[Столбец7]]/100</f>
        <v>0</v>
      </c>
      <c r="AC78" s="178" t="n">
        <f aca="false">SUM(Таблица32[[#This Row],[Didox]:[ мехнат]],Таблица32[[#This Row],[Avtokameral]])*Таблица32[[#This Row],[Столбец7]]/100</f>
        <v>0</v>
      </c>
      <c r="AD78" s="178" t="n">
        <f aca="false">SUM(Таблица32[[#This Row],[Pul oqimlari]:[Foyda va zarar]])*Таблица32[[#This Row],[Столбец7]]/100</f>
        <v>0</v>
      </c>
      <c r="AE78" s="177" t="n">
        <f aca="false">Таблица32[[#This Row],[Столбец7]]*Таблица32[[#This Row],[Nazoratchi]]%</f>
        <v>850</v>
      </c>
      <c r="AF78" s="177" t="n">
        <f aca="false">Таблица32[[#This Row],[Ishga vaqtida kelish nazoratchi]]+Таблица32[[#This Row],[Nazoratchi2]]</f>
        <v>850</v>
      </c>
      <c r="AG7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1785</v>
      </c>
      <c r="AH78" s="177" t="n">
        <f aca="false">Таблица32[[#This Row],[Ishga kelish bank klient3]]+Таблица32[[#This Row],[Gruppa bank klient 2]]</f>
        <v>0</v>
      </c>
    </row>
    <row r="79" customFormat="false" ht="17.35" hidden="false" customHeight="false" outlineLevel="0" collapsed="false">
      <c r="A79" s="112" t="n">
        <v>77</v>
      </c>
      <c r="B79" s="125" t="s">
        <v>289</v>
      </c>
      <c r="C79" s="113" t="s">
        <v>218</v>
      </c>
      <c r="D79" s="113" t="s">
        <v>238</v>
      </c>
      <c r="E79" s="115" t="n">
        <v>1000000</v>
      </c>
      <c r="F79" s="113" t="s">
        <v>210</v>
      </c>
      <c r="G79" s="174" t="n">
        <v>-0.35</v>
      </c>
      <c r="H79" s="174" t="n">
        <v>1</v>
      </c>
      <c r="I79" s="174"/>
      <c r="J79" s="174" t="n">
        <v>1</v>
      </c>
      <c r="K79" s="174" t="n">
        <v>1</v>
      </c>
      <c r="L79" s="180" t="n">
        <v>0.25</v>
      </c>
      <c r="M79" s="175" t="n">
        <v>-0.25</v>
      </c>
      <c r="N79" s="175"/>
      <c r="O79" s="175" t="n">
        <v>1</v>
      </c>
      <c r="P79" s="180" t="n">
        <v>0.25</v>
      </c>
      <c r="Q79" s="159" t="n">
        <v>0.2</v>
      </c>
      <c r="R79" s="159" t="n">
        <v>0.2</v>
      </c>
      <c r="S79" s="159" t="n">
        <v>0.2</v>
      </c>
      <c r="T79" s="159" t="n">
        <v>0.2</v>
      </c>
      <c r="U79" s="159" t="n">
        <v>0.2</v>
      </c>
      <c r="V79" s="117" t="n">
        <v>0.5</v>
      </c>
      <c r="W79" s="176" t="n">
        <f aca="false">Таблица32[[#This Row],[Столбец7]]*Таблица32[[#This Row],[Ishga kelish nazoratchi2]]%</f>
        <v>0</v>
      </c>
      <c r="X79" s="177" t="n">
        <f aca="false">Таблица32[[#This Row],[Столбец7]]*Таблица32[[#This Row],[Ishga vaqtida kelish ketish]]%</f>
        <v>-3500</v>
      </c>
      <c r="Y79" s="177" t="n">
        <f aca="false">Таблица32[[#This Row],[Столбец7]]*Таблица32[[#This Row],[Ishga kelish bank klient]]%</f>
        <v>10000</v>
      </c>
      <c r="Z79" s="177" t="n">
        <f aca="false">Таблица32[[#This Row],[Столбец7]]*Таблица32[[#This Row],[Gruppa buxgalter]]%</f>
        <v>10000</v>
      </c>
      <c r="AA79" s="177" t="n">
        <f aca="false">Таблица32[[#This Row],[Столбец7]]*Таблица32[[#This Row],[Gruppa bank klient ]]%</f>
        <v>10000</v>
      </c>
      <c r="AB79" s="177" t="n">
        <f aca="false">Таблица32[[#This Row],[1c]]*Таблица32[[#This Row],[Столбец7]]/100</f>
        <v>10000</v>
      </c>
      <c r="AC79" s="178" t="n">
        <f aca="false">SUM(Таблица32[[#This Row],[Didox]:[ мехнат]],Таблица32[[#This Row],[Avtokameral]])*Таблица32[[#This Row],[Столбец7]]/100</f>
        <v>2500</v>
      </c>
      <c r="AD79" s="178" t="n">
        <f aca="false">SUM(Таблица32[[#This Row],[Pul oqimlari]:[Foyda va zarar]])*Таблица32[[#This Row],[Столбец7]]/100</f>
        <v>10000</v>
      </c>
      <c r="AE79" s="177" t="n">
        <f aca="false">Таблица32[[#This Row],[Столбец7]]*Таблица32[[#This Row],[Nazoratchi]]%</f>
        <v>5000</v>
      </c>
      <c r="AF79" s="177" t="n">
        <f aca="false">Таблица32[[#This Row],[Ishga vaqtida kelish nazoratchi]]+Таблица32[[#This Row],[Nazoratchi2]]</f>
        <v>5000</v>
      </c>
      <c r="AG7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29000</v>
      </c>
      <c r="AH79" s="177" t="n">
        <f aca="false">Таблица32[[#This Row],[Ishga kelish bank klient3]]+Таблица32[[#This Row],[Gruppa bank klient 2]]</f>
        <v>20000</v>
      </c>
    </row>
    <row r="80" customFormat="false" ht="17.35" hidden="false" customHeight="false" outlineLevel="0" collapsed="false">
      <c r="A80" s="112" t="n">
        <v>78</v>
      </c>
      <c r="B80" s="114" t="s">
        <v>290</v>
      </c>
      <c r="C80" s="113" t="s">
        <v>218</v>
      </c>
      <c r="D80" s="114"/>
      <c r="E80" s="115" t="n">
        <v>10000000</v>
      </c>
      <c r="F80" s="113" t="s">
        <v>210</v>
      </c>
      <c r="G80" s="174" t="n">
        <v>-0.35</v>
      </c>
      <c r="H80" s="174"/>
      <c r="I80" s="174"/>
      <c r="J80" s="174" t="n">
        <v>1</v>
      </c>
      <c r="K80" s="174"/>
      <c r="L80" s="175" t="n">
        <v>0</v>
      </c>
      <c r="M80" s="175" t="n">
        <v>-0.25</v>
      </c>
      <c r="N80" s="175" t="n">
        <v>0</v>
      </c>
      <c r="O80" s="175" t="n">
        <v>1</v>
      </c>
      <c r="P80" s="180" t="n">
        <v>0.25</v>
      </c>
      <c r="Q80" s="159" t="n">
        <v>0.2</v>
      </c>
      <c r="R80" s="175" t="n">
        <v>0</v>
      </c>
      <c r="S80" s="175" t="n">
        <v>0</v>
      </c>
      <c r="T80" s="159" t="n">
        <v>0.2</v>
      </c>
      <c r="U80" s="159" t="n">
        <v>0.2</v>
      </c>
      <c r="V80" s="117" t="n">
        <v>0.5</v>
      </c>
      <c r="W80" s="176" t="n">
        <f aca="false">Таблица32[[#This Row],[Столбец7]]*Таблица32[[#This Row],[Ishga kelish nazoratchi2]]%</f>
        <v>0</v>
      </c>
      <c r="X80" s="177" t="n">
        <f aca="false">Таблица32[[#This Row],[Столбец7]]*Таблица32[[#This Row],[Ishga vaqtida kelish ketish]]%</f>
        <v>-35000</v>
      </c>
      <c r="Y80" s="177" t="n">
        <f aca="false">Таблица32[[#This Row],[Столбец7]]*Таблица32[[#This Row],[Ishga kelish bank klient]]%</f>
        <v>0</v>
      </c>
      <c r="Z80" s="177" t="n">
        <f aca="false">Таблица32[[#This Row],[Столбец7]]*Таблица32[[#This Row],[Gruppa buxgalter]]%</f>
        <v>100000</v>
      </c>
      <c r="AA80" s="177" t="n">
        <f aca="false">Таблица32[[#This Row],[Столбец7]]*Таблица32[[#This Row],[Gruppa bank klient ]]%</f>
        <v>0</v>
      </c>
      <c r="AB80" s="177" t="n">
        <f aca="false">Таблица32[[#This Row],[1c]]*Таблица32[[#This Row],[Столбец7]]/100</f>
        <v>100000</v>
      </c>
      <c r="AC80" s="178" t="n">
        <f aca="false">SUM(Таблица32[[#This Row],[Didox]:[ мехнат]],Таблица32[[#This Row],[Avtokameral]])*Таблица32[[#This Row],[Столбец7]]/100</f>
        <v>0</v>
      </c>
      <c r="AD80" s="178" t="n">
        <f aca="false">SUM(Таблица32[[#This Row],[Pul oqimlari]:[Foyda va zarar]])*Таблица32[[#This Row],[Столбец7]]/100</f>
        <v>60000</v>
      </c>
      <c r="AE80" s="177" t="n">
        <f aca="false">Таблица32[[#This Row],[Столбец7]]*Таблица32[[#This Row],[Nazoratchi]]%</f>
        <v>50000</v>
      </c>
      <c r="AF80" s="177" t="n">
        <f aca="false">Таблица32[[#This Row],[Ishga vaqtida kelish nazoratchi]]+Таблица32[[#This Row],[Nazoratchi2]]</f>
        <v>50000</v>
      </c>
      <c r="AG8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225000</v>
      </c>
      <c r="AH80" s="177" t="n">
        <f aca="false">Таблица32[[#This Row],[Ishga kelish bank klient3]]+Таблица32[[#This Row],[Gruppa bank klient 2]]</f>
        <v>0</v>
      </c>
    </row>
    <row r="81" customFormat="false" ht="17.35" hidden="false" customHeight="false" outlineLevel="0" collapsed="false">
      <c r="A81" s="112" t="n">
        <v>79</v>
      </c>
      <c r="B81" s="113" t="s">
        <v>543</v>
      </c>
      <c r="C81" s="114" t="s">
        <v>226</v>
      </c>
      <c r="D81" s="113"/>
      <c r="E81" s="115" t="n">
        <v>500000</v>
      </c>
      <c r="F81" s="113" t="s">
        <v>213</v>
      </c>
      <c r="G81" s="174"/>
      <c r="H81" s="174"/>
      <c r="I81" s="174"/>
      <c r="J81" s="174" t="n">
        <v>1</v>
      </c>
      <c r="K81" s="174"/>
      <c r="L81" s="180" t="n">
        <v>0.25</v>
      </c>
      <c r="M81" s="180" t="n">
        <v>0.25</v>
      </c>
      <c r="N81" s="175"/>
      <c r="O81" s="175"/>
      <c r="P81" s="180" t="n">
        <v>0.25</v>
      </c>
      <c r="Q81" s="180" t="n">
        <v>0</v>
      </c>
      <c r="R81" s="180" t="n">
        <v>0</v>
      </c>
      <c r="S81" s="180" t="n">
        <v>0</v>
      </c>
      <c r="T81" s="180" t="n">
        <v>0</v>
      </c>
      <c r="U81" s="180" t="n">
        <v>0</v>
      </c>
      <c r="V81" s="117" t="n">
        <v>0.5</v>
      </c>
      <c r="W81" s="176" t="n">
        <f aca="false">Таблица32[[#This Row],[Столбец7]]*Таблица32[[#This Row],[Ishga kelish nazoratchi2]]%</f>
        <v>0</v>
      </c>
      <c r="X81" s="177" t="n">
        <f aca="false">Таблица32[[#This Row],[Столбец7]]*Таблица32[[#This Row],[Ishga vaqtida kelish ketish]]%</f>
        <v>0</v>
      </c>
      <c r="Y81" s="177" t="n">
        <f aca="false">Таблица32[[#This Row],[Столбец7]]*Таблица32[[#This Row],[Ishga kelish bank klient]]%</f>
        <v>0</v>
      </c>
      <c r="Z81" s="177" t="n">
        <f aca="false">Таблица32[[#This Row],[Столбец7]]*Таблица32[[#This Row],[Gruppa buxgalter]]%</f>
        <v>5000</v>
      </c>
      <c r="AA81" s="177" t="n">
        <f aca="false">Таблица32[[#This Row],[Столбец7]]*Таблица32[[#This Row],[Gruppa bank klient ]]%</f>
        <v>0</v>
      </c>
      <c r="AB81" s="177" t="n">
        <v>0</v>
      </c>
      <c r="AC81" s="178" t="n">
        <f aca="false">SUM(Таблица32[[#This Row],[Didox]:[ мехнат]],Таблица32[[#This Row],[Avtokameral]])*Таблица32[[#This Row],[Столбец7]]/100</f>
        <v>3750</v>
      </c>
      <c r="AD81" s="178" t="n">
        <f aca="false">SUM(Таблица32[[#This Row],[Pul oqimlari]:[Foyda va zarar]])*Таблица32[[#This Row],[Столбец7]]/100</f>
        <v>0</v>
      </c>
      <c r="AE81" s="177" t="n">
        <f aca="false">Таблица32[[#This Row],[Столбец7]]*Таблица32[[#This Row],[Nazoratchi]]%</f>
        <v>2500</v>
      </c>
      <c r="AF81" s="177" t="n">
        <f aca="false">Таблица32[[#This Row],[Ishga vaqtida kelish nazoratchi]]+Таблица32[[#This Row],[Nazoratchi2]]</f>
        <v>2500</v>
      </c>
      <c r="AG81" s="17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81" s="177" t="n">
        <f aca="false">Таблица32[[#This Row],[Ishga kelish bank klient3]]+Таблица32[[#This Row],[Gruppa bank klient 2]]</f>
        <v>0</v>
      </c>
    </row>
    <row r="82" customFormat="false" ht="17.35" hidden="false" customHeight="false" outlineLevel="0" collapsed="false">
      <c r="A82" s="112" t="n">
        <v>80</v>
      </c>
      <c r="B82" s="114" t="s">
        <v>291</v>
      </c>
      <c r="C82" s="113" t="s">
        <v>213</v>
      </c>
      <c r="D82" s="114" t="s">
        <v>238</v>
      </c>
      <c r="E82" s="115" t="n">
        <v>1500000</v>
      </c>
      <c r="F82" s="113" t="s">
        <v>210</v>
      </c>
      <c r="G82" s="174" t="n">
        <v>-0.8</v>
      </c>
      <c r="H82" s="174" t="n">
        <v>1</v>
      </c>
      <c r="I82" s="174"/>
      <c r="J82" s="174" t="n">
        <v>-0.5</v>
      </c>
      <c r="K82" s="174" t="n">
        <v>1</v>
      </c>
      <c r="L82" s="180" t="n">
        <v>0.25</v>
      </c>
      <c r="M82" s="180" t="n">
        <v>0.25</v>
      </c>
      <c r="N82" s="175" t="n">
        <v>0.25</v>
      </c>
      <c r="O82" s="175" t="n">
        <v>1</v>
      </c>
      <c r="P82" s="180" t="n">
        <v>0.25</v>
      </c>
      <c r="Q82" s="175" t="n">
        <v>0.2</v>
      </c>
      <c r="R82" s="175" t="n">
        <v>0.2</v>
      </c>
      <c r="S82" s="175" t="n">
        <v>0.2</v>
      </c>
      <c r="T82" s="175" t="n">
        <v>0.2</v>
      </c>
      <c r="U82" s="175" t="n">
        <v>0.2</v>
      </c>
      <c r="V82" s="117" t="n">
        <v>-0.5</v>
      </c>
      <c r="W82" s="176" t="n">
        <f aca="false">Таблица32[[#This Row],[Столбец7]]*Таблица32[[#This Row],[Ishga kelish nazoratchi2]]%</f>
        <v>0</v>
      </c>
      <c r="X82" s="177" t="n">
        <f aca="false">Таблица32[[#This Row],[Столбец7]]*Таблица32[[#This Row],[Ishga vaqtida kelish ketish]]%</f>
        <v>-12000</v>
      </c>
      <c r="Y82" s="177" t="n">
        <f aca="false">Таблица32[[#This Row],[Столбец7]]*Таблица32[[#This Row],[Ishga kelish bank klient]]%</f>
        <v>15000</v>
      </c>
      <c r="Z82" s="177" t="n">
        <f aca="false">Таблица32[[#This Row],[Столбец7]]*Таблица32[[#This Row],[Gruppa buxgalter]]%</f>
        <v>-7500</v>
      </c>
      <c r="AA82" s="177" t="n">
        <f aca="false">Таблица32[[#This Row],[Столбец7]]*Таблица32[[#This Row],[Gruppa bank klient ]]%</f>
        <v>15000</v>
      </c>
      <c r="AB82" s="177" t="n">
        <f aca="false">Таблица32[[#This Row],[1c]]*Таблица32[[#This Row],[Столбец7]]/100</f>
        <v>15000</v>
      </c>
      <c r="AC82" s="178" t="n">
        <f aca="false">SUM(Таблица32[[#This Row],[Didox]:[ мехнат]],Таблица32[[#This Row],[Avtokameral]])*Таблица32[[#This Row],[Столбец7]]/100</f>
        <v>15000</v>
      </c>
      <c r="AD82" s="178" t="n">
        <f aca="false">SUM(Таблица32[[#This Row],[Pul oqimlari]:[Foyda va zarar]])*Таблица32[[#This Row],[Столбец7]]/100</f>
        <v>15000</v>
      </c>
      <c r="AE82" s="177" t="n">
        <f aca="false">Таблица32[[#This Row],[Столбец7]]*Таблица32[[#This Row],[Nazoratchi]]%</f>
        <v>-7500</v>
      </c>
      <c r="AF82" s="177" t="n">
        <f aca="false">Таблица32[[#This Row],[Ishga vaqtida kelish nazoratchi]]+Таблица32[[#This Row],[Nazoratchi2]]</f>
        <v>-7500</v>
      </c>
      <c r="AG8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25500</v>
      </c>
      <c r="AH82" s="177" t="n">
        <f aca="false">Таблица32[[#This Row],[Ishga kelish bank klient3]]+Таблица32[[#This Row],[Gruppa bank klient 2]]</f>
        <v>30000</v>
      </c>
    </row>
    <row r="83" customFormat="false" ht="23.25" hidden="false" customHeight="true" outlineLevel="0" collapsed="false">
      <c r="A83" s="112" t="n">
        <v>81</v>
      </c>
      <c r="B83" s="114" t="s">
        <v>292</v>
      </c>
      <c r="C83" s="113" t="s">
        <v>218</v>
      </c>
      <c r="D83" s="114" t="s">
        <v>238</v>
      </c>
      <c r="E83" s="115" t="n">
        <v>0</v>
      </c>
      <c r="F83" s="113" t="s">
        <v>210</v>
      </c>
      <c r="G83" s="174" t="n">
        <v>-0.35</v>
      </c>
      <c r="H83" s="174" t="n">
        <v>1</v>
      </c>
      <c r="I83" s="174"/>
      <c r="J83" s="174" t="n">
        <v>1</v>
      </c>
      <c r="K83" s="174" t="n">
        <v>1</v>
      </c>
      <c r="L83" s="180" t="n">
        <v>0.25</v>
      </c>
      <c r="M83" s="180" t="n">
        <v>0.25</v>
      </c>
      <c r="N83" s="175"/>
      <c r="O83" s="175"/>
      <c r="P83" s="180" t="n">
        <v>0.25</v>
      </c>
      <c r="Q83" s="175" t="n">
        <v>0.2</v>
      </c>
      <c r="R83" s="175" t="n">
        <v>0.2</v>
      </c>
      <c r="S83" s="175" t="n">
        <v>0.2</v>
      </c>
      <c r="T83" s="175" t="n">
        <v>0.2</v>
      </c>
      <c r="U83" s="175" t="n">
        <v>0.2</v>
      </c>
      <c r="V83" s="117" t="n">
        <v>0.5</v>
      </c>
      <c r="W83" s="176" t="n">
        <f aca="false">Таблица32[[#This Row],[Столбец7]]*Таблица32[[#This Row],[Ishga kelish nazoratchi2]]%</f>
        <v>0</v>
      </c>
      <c r="X83" s="177" t="n">
        <f aca="false">Таблица32[[#This Row],[Столбец7]]*Таблица32[[#This Row],[Ishga vaqtida kelish ketish]]%</f>
        <v>0</v>
      </c>
      <c r="Y83" s="177" t="n">
        <f aca="false">Таблица32[[#This Row],[Столбец7]]*Таблица32[[#This Row],[Ishga kelish bank klient]]%</f>
        <v>0</v>
      </c>
      <c r="Z83" s="177" t="n">
        <f aca="false">Таблица32[[#This Row],[Столбец7]]*Таблица32[[#This Row],[Gruppa buxgalter]]%</f>
        <v>0</v>
      </c>
      <c r="AA83" s="177" t="n">
        <f aca="false">Таблица32[[#This Row],[Столбец7]]*Таблица32[[#This Row],[Gruppa bank klient ]]%</f>
        <v>0</v>
      </c>
      <c r="AB83" s="177" t="n">
        <f aca="false">Таблица32[[#This Row],[1c]]*Таблица32[[#This Row],[Столбец7]]/100</f>
        <v>0</v>
      </c>
      <c r="AC83" s="178" t="n">
        <f aca="false">SUM(Таблица32[[#This Row],[Didox]:[ мехнат]],Таблица32[[#This Row],[Avtokameral]])*Таблица32[[#This Row],[Столбец7]]/100</f>
        <v>0</v>
      </c>
      <c r="AD83" s="178" t="n">
        <f aca="false">SUM(Таблица32[[#This Row],[Pul oqimlari]:[Foyda va zarar]])*Таблица32[[#This Row],[Столбец7]]/100</f>
        <v>0</v>
      </c>
      <c r="AE83" s="177" t="n">
        <f aca="false">Таблица32[[#This Row],[Столбец7]]*Таблица32[[#This Row],[Nazoratchi]]%</f>
        <v>0</v>
      </c>
      <c r="AF83" s="177" t="n">
        <f aca="false">Таблица32[[#This Row],[Ishga vaqtida kelish nazoratchi]]+Таблица32[[#This Row],[Nazoratchi2]]</f>
        <v>0</v>
      </c>
      <c r="AG8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83" s="177" t="n">
        <f aca="false">Таблица32[[#This Row],[Ishga kelish bank klient3]]+Таблица32[[#This Row],[Gruppa bank klient 2]]</f>
        <v>0</v>
      </c>
    </row>
    <row r="84" customFormat="false" ht="22.5" hidden="false" customHeight="true" outlineLevel="0" collapsed="false">
      <c r="A84" s="112" t="n">
        <v>82</v>
      </c>
      <c r="B84" s="114" t="s">
        <v>293</v>
      </c>
      <c r="C84" s="131" t="s">
        <v>222</v>
      </c>
      <c r="D84" s="114" t="s">
        <v>238</v>
      </c>
      <c r="E84" s="115" t="n">
        <v>800000</v>
      </c>
      <c r="F84" s="113" t="s">
        <v>213</v>
      </c>
      <c r="G84" s="174" t="n">
        <v>-0.05</v>
      </c>
      <c r="H84" s="174" t="n">
        <v>1</v>
      </c>
      <c r="I84" s="174"/>
      <c r="J84" s="174" t="n">
        <v>-0.5</v>
      </c>
      <c r="K84" s="174" t="n">
        <v>1</v>
      </c>
      <c r="L84" s="175" t="n">
        <v>0.25</v>
      </c>
      <c r="M84" s="175" t="n">
        <v>0.25</v>
      </c>
      <c r="N84" s="175"/>
      <c r="O84" s="175"/>
      <c r="P84" s="175" t="n">
        <v>0.25</v>
      </c>
      <c r="Q84" s="175" t="n">
        <v>-0.2</v>
      </c>
      <c r="R84" s="175" t="n">
        <v>0.2</v>
      </c>
      <c r="S84" s="175" t="n">
        <v>-0.2</v>
      </c>
      <c r="T84" s="175" t="n">
        <v>-0.2</v>
      </c>
      <c r="U84" s="175" t="n">
        <v>-0.2</v>
      </c>
      <c r="V84" s="117" t="n">
        <v>-0.5</v>
      </c>
      <c r="W84" s="176" t="n">
        <f aca="false">Таблица32[[#This Row],[Столбец7]]*Таблица32[[#This Row],[Ishga kelish nazoratchi2]]%</f>
        <v>0</v>
      </c>
      <c r="X84" s="177" t="n">
        <f aca="false">Таблица32[[#This Row],[Столбец7]]*Таблица32[[#This Row],[Ishga vaqtida kelish ketish]]%</f>
        <v>-400</v>
      </c>
      <c r="Y84" s="177" t="n">
        <f aca="false">Таблица32[[#This Row],[Столбец7]]*Таблица32[[#This Row],[Ishga kelish bank klient]]%</f>
        <v>8000</v>
      </c>
      <c r="Z84" s="177" t="n">
        <f aca="false">Таблица32[[#This Row],[Столбец7]]*Таблица32[[#This Row],[Gruppa buxgalter]]%</f>
        <v>-4000</v>
      </c>
      <c r="AA84" s="177" t="n">
        <f aca="false">Таблица32[[#This Row],[Столбец7]]*Таблица32[[#This Row],[Gruppa bank klient ]]%</f>
        <v>8000</v>
      </c>
      <c r="AB84" s="177" t="n">
        <f aca="false">Таблица32[[#This Row],[1c]]*Таблица32[[#This Row],[Столбец7]]/100</f>
        <v>0</v>
      </c>
      <c r="AC84" s="178" t="n">
        <f aca="false">SUM(Таблица32[[#This Row],[Didox]:[ мехнат]],Таблица32[[#This Row],[Avtokameral]])*Таблица32[[#This Row],[Столбец7]]/100</f>
        <v>6000</v>
      </c>
      <c r="AD84" s="178" t="n">
        <f aca="false">SUM(Таблица32[[#This Row],[Pul oqimlari]:[Foyda va zarar]])*Таблица32[[#This Row],[Столбец7]]/100</f>
        <v>-4800</v>
      </c>
      <c r="AE84" s="177" t="n">
        <f aca="false">Таблица32[[#This Row],[Столбец7]]*Таблица32[[#This Row],[Nazoratchi]]%</f>
        <v>-4000</v>
      </c>
      <c r="AF84" s="177" t="n">
        <f aca="false">Таблица32[[#This Row],[Ishga vaqtida kelish nazoratchi]]+Таблица32[[#This Row],[Nazoratchi2]]</f>
        <v>-4000</v>
      </c>
      <c r="AG8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-3200</v>
      </c>
      <c r="AH84" s="177" t="n">
        <f aca="false">Таблица32[[#This Row],[Ishga kelish bank klient3]]+Таблица32[[#This Row],[Gruppa bank klient 2]]</f>
        <v>16000</v>
      </c>
    </row>
    <row r="85" customFormat="false" ht="17.35" hidden="false" customHeight="false" outlineLevel="0" collapsed="false">
      <c r="A85" s="112" t="n">
        <v>83</v>
      </c>
      <c r="B85" s="114" t="s">
        <v>294</v>
      </c>
      <c r="C85" s="113" t="s">
        <v>219</v>
      </c>
      <c r="D85" s="113" t="s">
        <v>239</v>
      </c>
      <c r="E85" s="115" t="n">
        <v>15000000</v>
      </c>
      <c r="F85" s="113" t="s">
        <v>210</v>
      </c>
      <c r="G85" s="174"/>
      <c r="H85" s="174"/>
      <c r="I85" s="174"/>
      <c r="J85" s="174"/>
      <c r="K85" s="174"/>
      <c r="L85" s="175" t="n">
        <v>0</v>
      </c>
      <c r="M85" s="175" t="n">
        <v>0</v>
      </c>
      <c r="N85" s="175"/>
      <c r="O85" s="175"/>
      <c r="P85" s="175" t="n">
        <v>0</v>
      </c>
      <c r="Q85" s="180" t="n">
        <v>0</v>
      </c>
      <c r="R85" s="180" t="n">
        <v>0</v>
      </c>
      <c r="S85" s="180" t="n">
        <v>0</v>
      </c>
      <c r="T85" s="180" t="n">
        <v>0</v>
      </c>
      <c r="U85" s="180" t="n">
        <v>0</v>
      </c>
      <c r="V85" s="174"/>
      <c r="W85" s="176" t="n">
        <f aca="false">Таблица32[[#This Row],[Столбец7]]*Таблица32[[#This Row],[Ishga kelish nazoratchi2]]%</f>
        <v>0</v>
      </c>
      <c r="X85" s="177" t="n">
        <f aca="false">Таблица32[[#This Row],[Столбец7]]*Таблица32[[#This Row],[Ishga vaqtida kelish ketish]]%</f>
        <v>0</v>
      </c>
      <c r="Y85" s="177" t="n">
        <f aca="false">Таблица32[[#This Row],[Столбец7]]*Таблица32[[#This Row],[Ishga kelish bank klient]]%</f>
        <v>0</v>
      </c>
      <c r="Z85" s="177" t="n">
        <f aca="false">Таблица32[[#This Row],[Столбец7]]*Таблица32[[#This Row],[Gruppa buxgalter]]%</f>
        <v>0</v>
      </c>
      <c r="AA85" s="177" t="n">
        <f aca="false">Таблица32[[#This Row],[Столбец7]]*Таблица32[[#This Row],[Gruppa bank klient ]]%</f>
        <v>0</v>
      </c>
      <c r="AB85" s="177" t="n">
        <f aca="false">Таблица32[[#This Row],[1c]]*Таблица32[[#This Row],[Столбец7]]/100</f>
        <v>0</v>
      </c>
      <c r="AC85" s="178" t="n">
        <f aca="false">SUM(Таблица32[[#This Row],[Didox]:[ мехнат]],Таблица32[[#This Row],[Avtokameral]])*Таблица32[[#This Row],[Столбец7]]/100</f>
        <v>0</v>
      </c>
      <c r="AD85" s="178" t="n">
        <f aca="false">SUM(Таблица32[[#This Row],[Pul oqimlari]:[Foyda va zarar]])*Таблица32[[#This Row],[Столбец7]]/100</f>
        <v>0</v>
      </c>
      <c r="AE85" s="177" t="n">
        <f aca="false">Таблица32[[#This Row],[Столбец7]]*Таблица32[[#This Row],[Nazoratchi]]%</f>
        <v>0</v>
      </c>
      <c r="AF85" s="177" t="n">
        <f aca="false">Таблица32[[#This Row],[Ishga vaqtida kelish nazoratchi]]+Таблица32[[#This Row],[Nazoratchi2]]</f>
        <v>0</v>
      </c>
      <c r="AG8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85" s="177" t="n">
        <f aca="false">Таблица32[[#This Row],[Ishga kelish bank klient3]]+Таблица32[[#This Row],[Gruppa bank klient 2]]</f>
        <v>0</v>
      </c>
    </row>
    <row r="86" customFormat="false" ht="17.35" hidden="false" customHeight="false" outlineLevel="0" collapsed="false">
      <c r="A86" s="112" t="n">
        <v>84</v>
      </c>
      <c r="B86" s="114" t="s">
        <v>295</v>
      </c>
      <c r="C86" s="113" t="s">
        <v>212</v>
      </c>
      <c r="D86" s="114" t="s">
        <v>238</v>
      </c>
      <c r="E86" s="115" t="n">
        <v>1000000</v>
      </c>
      <c r="F86" s="113" t="s">
        <v>213</v>
      </c>
      <c r="G86" s="174"/>
      <c r="H86" s="174" t="n">
        <v>1</v>
      </c>
      <c r="I86" s="174"/>
      <c r="J86" s="174" t="n">
        <v>1</v>
      </c>
      <c r="K86" s="174" t="n">
        <v>1</v>
      </c>
      <c r="L86" s="175" t="n">
        <v>-0.25</v>
      </c>
      <c r="M86" s="175" t="n">
        <v>-0.25</v>
      </c>
      <c r="N86" s="175"/>
      <c r="O86" s="175"/>
      <c r="P86" s="175" t="n">
        <v>-0.25</v>
      </c>
      <c r="Q86" s="175" t="n">
        <v>-0.2</v>
      </c>
      <c r="R86" s="175" t="n">
        <v>-0.2</v>
      </c>
      <c r="S86" s="175" t="n">
        <v>-0.2</v>
      </c>
      <c r="T86" s="175" t="n">
        <v>-0.2</v>
      </c>
      <c r="U86" s="175" t="n">
        <v>-0.2</v>
      </c>
      <c r="V86" s="117" t="n">
        <v>0.5</v>
      </c>
      <c r="W86" s="176" t="n">
        <f aca="false">Таблица32[[#This Row],[Столбец7]]*Таблица32[[#This Row],[Ishga kelish nazoratchi2]]%</f>
        <v>0</v>
      </c>
      <c r="X86" s="177" t="n">
        <f aca="false">Таблица32[[#This Row],[Столбец7]]*Таблица32[[#This Row],[Ishga vaqtida kelish ketish]]%</f>
        <v>0</v>
      </c>
      <c r="Y86" s="177" t="n">
        <f aca="false">Таблица32[[#This Row],[Столбец7]]*Таблица32[[#This Row],[Ishga kelish bank klient]]%</f>
        <v>10000</v>
      </c>
      <c r="Z86" s="177" t="n">
        <f aca="false">Таблица32[[#This Row],[Столбец7]]*Таблица32[[#This Row],[Gruppa buxgalter]]%</f>
        <v>10000</v>
      </c>
      <c r="AA86" s="177" t="n">
        <f aca="false">Таблица32[[#This Row],[Столбец7]]*Таблица32[[#This Row],[Gruppa bank klient ]]%</f>
        <v>10000</v>
      </c>
      <c r="AB86" s="177" t="n">
        <f aca="false">Таблица32[[#This Row],[1c]]*Таблица32[[#This Row],[Столбец7]]/100</f>
        <v>0</v>
      </c>
      <c r="AC86" s="178" t="n">
        <f aca="false">SUM(Таблица32[[#This Row],[Didox]:[ мехнат]],Таблица32[[#This Row],[Avtokameral]])*Таблица32[[#This Row],[Столбец7]]/100</f>
        <v>-7500</v>
      </c>
      <c r="AD86" s="178" t="n">
        <f aca="false">SUM(Таблица32[[#This Row],[Pul oqimlari]:[Foyda va zarar]])*Таблица32[[#This Row],[Столбец7]]/100</f>
        <v>-10000</v>
      </c>
      <c r="AE86" s="177" t="n">
        <f aca="false">Таблица32[[#This Row],[Столбец7]]*Таблица32[[#This Row],[Nazoratchi]]%</f>
        <v>5000</v>
      </c>
      <c r="AF86" s="177" t="n">
        <f aca="false">Таблица32[[#This Row],[Ishga vaqtida kelish nazoratchi]]+Таблица32[[#This Row],[Nazoratchi2]]</f>
        <v>5000</v>
      </c>
      <c r="AG8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-7500</v>
      </c>
      <c r="AH86" s="177" t="n">
        <f aca="false">Таблица32[[#This Row],[Ishga kelish bank klient3]]+Таблица32[[#This Row],[Gruppa bank klient 2]]</f>
        <v>20000</v>
      </c>
    </row>
    <row r="87" customFormat="false" ht="17.35" hidden="false" customHeight="false" outlineLevel="0" collapsed="false">
      <c r="A87" s="112" t="n">
        <v>85</v>
      </c>
      <c r="B87" s="114" t="s">
        <v>296</v>
      </c>
      <c r="C87" s="113" t="s">
        <v>224</v>
      </c>
      <c r="D87" s="113" t="s">
        <v>224</v>
      </c>
      <c r="E87" s="115" t="n">
        <v>700000</v>
      </c>
      <c r="F87" s="113" t="s">
        <v>210</v>
      </c>
      <c r="G87" s="174"/>
      <c r="H87" s="174" t="n">
        <v>1</v>
      </c>
      <c r="I87" s="174"/>
      <c r="J87" s="174"/>
      <c r="K87" s="174" t="n">
        <v>1</v>
      </c>
      <c r="L87" s="180" t="n">
        <v>0.25</v>
      </c>
      <c r="M87" s="180" t="n">
        <v>0.25</v>
      </c>
      <c r="N87" s="175"/>
      <c r="O87" s="175"/>
      <c r="P87" s="180" t="n">
        <v>0.25</v>
      </c>
      <c r="Q87" s="180" t="n">
        <v>0</v>
      </c>
      <c r="R87" s="180" t="n">
        <v>0</v>
      </c>
      <c r="S87" s="180" t="n">
        <v>0</v>
      </c>
      <c r="T87" s="180" t="n">
        <v>0</v>
      </c>
      <c r="U87" s="180" t="n">
        <v>0</v>
      </c>
      <c r="V87" s="117"/>
      <c r="W87" s="176" t="n">
        <f aca="false">Таблица32[[#This Row],[Столбец7]]*Таблица32[[#This Row],[Ishga kelish nazoratchi2]]%</f>
        <v>0</v>
      </c>
      <c r="X87" s="177" t="n">
        <f aca="false">Таблица32[[#This Row],[Столбец7]]*Таблица32[[#This Row],[Ishga vaqtida kelish ketish]]%</f>
        <v>0</v>
      </c>
      <c r="Y87" s="177" t="n">
        <f aca="false">Таблица32[[#This Row],[Столбец7]]*Таблица32[[#This Row],[Ishga kelish bank klient]]%</f>
        <v>7000</v>
      </c>
      <c r="Z87" s="177" t="n">
        <f aca="false">Таблица32[[#This Row],[Столбец7]]*Таблица32[[#This Row],[Gruppa buxgalter]]%</f>
        <v>0</v>
      </c>
      <c r="AA87" s="177" t="n">
        <f aca="false">Таблица32[[#This Row],[Столбец7]]*Таблица32[[#This Row],[Gruppa bank klient ]]%</f>
        <v>7000</v>
      </c>
      <c r="AB87" s="177" t="n">
        <f aca="false">Таблица32[[#This Row],[1c]]*Таблица32[[#This Row],[Столбец7]]/100</f>
        <v>0</v>
      </c>
      <c r="AC87" s="178" t="n">
        <f aca="false">SUM(Таблица32[[#This Row],[Didox]:[ мехнат]],Таблица32[[#This Row],[Avtokameral]])*Таблица32[[#This Row],[Столбец7]]/100</f>
        <v>5250</v>
      </c>
      <c r="AD87" s="178" t="n">
        <f aca="false">SUM(Таблица32[[#This Row],[Pul oqimlari]:[Foyda va zarar]])*Таблица32[[#This Row],[Столбец7]]/100</f>
        <v>0</v>
      </c>
      <c r="AE87" s="177" t="n">
        <f aca="false">Таблица32[[#This Row],[Столбец7]]*Таблица32[[#This Row],[Nazoratchi]]%</f>
        <v>0</v>
      </c>
      <c r="AF87" s="177" t="n">
        <f aca="false">Таблица32[[#This Row],[Ishga vaqtida kelish nazoratchi]]+Таблица32[[#This Row],[Nazoratchi2]]</f>
        <v>0</v>
      </c>
      <c r="AG8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5250</v>
      </c>
      <c r="AH87" s="177" t="n">
        <f aca="false">Таблица32[[#This Row],[Ishga kelish bank klient3]]+Таблица32[[#This Row],[Gruppa bank klient 2]]</f>
        <v>14000</v>
      </c>
    </row>
    <row r="88" customFormat="false" ht="25.5" hidden="false" customHeight="true" outlineLevel="0" collapsed="false">
      <c r="A88" s="112" t="n">
        <v>86</v>
      </c>
      <c r="B88" s="114" t="s">
        <v>297</v>
      </c>
      <c r="C88" s="113" t="s">
        <v>208</v>
      </c>
      <c r="D88" s="113" t="s">
        <v>224</v>
      </c>
      <c r="E88" s="132" t="n">
        <v>1000000</v>
      </c>
      <c r="F88" s="113" t="s">
        <v>210</v>
      </c>
      <c r="G88" s="174"/>
      <c r="H88" s="174" t="n">
        <v>1</v>
      </c>
      <c r="I88" s="174"/>
      <c r="J88" s="174" t="n">
        <v>1</v>
      </c>
      <c r="K88" s="174" t="n">
        <v>1</v>
      </c>
      <c r="L88" s="175" t="n">
        <v>0.25</v>
      </c>
      <c r="M88" s="175" t="n">
        <v>-0.25</v>
      </c>
      <c r="N88" s="175"/>
      <c r="O88" s="180"/>
      <c r="P88" s="175" t="n">
        <v>0.25</v>
      </c>
      <c r="Q88" s="175" t="n">
        <v>0</v>
      </c>
      <c r="R88" s="175" t="n">
        <v>0.2</v>
      </c>
      <c r="S88" s="180" t="n">
        <v>0</v>
      </c>
      <c r="T88" s="180" t="n">
        <v>0</v>
      </c>
      <c r="U88" s="180" t="n">
        <v>0</v>
      </c>
      <c r="V88" s="117" t="n">
        <v>0.5</v>
      </c>
      <c r="W88" s="176" t="n">
        <f aca="false">Таблица32[[#This Row],[Столбец7]]*Таблица32[[#This Row],[Ishga kelish nazoratchi2]]%</f>
        <v>0</v>
      </c>
      <c r="X88" s="177" t="n">
        <f aca="false">Таблица32[[#This Row],[Столбец7]]*Таблица32[[#This Row],[Ishga vaqtida kelish ketish]]%</f>
        <v>0</v>
      </c>
      <c r="Y88" s="177" t="n">
        <f aca="false">Таблица32[[#This Row],[Столбец7]]*Таблица32[[#This Row],[Ishga kelish bank klient]]%</f>
        <v>10000</v>
      </c>
      <c r="Z88" s="177" t="n">
        <f aca="false">Таблица32[[#This Row],[Столбец7]]*Таблица32[[#This Row],[Gruppa buxgalter]]%</f>
        <v>10000</v>
      </c>
      <c r="AA88" s="177" t="n">
        <f aca="false">Таблица32[[#This Row],[Столбец7]]*Таблица32[[#This Row],[Gruppa bank klient ]]%</f>
        <v>10000</v>
      </c>
      <c r="AB88" s="177" t="n">
        <f aca="false">Таблица32[[#This Row],[1c]]*Таблица32[[#This Row],[Столбец7]]/100</f>
        <v>0</v>
      </c>
      <c r="AC88" s="178" t="n">
        <f aca="false">SUM(Таблица32[[#This Row],[Didox]:[ мехнат]],Таблица32[[#This Row],[Avtokameral]])*Таблица32[[#This Row],[Столбец7]]/100</f>
        <v>2500</v>
      </c>
      <c r="AD88" s="178" t="n">
        <f aca="false">SUM(Таблица32[[#This Row],[Pul oqimlari]:[Foyda va zarar]])*Таблица32[[#This Row],[Столбец7]]/100</f>
        <v>2000</v>
      </c>
      <c r="AE88" s="177" t="n">
        <f aca="false">Таблица32[[#This Row],[Столбец7]]*Таблица32[[#This Row],[Nazoratchi]]%</f>
        <v>5000</v>
      </c>
      <c r="AF88" s="177" t="n">
        <f aca="false">Таблица32[[#This Row],[Ishga vaqtida kelish nazoratchi]]+Таблица32[[#This Row],[Nazoratchi2]]</f>
        <v>5000</v>
      </c>
      <c r="AG8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14500</v>
      </c>
      <c r="AH88" s="177" t="n">
        <f aca="false">Таблица32[[#This Row],[Ishga kelish bank klient3]]+Таблица32[[#This Row],[Gruppa bank klient 2]]</f>
        <v>20000</v>
      </c>
    </row>
    <row r="89" customFormat="false" ht="17.35" hidden="false" customHeight="false" outlineLevel="0" collapsed="false">
      <c r="A89" s="112" t="n">
        <v>87</v>
      </c>
      <c r="B89" s="114" t="s">
        <v>298</v>
      </c>
      <c r="C89" s="113" t="s">
        <v>224</v>
      </c>
      <c r="D89" s="113" t="s">
        <v>224</v>
      </c>
      <c r="E89" s="129" t="n">
        <v>700000</v>
      </c>
      <c r="F89" s="113" t="s">
        <v>210</v>
      </c>
      <c r="G89" s="174"/>
      <c r="H89" s="174" t="n">
        <v>1</v>
      </c>
      <c r="I89" s="179"/>
      <c r="J89" s="174"/>
      <c r="K89" s="174" t="n">
        <v>1</v>
      </c>
      <c r="L89" s="175" t="n">
        <v>0.25</v>
      </c>
      <c r="M89" s="175" t="n">
        <v>0.25</v>
      </c>
      <c r="N89" s="175" t="n">
        <v>0.25</v>
      </c>
      <c r="O89" s="180"/>
      <c r="P89" s="175" t="n">
        <v>0.25</v>
      </c>
      <c r="Q89" s="180" t="n">
        <v>0</v>
      </c>
      <c r="R89" s="180" t="n">
        <v>0</v>
      </c>
      <c r="S89" s="180" t="n">
        <v>0</v>
      </c>
      <c r="T89" s="180" t="n">
        <v>0</v>
      </c>
      <c r="U89" s="180" t="n">
        <v>0</v>
      </c>
      <c r="V89" s="117"/>
      <c r="W89" s="176" t="n">
        <f aca="false">Таблица32[[#This Row],[Столбец7]]*Таблица32[[#This Row],[Ishga kelish nazoratchi2]]%</f>
        <v>0</v>
      </c>
      <c r="X89" s="177" t="n">
        <f aca="false">Таблица32[[#This Row],[Столбец7]]*Таблица32[[#This Row],[Ishga vaqtida kelish ketish]]%</f>
        <v>0</v>
      </c>
      <c r="Y89" s="177" t="n">
        <f aca="false">Таблица32[[#This Row],[Столбец7]]*Таблица32[[#This Row],[Ishga kelish bank klient]]%</f>
        <v>7000</v>
      </c>
      <c r="Z89" s="177" t="n">
        <f aca="false">Таблица32[[#This Row],[Столбец7]]*Таблица32[[#This Row],[Gruppa buxgalter]]%</f>
        <v>0</v>
      </c>
      <c r="AA89" s="177" t="n">
        <f aca="false">Таблица32[[#This Row],[Столбец7]]*Таблица32[[#This Row],[Gruppa bank klient ]]%</f>
        <v>7000</v>
      </c>
      <c r="AB89" s="177" t="n">
        <f aca="false">Таблица32[[#This Row],[1c]]*Таблица32[[#This Row],[Столбец7]]/100</f>
        <v>0</v>
      </c>
      <c r="AC89" s="178" t="n">
        <f aca="false">SUM(Таблица32[[#This Row],[Didox]:[ мехнат]],Таблица32[[#This Row],[Avtokameral]])*Таблица32[[#This Row],[Столбец7]]/100</f>
        <v>7000</v>
      </c>
      <c r="AD89" s="178" t="n">
        <f aca="false">SUM(Таблица32[[#This Row],[Pul oqimlari]:[Foyda va zarar]])*Таблица32[[#This Row],[Столбец7]]/100</f>
        <v>0</v>
      </c>
      <c r="AE89" s="177" t="n">
        <f aca="false">Таблица32[[#This Row],[Столбец7]]*Таблица32[[#This Row],[Nazoratchi]]%</f>
        <v>0</v>
      </c>
      <c r="AF89" s="177" t="n">
        <f aca="false">Таблица32[[#This Row],[Ishga vaqtida kelish nazoratchi]]+Таблица32[[#This Row],[Nazoratchi2]]</f>
        <v>0</v>
      </c>
      <c r="AG8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7000</v>
      </c>
      <c r="AH89" s="177" t="n">
        <f aca="false">Таблица32[[#This Row],[Ishga kelish bank klient3]]+Таблица32[[#This Row],[Gruppa bank klient 2]]</f>
        <v>14000</v>
      </c>
    </row>
    <row r="90" customFormat="false" ht="17.35" hidden="false" customHeight="false" outlineLevel="0" collapsed="false">
      <c r="A90" s="112" t="n">
        <v>88</v>
      </c>
      <c r="B90" s="114" t="s">
        <v>299</v>
      </c>
      <c r="C90" s="62" t="s">
        <v>208</v>
      </c>
      <c r="D90" s="114" t="s">
        <v>238</v>
      </c>
      <c r="E90" s="129" t="n">
        <v>3000000</v>
      </c>
      <c r="F90" s="113" t="s">
        <v>210</v>
      </c>
      <c r="G90" s="174"/>
      <c r="H90" s="174" t="n">
        <v>1</v>
      </c>
      <c r="I90" s="174"/>
      <c r="J90" s="174" t="n">
        <v>1</v>
      </c>
      <c r="K90" s="174" t="n">
        <v>1</v>
      </c>
      <c r="L90" s="175" t="n">
        <v>0.25</v>
      </c>
      <c r="M90" s="175" t="n">
        <v>0.25</v>
      </c>
      <c r="N90" s="175"/>
      <c r="O90" s="180"/>
      <c r="P90" s="175" t="n">
        <v>0.25</v>
      </c>
      <c r="Q90" s="175" t="n">
        <v>0</v>
      </c>
      <c r="R90" s="180" t="n">
        <v>0</v>
      </c>
      <c r="S90" s="180" t="n">
        <v>0</v>
      </c>
      <c r="T90" s="175" t="n">
        <v>0.2</v>
      </c>
      <c r="U90" s="180" t="n">
        <v>0</v>
      </c>
      <c r="V90" s="117" t="n">
        <v>0.5</v>
      </c>
      <c r="W90" s="176" t="n">
        <f aca="false">Таблица32[[#This Row],[Столбец7]]*Таблица32[[#This Row],[Ishga kelish nazoratchi2]]%</f>
        <v>0</v>
      </c>
      <c r="X90" s="177" t="n">
        <f aca="false">Таблица32[[#This Row],[Столбец7]]*Таблица32[[#This Row],[Ishga vaqtida kelish ketish]]%</f>
        <v>0</v>
      </c>
      <c r="Y90" s="177" t="n">
        <f aca="false">Таблица32[[#This Row],[Столбец7]]*Таблица32[[#This Row],[Ishga kelish bank klient]]%</f>
        <v>30000</v>
      </c>
      <c r="Z90" s="177" t="n">
        <f aca="false">Таблица32[[#This Row],[Столбец7]]*Таблица32[[#This Row],[Gruppa buxgalter]]%</f>
        <v>30000</v>
      </c>
      <c r="AA90" s="177" t="n">
        <f aca="false">Таблица32[[#This Row],[Столбец7]]*Таблица32[[#This Row],[Gruppa bank klient ]]%</f>
        <v>30000</v>
      </c>
      <c r="AB90" s="177" t="n">
        <f aca="false">Таблица32[[#This Row],[1c]]*Таблица32[[#This Row],[Столбец7]]/100</f>
        <v>0</v>
      </c>
      <c r="AC90" s="178" t="n">
        <f aca="false">SUM(Таблица32[[#This Row],[Didox]:[ мехнат]],Таблица32[[#This Row],[Avtokameral]])*Таблица32[[#This Row],[Столбец7]]/100</f>
        <v>22500</v>
      </c>
      <c r="AD90" s="178" t="n">
        <f aca="false">SUM(Таблица32[[#This Row],[Pul oqimlari]:[Foyda va zarar]])*Таблица32[[#This Row],[Столбец7]]/100</f>
        <v>6000</v>
      </c>
      <c r="AE90" s="177" t="n">
        <f aca="false">Таблица32[[#This Row],[Столбец7]]*Таблица32[[#This Row],[Nazoratchi]]%</f>
        <v>15000</v>
      </c>
      <c r="AF90" s="177" t="n">
        <f aca="false">Таблица32[[#This Row],[Ishga vaqtida kelish nazoratchi]]+Таблица32[[#This Row],[Nazoratchi2]]</f>
        <v>15000</v>
      </c>
      <c r="AG9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58500</v>
      </c>
      <c r="AH90" s="177" t="n">
        <f aca="false">Таблица32[[#This Row],[Ishga kelish bank klient3]]+Таблица32[[#This Row],[Gruppa bank klient 2]]</f>
        <v>60000</v>
      </c>
    </row>
    <row r="91" customFormat="false" ht="17.35" hidden="false" customHeight="false" outlineLevel="0" collapsed="false">
      <c r="A91" s="112" t="n">
        <v>89</v>
      </c>
      <c r="B91" s="114" t="s">
        <v>300</v>
      </c>
      <c r="C91" s="113" t="s">
        <v>223</v>
      </c>
      <c r="D91" s="114" t="s">
        <v>224</v>
      </c>
      <c r="E91" s="129" t="n">
        <v>3000000</v>
      </c>
      <c r="F91" s="113" t="s">
        <v>210</v>
      </c>
      <c r="G91" s="174" t="n">
        <v>-0.8</v>
      </c>
      <c r="H91" s="174" t="n">
        <v>1</v>
      </c>
      <c r="I91" s="174"/>
      <c r="J91" s="174" t="n">
        <v>1</v>
      </c>
      <c r="K91" s="174" t="n">
        <v>1</v>
      </c>
      <c r="L91" s="175" t="n">
        <v>0</v>
      </c>
      <c r="M91" s="175" t="n">
        <v>0.25</v>
      </c>
      <c r="N91" s="175" t="n">
        <v>0.25</v>
      </c>
      <c r="O91" s="175"/>
      <c r="P91" s="175" t="n">
        <v>-0.25</v>
      </c>
      <c r="Q91" s="175" t="n">
        <v>0.2</v>
      </c>
      <c r="R91" s="175" t="n">
        <v>0.2</v>
      </c>
      <c r="S91" s="175" t="n">
        <v>0.2</v>
      </c>
      <c r="T91" s="175" t="n">
        <v>-0.2</v>
      </c>
      <c r="U91" s="175" t="n">
        <v>-0.2</v>
      </c>
      <c r="V91" s="174" t="n">
        <v>0.5</v>
      </c>
      <c r="W91" s="176" t="n">
        <f aca="false">Таблица32[[#This Row],[Столбец7]]*Таблица32[[#This Row],[Ishga kelish nazoratchi2]]%</f>
        <v>0</v>
      </c>
      <c r="X91" s="177" t="n">
        <f aca="false">Таблица32[[#This Row],[Столбец7]]*Таблица32[[#This Row],[Ishga vaqtida kelish ketish]]%</f>
        <v>-24000</v>
      </c>
      <c r="Y91" s="177" t="n">
        <f aca="false">Таблица32[[#This Row],[Столбец7]]*Таблица32[[#This Row],[Ishga kelish bank klient]]%</f>
        <v>30000</v>
      </c>
      <c r="Z91" s="177" t="n">
        <f aca="false">Таблица32[[#This Row],[Столбец7]]*Таблица32[[#This Row],[Gruppa buxgalter]]%</f>
        <v>30000</v>
      </c>
      <c r="AA91" s="177" t="n">
        <f aca="false">Таблица32[[#This Row],[Столбец7]]*Таблица32[[#This Row],[Gruppa bank klient ]]%</f>
        <v>30000</v>
      </c>
      <c r="AB91" s="177" t="n">
        <f aca="false">Таблица32[[#This Row],[1c]]*Таблица32[[#This Row],[Столбец7]]/100</f>
        <v>0</v>
      </c>
      <c r="AC91" s="178" t="n">
        <f aca="false">SUM(Таблица32[[#This Row],[Didox]:[ мехнат]],Таблица32[[#This Row],[Avtokameral]])*Таблица32[[#This Row],[Столбец7]]/100</f>
        <v>7500</v>
      </c>
      <c r="AD91" s="178" t="n">
        <f aca="false">SUM(Таблица32[[#This Row],[Pul oqimlari]:[Foyda va zarar]])*Таблица32[[#This Row],[Столбец7]]/100</f>
        <v>6000</v>
      </c>
      <c r="AE91" s="177" t="n">
        <f aca="false">Таблица32[[#This Row],[Столбец7]]*Таблица32[[#This Row],[Nazoratchi]]%</f>
        <v>15000</v>
      </c>
      <c r="AF91" s="177" t="n">
        <f aca="false">Таблица32[[#This Row],[Ishga vaqtida kelish nazoratchi]]+Таблица32[[#This Row],[Nazoratchi2]]</f>
        <v>15000</v>
      </c>
      <c r="AG9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19500</v>
      </c>
      <c r="AH91" s="177" t="n">
        <f aca="false">Таблица32[[#This Row],[Ishga kelish bank klient3]]+Таблица32[[#This Row],[Gruppa bank klient 2]]</f>
        <v>60000</v>
      </c>
    </row>
    <row r="92" customFormat="false" ht="17.35" hidden="false" customHeight="false" outlineLevel="0" collapsed="false">
      <c r="A92" s="112" t="n">
        <v>90</v>
      </c>
      <c r="B92" s="114" t="s">
        <v>301</v>
      </c>
      <c r="C92" s="114" t="s">
        <v>226</v>
      </c>
      <c r="D92" s="113" t="s">
        <v>224</v>
      </c>
      <c r="E92" s="129" t="n">
        <v>500000</v>
      </c>
      <c r="F92" s="113" t="s">
        <v>213</v>
      </c>
      <c r="G92" s="174"/>
      <c r="H92" s="174" t="n">
        <v>1</v>
      </c>
      <c r="I92" s="174"/>
      <c r="J92" s="174" t="n">
        <v>1</v>
      </c>
      <c r="K92" s="174" t="n">
        <v>1</v>
      </c>
      <c r="L92" s="175" t="n">
        <v>0.25</v>
      </c>
      <c r="M92" s="175" t="n">
        <v>0.25</v>
      </c>
      <c r="N92" s="175"/>
      <c r="O92" s="175"/>
      <c r="P92" s="175" t="n">
        <v>0.25</v>
      </c>
      <c r="Q92" s="175" t="n">
        <v>0</v>
      </c>
      <c r="R92" s="175" t="n">
        <v>0</v>
      </c>
      <c r="S92" s="175" t="n">
        <v>0</v>
      </c>
      <c r="T92" s="175" t="n">
        <v>0</v>
      </c>
      <c r="U92" s="175" t="n">
        <v>0</v>
      </c>
      <c r="V92" s="117" t="n">
        <v>0.5</v>
      </c>
      <c r="W92" s="176" t="n">
        <f aca="false">Таблица32[[#This Row],[Столбец7]]*Таблица32[[#This Row],[Ishga kelish nazoratchi2]]%</f>
        <v>0</v>
      </c>
      <c r="X92" s="177" t="n">
        <f aca="false">Таблица32[[#This Row],[Столбец7]]*Таблица32[[#This Row],[Ishga vaqtida kelish ketish]]%</f>
        <v>0</v>
      </c>
      <c r="Y92" s="177" t="n">
        <f aca="false">Таблица32[[#This Row],[Столбец7]]*Таблица32[[#This Row],[Ishga kelish bank klient]]%</f>
        <v>5000</v>
      </c>
      <c r="Z92" s="177" t="n">
        <f aca="false">Таблица32[[#This Row],[Столбец7]]*Таблица32[[#This Row],[Gruppa buxgalter]]%</f>
        <v>5000</v>
      </c>
      <c r="AA92" s="177" t="n">
        <f aca="false">Таблица32[[#This Row],[Столбец7]]*Таблица32[[#This Row],[Gruppa bank klient ]]%</f>
        <v>5000</v>
      </c>
      <c r="AB92" s="177" t="n">
        <f aca="false">Таблица32[[#This Row],[1c]]*Таблица32[[#This Row],[Столбец7]]/100</f>
        <v>0</v>
      </c>
      <c r="AC92" s="178" t="n">
        <f aca="false">SUM(Таблица32[[#This Row],[Didox]:[ мехнат]],Таблица32[[#This Row],[Avtokameral]])*Таблица32[[#This Row],[Столбец7]]/100</f>
        <v>3750</v>
      </c>
      <c r="AD92" s="178" t="n">
        <f aca="false">SUM(Таблица32[[#This Row],[Pul oqimlari]:[Foyda va zarar]])*Таблица32[[#This Row],[Столбец7]]/100</f>
        <v>0</v>
      </c>
      <c r="AE92" s="177" t="n">
        <f aca="false">Таблица32[[#This Row],[Столбец7]]*Таблица32[[#This Row],[Nazoratchi]]%</f>
        <v>2500</v>
      </c>
      <c r="AF92" s="177" t="n">
        <f aca="false">Таблица32[[#This Row],[Ishga vaqtida kelish nazoratchi]]+Таблица32[[#This Row],[Nazoratchi2]]</f>
        <v>2500</v>
      </c>
      <c r="AG9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92" s="177" t="n">
        <f aca="false">Таблица32[[#This Row],[Ishga kelish bank klient3]]+Таблица32[[#This Row],[Gruppa bank klient 2]]</f>
        <v>10000</v>
      </c>
    </row>
    <row r="93" customFormat="false" ht="17.35" hidden="false" customHeight="false" outlineLevel="0" collapsed="false">
      <c r="A93" s="112" t="n">
        <v>91</v>
      </c>
      <c r="B93" s="114" t="s">
        <v>302</v>
      </c>
      <c r="C93" s="120" t="s">
        <v>217</v>
      </c>
      <c r="D93" s="114"/>
      <c r="E93" s="129" t="n">
        <v>2500000</v>
      </c>
      <c r="F93" s="113" t="s">
        <v>210</v>
      </c>
      <c r="G93" s="174" t="n">
        <v>0.9</v>
      </c>
      <c r="H93" s="174"/>
      <c r="I93" s="174"/>
      <c r="J93" s="174" t="n">
        <v>-0.5</v>
      </c>
      <c r="K93" s="174"/>
      <c r="L93" s="175" t="n">
        <v>-0.25</v>
      </c>
      <c r="M93" s="175" t="n">
        <v>0.25</v>
      </c>
      <c r="N93" s="175"/>
      <c r="O93" s="175"/>
      <c r="P93" s="175" t="n">
        <v>0.25</v>
      </c>
      <c r="Q93" s="175" t="n">
        <v>0.2</v>
      </c>
      <c r="R93" s="175" t="n">
        <v>0.2</v>
      </c>
      <c r="S93" s="175" t="n">
        <v>0.2</v>
      </c>
      <c r="T93" s="175" t="n">
        <v>0.2</v>
      </c>
      <c r="U93" s="175" t="n">
        <v>-0.2</v>
      </c>
      <c r="V93" s="174" t="n">
        <v>-0.5</v>
      </c>
      <c r="W93" s="176" t="n">
        <f aca="false">Таблица32[[#This Row],[Столбец7]]*Таблица32[[#This Row],[Ishga kelish nazoratchi2]]%</f>
        <v>0</v>
      </c>
      <c r="X93" s="177" t="n">
        <f aca="false">Таблица32[[#This Row],[Столбец7]]*Таблица32[[#This Row],[Ishga vaqtida kelish ketish]]%</f>
        <v>22500</v>
      </c>
      <c r="Y93" s="177" t="n">
        <f aca="false">Таблица32[[#This Row],[Столбец7]]*Таблица32[[#This Row],[Ishga kelish bank klient]]%</f>
        <v>0</v>
      </c>
      <c r="Z93" s="177" t="n">
        <f aca="false">Таблица32[[#This Row],[Столбец7]]*Таблица32[[#This Row],[Gruppa buxgalter]]%</f>
        <v>-12500</v>
      </c>
      <c r="AA93" s="177" t="n">
        <f aca="false">Таблица32[[#This Row],[Столбец7]]*Таблица32[[#This Row],[Gruppa bank klient ]]%</f>
        <v>0</v>
      </c>
      <c r="AB93" s="177" t="n">
        <f aca="false">Таблица32[[#This Row],[1c]]*Таблица32[[#This Row],[Столбец7]]/100</f>
        <v>0</v>
      </c>
      <c r="AC93" s="178" t="n">
        <f aca="false">SUM(Таблица32[[#This Row],[Didox]:[ мехнат]],Таблица32[[#This Row],[Avtokameral]])*Таблица32[[#This Row],[Столбец7]]/100</f>
        <v>6250</v>
      </c>
      <c r="AD93" s="178" t="n">
        <f aca="false">SUM(Таблица32[[#This Row],[Pul oqimlari]:[Foyda va zarar]])*Таблица32[[#This Row],[Столбец7]]/100</f>
        <v>15000</v>
      </c>
      <c r="AE93" s="177" t="n">
        <f aca="false">Таблица32[[#This Row],[Столбец7]]*Таблица32[[#This Row],[Nazoratchi]]%</f>
        <v>-12500</v>
      </c>
      <c r="AF93" s="177" t="n">
        <f aca="false">Таблица32[[#This Row],[Ishga vaqtida kelish nazoratchi]]+Таблица32[[#This Row],[Nazoratchi2]]</f>
        <v>-12500</v>
      </c>
      <c r="AG9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31250</v>
      </c>
      <c r="AH93" s="177" t="n">
        <f aca="false">Таблица32[[#This Row],[Ishga kelish bank klient3]]+Таблица32[[#This Row],[Gruppa bank klient 2]]</f>
        <v>0</v>
      </c>
    </row>
    <row r="94" customFormat="false" ht="17.35" hidden="false" customHeight="false" outlineLevel="0" collapsed="false">
      <c r="A94" s="112" t="n">
        <v>92</v>
      </c>
      <c r="B94" s="114" t="s">
        <v>303</v>
      </c>
      <c r="C94" s="113" t="s">
        <v>218</v>
      </c>
      <c r="D94" s="114" t="s">
        <v>238</v>
      </c>
      <c r="E94" s="129" t="n">
        <v>0</v>
      </c>
      <c r="F94" s="113" t="s">
        <v>210</v>
      </c>
      <c r="G94" s="174" t="n">
        <v>-0.35</v>
      </c>
      <c r="H94" s="174" t="n">
        <v>1</v>
      </c>
      <c r="I94" s="174"/>
      <c r="J94" s="174" t="n">
        <v>1</v>
      </c>
      <c r="K94" s="174" t="n">
        <v>1</v>
      </c>
      <c r="L94" s="175" t="n">
        <v>0.25</v>
      </c>
      <c r="M94" s="175" t="n">
        <v>-0.25</v>
      </c>
      <c r="N94" s="175"/>
      <c r="O94" s="175"/>
      <c r="P94" s="175" t="n">
        <v>0.25</v>
      </c>
      <c r="Q94" s="175" t="n">
        <v>0.2</v>
      </c>
      <c r="R94" s="175" t="n">
        <v>0.2</v>
      </c>
      <c r="S94" s="175" t="n">
        <v>0.2</v>
      </c>
      <c r="T94" s="175" t="n">
        <v>0.2</v>
      </c>
      <c r="U94" s="175" t="n">
        <v>0.2</v>
      </c>
      <c r="V94" s="117" t="n">
        <v>0.5</v>
      </c>
      <c r="W94" s="176" t="n">
        <f aca="false">Таблица32[[#This Row],[Столбец7]]*Таблица32[[#This Row],[Ishga kelish nazoratchi2]]%</f>
        <v>0</v>
      </c>
      <c r="X94" s="177" t="n">
        <f aca="false">Таблица32[[#This Row],[Столбец7]]*Таблица32[[#This Row],[Ishga vaqtida kelish ketish]]%</f>
        <v>0</v>
      </c>
      <c r="Y94" s="177" t="n">
        <f aca="false">Таблица32[[#This Row],[Столбец7]]*Таблица32[[#This Row],[Ishga kelish bank klient]]%</f>
        <v>0</v>
      </c>
      <c r="Z94" s="177" t="n">
        <f aca="false">Таблица32[[#This Row],[Столбец7]]*Таблица32[[#This Row],[Gruppa buxgalter]]%</f>
        <v>0</v>
      </c>
      <c r="AA94" s="177" t="n">
        <f aca="false">Таблица32[[#This Row],[Столбец7]]*Таблица32[[#This Row],[Gruppa bank klient ]]%</f>
        <v>0</v>
      </c>
      <c r="AB94" s="177" t="n">
        <f aca="false">Таблица32[[#This Row],[1c]]*Таблица32[[#This Row],[Столбец7]]/100</f>
        <v>0</v>
      </c>
      <c r="AC94" s="178" t="n">
        <f aca="false">SUM(Таблица32[[#This Row],[Didox]:[ мехнат]],Таблица32[[#This Row],[Avtokameral]])*Таблица32[[#This Row],[Столбец7]]/100</f>
        <v>0</v>
      </c>
      <c r="AD94" s="178" t="n">
        <f aca="false">SUM(Таблица32[[#This Row],[Pul oqimlari]:[Foyda va zarar]])*Таблица32[[#This Row],[Столбец7]]/100</f>
        <v>0</v>
      </c>
      <c r="AE94" s="177" t="n">
        <f aca="false">Таблица32[[#This Row],[Столбец7]]*Таблица32[[#This Row],[Nazoratchi]]%</f>
        <v>0</v>
      </c>
      <c r="AF94" s="177" t="n">
        <f aca="false">Таблица32[[#This Row],[Ishga vaqtida kelish nazoratchi]]+Таблица32[[#This Row],[Nazoratchi2]]</f>
        <v>0</v>
      </c>
      <c r="AG9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94" s="177" t="n">
        <f aca="false">Таблица32[[#This Row],[Ishga kelish bank klient3]]+Таблица32[[#This Row],[Gruppa bank klient 2]]</f>
        <v>0</v>
      </c>
    </row>
    <row r="95" customFormat="false" ht="17.35" hidden="false" customHeight="false" outlineLevel="0" collapsed="false">
      <c r="A95" s="112" t="n">
        <v>93</v>
      </c>
      <c r="B95" s="114" t="s">
        <v>304</v>
      </c>
      <c r="C95" s="120" t="s">
        <v>221</v>
      </c>
      <c r="D95" s="114" t="s">
        <v>238</v>
      </c>
      <c r="E95" s="115" t="n">
        <v>700000</v>
      </c>
      <c r="F95" s="113" t="s">
        <v>210</v>
      </c>
      <c r="G95" s="174"/>
      <c r="H95" s="174" t="n">
        <v>1</v>
      </c>
      <c r="I95" s="174"/>
      <c r="J95" s="174" t="n">
        <v>1</v>
      </c>
      <c r="K95" s="174" t="n">
        <v>1</v>
      </c>
      <c r="L95" s="175" t="n">
        <v>0.25</v>
      </c>
      <c r="M95" s="175" t="n">
        <v>0.25</v>
      </c>
      <c r="N95" s="181"/>
      <c r="O95" s="175" t="n">
        <v>1</v>
      </c>
      <c r="P95" s="175" t="n">
        <v>0.25</v>
      </c>
      <c r="Q95" s="175" t="n">
        <v>0</v>
      </c>
      <c r="R95" s="175" t="n">
        <v>0.2</v>
      </c>
      <c r="S95" s="175" t="n">
        <v>0.2</v>
      </c>
      <c r="T95" s="175" t="n">
        <v>0</v>
      </c>
      <c r="U95" s="175" t="n">
        <v>0</v>
      </c>
      <c r="V95" s="117" t="n">
        <v>0.5</v>
      </c>
      <c r="W95" s="176" t="n">
        <f aca="false">Таблица32[[#This Row],[Столбец7]]*Таблица32[[#This Row],[Ishga kelish nazoratchi2]]%</f>
        <v>0</v>
      </c>
      <c r="X95" s="177" t="n">
        <f aca="false">Таблица32[[#This Row],[Столбец7]]*Таблица32[[#This Row],[Ishga vaqtida kelish ketish]]%</f>
        <v>0</v>
      </c>
      <c r="Y95" s="177" t="n">
        <f aca="false">Таблица32[[#This Row],[Столбец7]]*Таблица32[[#This Row],[Ishga kelish bank klient]]%</f>
        <v>7000</v>
      </c>
      <c r="Z95" s="177" t="n">
        <f aca="false">Таблица32[[#This Row],[Столбец7]]*Таблица32[[#This Row],[Gruppa buxgalter]]%</f>
        <v>7000</v>
      </c>
      <c r="AA95" s="177" t="n">
        <f aca="false">Таблица32[[#This Row],[Столбец7]]*Таблица32[[#This Row],[Gruppa bank klient ]]%</f>
        <v>7000</v>
      </c>
      <c r="AB95" s="177" t="n">
        <f aca="false">Таблица32[[#This Row],[1c]]*Таблица32[[#This Row],[Столбец7]]/100</f>
        <v>7000</v>
      </c>
      <c r="AC95" s="178" t="n">
        <f aca="false">SUM(Таблица32[[#This Row],[Didox]:[ мехнат]],Таблица32[[#This Row],[Avtokameral]])*Таблица32[[#This Row],[Столбец7]]/100</f>
        <v>5250</v>
      </c>
      <c r="AD95" s="178" t="n">
        <f aca="false">SUM(Таблица32[[#This Row],[Pul oqimlari]:[Foyda va zarar]])*Таблица32[[#This Row],[Столбец7]]/100</f>
        <v>2800</v>
      </c>
      <c r="AE95" s="177" t="n">
        <f aca="false">Таблица32[[#This Row],[Столбец7]]*Таблица32[[#This Row],[Nazoratchi]]%</f>
        <v>3500</v>
      </c>
      <c r="AF95" s="177" t="n">
        <f aca="false">Таблица32[[#This Row],[Ishga vaqtida kelish nazoratchi]]+Таблица32[[#This Row],[Nazoratchi2]]</f>
        <v>3500</v>
      </c>
      <c r="AG9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22050</v>
      </c>
      <c r="AH95" s="177" t="n">
        <f aca="false">Таблица32[[#This Row],[Ishga kelish bank klient3]]+Таблица32[[#This Row],[Gruppa bank klient 2]]</f>
        <v>14000</v>
      </c>
    </row>
    <row r="96" customFormat="false" ht="17.35" hidden="false" customHeight="false" outlineLevel="0" collapsed="false">
      <c r="A96" s="112" t="n">
        <v>94</v>
      </c>
      <c r="B96" s="114" t="s">
        <v>305</v>
      </c>
      <c r="C96" s="114" t="s">
        <v>226</v>
      </c>
      <c r="D96" s="113" t="s">
        <v>224</v>
      </c>
      <c r="E96" s="115" t="n">
        <v>700000</v>
      </c>
      <c r="F96" s="113" t="s">
        <v>213</v>
      </c>
      <c r="G96" s="174"/>
      <c r="H96" s="174" t="n">
        <v>1</v>
      </c>
      <c r="I96" s="174"/>
      <c r="J96" s="174" t="n">
        <v>1</v>
      </c>
      <c r="K96" s="174" t="n">
        <v>1</v>
      </c>
      <c r="L96" s="175" t="n">
        <v>0.25</v>
      </c>
      <c r="M96" s="175" t="n">
        <v>0.25</v>
      </c>
      <c r="N96" s="175"/>
      <c r="O96" s="175" t="n">
        <v>1</v>
      </c>
      <c r="P96" s="175" t="n">
        <v>0.25</v>
      </c>
      <c r="Q96" s="175" t="n">
        <v>0.2</v>
      </c>
      <c r="R96" s="175" t="n">
        <v>0.2</v>
      </c>
      <c r="S96" s="175" t="n">
        <v>0.2</v>
      </c>
      <c r="T96" s="175" t="n">
        <v>0.2</v>
      </c>
      <c r="U96" s="175" t="n">
        <v>0.2</v>
      </c>
      <c r="V96" s="117" t="n">
        <v>0.5</v>
      </c>
      <c r="W96" s="176" t="n">
        <f aca="false">Таблица32[[#This Row],[Столбец7]]*Таблица32[[#This Row],[Ishga kelish nazoratchi2]]%</f>
        <v>0</v>
      </c>
      <c r="X96" s="177" t="n">
        <f aca="false">Таблица32[[#This Row],[Столбец7]]*Таблица32[[#This Row],[Ishga vaqtida kelish ketish]]%</f>
        <v>0</v>
      </c>
      <c r="Y96" s="177" t="n">
        <f aca="false">Таблица32[[#This Row],[Столбец7]]*Таблица32[[#This Row],[Ishga kelish bank klient]]%</f>
        <v>7000</v>
      </c>
      <c r="Z96" s="177" t="n">
        <f aca="false">Таблица32[[#This Row],[Столбец7]]*Таблица32[[#This Row],[Gruppa buxgalter]]%</f>
        <v>7000</v>
      </c>
      <c r="AA96" s="177" t="n">
        <f aca="false">Таблица32[[#This Row],[Столбец7]]*Таблица32[[#This Row],[Gruppa bank klient ]]%</f>
        <v>7000</v>
      </c>
      <c r="AB96" s="177" t="n">
        <f aca="false">Таблица32[[#This Row],[1c]]*Таблица32[[#This Row],[Столбец7]]/100</f>
        <v>7000</v>
      </c>
      <c r="AC96" s="178" t="n">
        <f aca="false">SUM(Таблица32[[#This Row],[Didox]:[ мехнат]],Таблица32[[#This Row],[Avtokameral]])*Таблица32[[#This Row],[Столбец7]]/100</f>
        <v>5250</v>
      </c>
      <c r="AD96" s="178" t="n">
        <f aca="false">SUM(Таблица32[[#This Row],[Pul oqimlari]:[Foyda va zarar]])*Таблица32[[#This Row],[Столбец7]]/100</f>
        <v>7000</v>
      </c>
      <c r="AE96" s="177" t="n">
        <f aca="false">Таблица32[[#This Row],[Столбец7]]*Таблица32[[#This Row],[Nazoratchi]]%</f>
        <v>3500</v>
      </c>
      <c r="AF96" s="177" t="n">
        <f aca="false">Таблица32[[#This Row],[Ishga vaqtida kelish nazoratchi]]+Таблица32[[#This Row],[Nazoratchi2]]</f>
        <v>3500</v>
      </c>
      <c r="AG9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26250</v>
      </c>
      <c r="AH96" s="177" t="n">
        <f aca="false">Таблица32[[#This Row],[Ishga kelish bank klient3]]+Таблица32[[#This Row],[Gruppa bank klient 2]]</f>
        <v>14000</v>
      </c>
    </row>
    <row r="97" customFormat="false" ht="17.35" hidden="false" customHeight="false" outlineLevel="0" collapsed="false">
      <c r="A97" s="112" t="n">
        <v>95</v>
      </c>
      <c r="B97" s="114" t="s">
        <v>306</v>
      </c>
      <c r="C97" s="114" t="s">
        <v>226</v>
      </c>
      <c r="D97" s="114"/>
      <c r="E97" s="115" t="n">
        <v>500000</v>
      </c>
      <c r="F97" s="113" t="s">
        <v>213</v>
      </c>
      <c r="G97" s="174"/>
      <c r="H97" s="174"/>
      <c r="I97" s="174"/>
      <c r="J97" s="174" t="n">
        <v>1</v>
      </c>
      <c r="K97" s="174"/>
      <c r="L97" s="175" t="n">
        <v>0.25</v>
      </c>
      <c r="M97" s="175" t="n">
        <v>0.25</v>
      </c>
      <c r="N97" s="175"/>
      <c r="O97" s="175"/>
      <c r="P97" s="175" t="n">
        <v>0.25</v>
      </c>
      <c r="Q97" s="175" t="n">
        <v>0</v>
      </c>
      <c r="R97" s="175" t="n">
        <v>0</v>
      </c>
      <c r="S97" s="175" t="n">
        <v>0</v>
      </c>
      <c r="T97" s="175" t="n">
        <v>0</v>
      </c>
      <c r="U97" s="175" t="n">
        <v>0</v>
      </c>
      <c r="V97" s="117" t="n">
        <v>0.5</v>
      </c>
      <c r="W97" s="176" t="n">
        <f aca="false">Таблица32[[#This Row],[Столбец7]]*Таблица32[[#This Row],[Ishga kelish nazoratchi2]]%</f>
        <v>0</v>
      </c>
      <c r="X97" s="177" t="n">
        <f aca="false">Таблица32[[#This Row],[Столбец7]]*Таблица32[[#This Row],[Ishga vaqtida kelish ketish]]%</f>
        <v>0</v>
      </c>
      <c r="Y97" s="177" t="n">
        <f aca="false">Таблица32[[#This Row],[Столбец7]]*Таблица32[[#This Row],[Ishga kelish bank klient]]%</f>
        <v>0</v>
      </c>
      <c r="Z97" s="177" t="n">
        <f aca="false">Таблица32[[#This Row],[Столбец7]]*Таблица32[[#This Row],[Gruppa buxgalter]]%</f>
        <v>5000</v>
      </c>
      <c r="AA97" s="177" t="n">
        <f aca="false">Таблица32[[#This Row],[Столбец7]]*Таблица32[[#This Row],[Gruppa bank klient ]]%</f>
        <v>0</v>
      </c>
      <c r="AB97" s="177" t="n">
        <f aca="false">Таблица32[[#This Row],[1c]]*Таблица32[[#This Row],[Столбец7]]/100</f>
        <v>0</v>
      </c>
      <c r="AC97" s="178" t="n">
        <f aca="false">SUM(Таблица32[[#This Row],[Didox]:[ мехнат]],Таблица32[[#This Row],[Avtokameral]])*Таблица32[[#This Row],[Столбец7]]/100</f>
        <v>3750</v>
      </c>
      <c r="AD97" s="178" t="n">
        <f aca="false">SUM(Таблица32[[#This Row],[Pul oqimlari]:[Foyda va zarar]])*Таблица32[[#This Row],[Столбец7]]/100</f>
        <v>0</v>
      </c>
      <c r="AE97" s="177" t="n">
        <f aca="false">Таблица32[[#This Row],[Столбец7]]*Таблица32[[#This Row],[Nazoratchi]]%</f>
        <v>2500</v>
      </c>
      <c r="AF97" s="177" t="n">
        <f aca="false">Таблица32[[#This Row],[Ishga vaqtida kelish nazoratchi]]+Таблица32[[#This Row],[Nazoratchi2]]</f>
        <v>2500</v>
      </c>
      <c r="AG9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97" s="177" t="n">
        <f aca="false">Таблица32[[#This Row],[Ishga kelish bank klient3]]+Таблица32[[#This Row],[Gruppa bank klient 2]]</f>
        <v>0</v>
      </c>
    </row>
    <row r="98" customFormat="false" ht="17.35" hidden="false" customHeight="false" outlineLevel="0" collapsed="false">
      <c r="A98" s="112" t="n">
        <v>96</v>
      </c>
      <c r="B98" s="133" t="s">
        <v>307</v>
      </c>
      <c r="C98" s="113" t="s">
        <v>218</v>
      </c>
      <c r="D98" s="133" t="s">
        <v>238</v>
      </c>
      <c r="E98" s="134" t="n">
        <v>1000000</v>
      </c>
      <c r="F98" s="113" t="s">
        <v>210</v>
      </c>
      <c r="G98" s="174" t="n">
        <v>-0.35</v>
      </c>
      <c r="H98" s="174" t="n">
        <v>1</v>
      </c>
      <c r="I98" s="174"/>
      <c r="J98" s="174" t="n">
        <v>1</v>
      </c>
      <c r="K98" s="174" t="n">
        <v>1</v>
      </c>
      <c r="L98" s="175" t="n">
        <v>0.25</v>
      </c>
      <c r="M98" s="175" t="n">
        <v>0.25</v>
      </c>
      <c r="N98" s="175"/>
      <c r="O98" s="175" t="n">
        <v>1</v>
      </c>
      <c r="P98" s="175" t="n">
        <v>0.25</v>
      </c>
      <c r="Q98" s="175" t="n">
        <v>0.2</v>
      </c>
      <c r="R98" s="175" t="n">
        <v>0.2</v>
      </c>
      <c r="S98" s="175" t="n">
        <v>0.2</v>
      </c>
      <c r="T98" s="175" t="n">
        <v>0.2</v>
      </c>
      <c r="U98" s="175" t="n">
        <v>0.2</v>
      </c>
      <c r="V98" s="117" t="n">
        <v>0.5</v>
      </c>
      <c r="W98" s="176" t="n">
        <f aca="false">Таблица32[[#This Row],[Столбец7]]*Таблица32[[#This Row],[Ishga kelish nazoratchi2]]%</f>
        <v>0</v>
      </c>
      <c r="X98" s="177" t="n">
        <f aca="false">Таблица32[[#This Row],[Столбец7]]*Таблица32[[#This Row],[Ishga vaqtida kelish ketish]]%</f>
        <v>-3500</v>
      </c>
      <c r="Y98" s="177" t="n">
        <f aca="false">Таблица32[[#This Row],[Столбец7]]*Таблица32[[#This Row],[Ishga kelish bank klient]]%</f>
        <v>10000</v>
      </c>
      <c r="Z98" s="177" t="n">
        <f aca="false">Таблица32[[#This Row],[Столбец7]]*Таблица32[[#This Row],[Gruppa buxgalter]]%</f>
        <v>10000</v>
      </c>
      <c r="AA98" s="177" t="n">
        <f aca="false">Таблица32[[#This Row],[Столбец7]]*Таблица32[[#This Row],[Gruppa bank klient ]]%</f>
        <v>10000</v>
      </c>
      <c r="AB98" s="177" t="n">
        <f aca="false">Таблица32[[#This Row],[1c]]*Таблица32[[#This Row],[Столбец7]]/100</f>
        <v>10000</v>
      </c>
      <c r="AC98" s="178" t="n">
        <f aca="false">SUM(Таблица32[[#This Row],[Didox]:[ мехнат]],Таблица32[[#This Row],[Avtokameral]])*Таблица32[[#This Row],[Столбец7]]/100</f>
        <v>7500</v>
      </c>
      <c r="AD98" s="178" t="n">
        <f aca="false">SUM(Таблица32[[#This Row],[Pul oqimlari]:[Foyda va zarar]])*Таблица32[[#This Row],[Столбец7]]/100</f>
        <v>10000</v>
      </c>
      <c r="AE98" s="177" t="n">
        <f aca="false">Таблица32[[#This Row],[Столбец7]]*Таблица32[[#This Row],[Nazoratchi]]%</f>
        <v>5000</v>
      </c>
      <c r="AF98" s="177" t="n">
        <f aca="false">Таблица32[[#This Row],[Ishga vaqtida kelish nazoratchi]]+Таблица32[[#This Row],[Nazoratchi2]]</f>
        <v>5000</v>
      </c>
      <c r="AG9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34000</v>
      </c>
      <c r="AH98" s="177" t="n">
        <f aca="false">Таблица32[[#This Row],[Ishga kelish bank klient3]]+Таблица32[[#This Row],[Gruppa bank klient 2]]</f>
        <v>20000</v>
      </c>
    </row>
    <row r="99" customFormat="false" ht="17.35" hidden="false" customHeight="false" outlineLevel="0" collapsed="false">
      <c r="A99" s="112" t="n">
        <v>97</v>
      </c>
      <c r="B99" s="114" t="s">
        <v>308</v>
      </c>
      <c r="C99" s="120" t="s">
        <v>221</v>
      </c>
      <c r="D99" s="114" t="s">
        <v>238</v>
      </c>
      <c r="E99" s="129" t="n">
        <v>700000</v>
      </c>
      <c r="F99" s="113" t="s">
        <v>210</v>
      </c>
      <c r="G99" s="174"/>
      <c r="H99" s="174" t="n">
        <v>1</v>
      </c>
      <c r="I99" s="174"/>
      <c r="J99" s="174" t="n">
        <v>1</v>
      </c>
      <c r="K99" s="174" t="n">
        <v>1</v>
      </c>
      <c r="L99" s="175" t="n">
        <v>0.25</v>
      </c>
      <c r="M99" s="175" t="n">
        <v>0.25</v>
      </c>
      <c r="N99" s="175"/>
      <c r="O99" s="175" t="n">
        <v>1</v>
      </c>
      <c r="P99" s="175" t="n">
        <v>0.25</v>
      </c>
      <c r="Q99" s="175" t="n">
        <v>0</v>
      </c>
      <c r="R99" s="175" t="n">
        <v>0.2</v>
      </c>
      <c r="S99" s="175" t="n">
        <v>0.2</v>
      </c>
      <c r="T99" s="175" t="n">
        <v>0</v>
      </c>
      <c r="U99" s="175" t="n">
        <v>0</v>
      </c>
      <c r="V99" s="117" t="n">
        <v>0.5</v>
      </c>
      <c r="W99" s="176" t="n">
        <f aca="false">Таблица32[[#This Row],[Столбец7]]*Таблица32[[#This Row],[Ishga kelish nazoratchi2]]%</f>
        <v>0</v>
      </c>
      <c r="X99" s="177" t="n">
        <f aca="false">Таблица32[[#This Row],[Столбец7]]*Таблица32[[#This Row],[Ishga vaqtida kelish ketish]]%</f>
        <v>0</v>
      </c>
      <c r="Y99" s="177" t="n">
        <f aca="false">Таблица32[[#This Row],[Столбец7]]*Таблица32[[#This Row],[Ishga kelish bank klient]]%</f>
        <v>7000</v>
      </c>
      <c r="Z99" s="177" t="n">
        <f aca="false">Таблица32[[#This Row],[Столбец7]]*Таблица32[[#This Row],[Gruppa buxgalter]]%</f>
        <v>7000</v>
      </c>
      <c r="AA99" s="177" t="n">
        <f aca="false">Таблица32[[#This Row],[Столбец7]]*Таблица32[[#This Row],[Gruppa bank klient ]]%</f>
        <v>7000</v>
      </c>
      <c r="AB99" s="177" t="n">
        <f aca="false">Таблица32[[#This Row],[1c]]*Таблица32[[#This Row],[Столбец7]]/100</f>
        <v>7000</v>
      </c>
      <c r="AC99" s="178" t="n">
        <f aca="false">SUM(Таблица32[[#This Row],[Didox]:[ мехнат]],Таблица32[[#This Row],[Avtokameral]])*Таблица32[[#This Row],[Столбец7]]/100</f>
        <v>5250</v>
      </c>
      <c r="AD99" s="178" t="n">
        <f aca="false">SUM(Таблица32[[#This Row],[Pul oqimlari]:[Foyda va zarar]])*Таблица32[[#This Row],[Столбец7]]/100</f>
        <v>2800</v>
      </c>
      <c r="AE99" s="177" t="n">
        <f aca="false">Таблица32[[#This Row],[Столбец7]]*Таблица32[[#This Row],[Nazoratchi]]%</f>
        <v>3500</v>
      </c>
      <c r="AF99" s="177" t="n">
        <f aca="false">Таблица32[[#This Row],[Ishga vaqtida kelish nazoratchi]]+Таблица32[[#This Row],[Nazoratchi2]]</f>
        <v>3500</v>
      </c>
      <c r="AG9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22050</v>
      </c>
      <c r="AH99" s="177" t="n">
        <f aca="false">Таблица32[[#This Row],[Ishga kelish bank klient3]]+Таблица32[[#This Row],[Gruppa bank klient 2]]</f>
        <v>14000</v>
      </c>
    </row>
    <row r="100" customFormat="false" ht="17.35" hidden="false" customHeight="false" outlineLevel="0" collapsed="false">
      <c r="A100" s="112" t="n">
        <v>98</v>
      </c>
      <c r="B100" s="114" t="s">
        <v>309</v>
      </c>
      <c r="C100" s="120" t="s">
        <v>226</v>
      </c>
      <c r="D100" s="113" t="s">
        <v>224</v>
      </c>
      <c r="E100" s="129" t="n">
        <v>750000</v>
      </c>
      <c r="F100" s="113" t="s">
        <v>213</v>
      </c>
      <c r="G100" s="174"/>
      <c r="H100" s="174" t="n">
        <v>1</v>
      </c>
      <c r="I100" s="179"/>
      <c r="J100" s="174" t="n">
        <v>1</v>
      </c>
      <c r="K100" s="174" t="n">
        <v>1</v>
      </c>
      <c r="L100" s="175" t="n">
        <v>0.25</v>
      </c>
      <c r="M100" s="175" t="n">
        <v>0.25</v>
      </c>
      <c r="N100" s="175"/>
      <c r="O100" s="175" t="n">
        <v>1</v>
      </c>
      <c r="P100" s="175" t="n">
        <v>0.25</v>
      </c>
      <c r="Q100" s="175" t="n">
        <v>0.2</v>
      </c>
      <c r="R100" s="175" t="n">
        <v>0.2</v>
      </c>
      <c r="S100" s="175" t="n">
        <v>0.2</v>
      </c>
      <c r="T100" s="175" t="n">
        <v>0.2</v>
      </c>
      <c r="U100" s="175" t="n">
        <v>0.2</v>
      </c>
      <c r="V100" s="117" t="n">
        <v>0.5</v>
      </c>
      <c r="W100" s="176" t="n">
        <f aca="false">Таблица32[[#This Row],[Столбец7]]*Таблица32[[#This Row],[Ishga kelish nazoratchi2]]%</f>
        <v>0</v>
      </c>
      <c r="X100" s="177" t="n">
        <f aca="false">Таблица32[[#This Row],[Столбец7]]*Таблица32[[#This Row],[Ishga vaqtida kelish ketish]]%</f>
        <v>0</v>
      </c>
      <c r="Y100" s="177" t="n">
        <f aca="false">Таблица32[[#This Row],[Столбец7]]*Таблица32[[#This Row],[Ishga kelish bank klient]]%</f>
        <v>7500</v>
      </c>
      <c r="Z100" s="177" t="n">
        <f aca="false">Таблица32[[#This Row],[Столбец7]]*Таблица32[[#This Row],[Gruppa buxgalter]]%</f>
        <v>7500</v>
      </c>
      <c r="AA100" s="177" t="n">
        <f aca="false">Таблица32[[#This Row],[Столбец7]]*Таблица32[[#This Row],[Gruppa bank klient ]]%</f>
        <v>7500</v>
      </c>
      <c r="AB100" s="177" t="n">
        <f aca="false">Таблица32[[#This Row],[1c]]*Таблица32[[#This Row],[Столбец7]]/100</f>
        <v>7500</v>
      </c>
      <c r="AC100" s="178" t="n">
        <f aca="false">SUM(Таблица32[[#This Row],[Didox]:[ мехнат]],Таблица32[[#This Row],[Avtokameral]])*Таблица32[[#This Row],[Столбец7]]/100</f>
        <v>5625</v>
      </c>
      <c r="AD100" s="178" t="n">
        <f aca="false">SUM(Таблица32[[#This Row],[Pul oqimlari]:[Foyda va zarar]])*Таблица32[[#This Row],[Столбец7]]/100</f>
        <v>7500</v>
      </c>
      <c r="AE100" s="177" t="n">
        <f aca="false">Таблица32[[#This Row],[Столбец7]]*Таблица32[[#This Row],[Nazoratchi]]%</f>
        <v>3750</v>
      </c>
      <c r="AF100" s="177" t="n">
        <f aca="false">Таблица32[[#This Row],[Ishga vaqtida kelish nazoratchi]]+Таблица32[[#This Row],[Nazoratchi2]]</f>
        <v>3750</v>
      </c>
      <c r="AG10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28125</v>
      </c>
      <c r="AH100" s="177" t="n">
        <f aca="false">Таблица32[[#This Row],[Ishga kelish bank klient3]]+Таблица32[[#This Row],[Gruppa bank klient 2]]</f>
        <v>15000</v>
      </c>
    </row>
    <row r="101" customFormat="false" ht="17.35" hidden="false" customHeight="false" outlineLevel="0" collapsed="false">
      <c r="A101" s="112" t="n">
        <v>99</v>
      </c>
      <c r="B101" s="114" t="s">
        <v>310</v>
      </c>
      <c r="C101" s="114" t="s">
        <v>217</v>
      </c>
      <c r="D101" s="114" t="s">
        <v>238</v>
      </c>
      <c r="E101" s="115" t="n">
        <v>700000</v>
      </c>
      <c r="F101" s="113" t="s">
        <v>210</v>
      </c>
      <c r="G101" s="174" t="n">
        <v>0.9</v>
      </c>
      <c r="H101" s="174" t="n">
        <v>1</v>
      </c>
      <c r="I101" s="174"/>
      <c r="J101" s="174" t="n">
        <v>1</v>
      </c>
      <c r="K101" s="174" t="n">
        <v>1</v>
      </c>
      <c r="L101" s="175" t="n">
        <v>0.25</v>
      </c>
      <c r="M101" s="175" t="n">
        <v>0.25</v>
      </c>
      <c r="N101" s="175"/>
      <c r="O101" s="175"/>
      <c r="P101" s="175" t="n">
        <v>-0.25</v>
      </c>
      <c r="Q101" s="175" t="n">
        <v>0.2</v>
      </c>
      <c r="R101" s="175" t="n">
        <v>0.2</v>
      </c>
      <c r="S101" s="175" t="n">
        <v>0.2</v>
      </c>
      <c r="T101" s="175" t="n">
        <v>0.2</v>
      </c>
      <c r="U101" s="175" t="n">
        <v>0.2</v>
      </c>
      <c r="V101" s="117"/>
      <c r="W101" s="176" t="n">
        <f aca="false">Таблица32[[#This Row],[Столбец7]]*Таблица32[[#This Row],[Ishga kelish nazoratchi2]]%</f>
        <v>0</v>
      </c>
      <c r="X101" s="177" t="n">
        <f aca="false">Таблица32[[#This Row],[Столбец7]]*Таблица32[[#This Row],[Ishga vaqtida kelish ketish]]%</f>
        <v>6300</v>
      </c>
      <c r="Y101" s="177" t="n">
        <f aca="false">Таблица32[[#This Row],[Столбец7]]*Таблица32[[#This Row],[Ishga kelish bank klient]]%</f>
        <v>7000</v>
      </c>
      <c r="Z101" s="177" t="n">
        <f aca="false">Таблица32[[#This Row],[Столбец7]]*Таблица32[[#This Row],[Gruppa buxgalter]]%</f>
        <v>7000</v>
      </c>
      <c r="AA101" s="177" t="n">
        <f aca="false">Таблица32[[#This Row],[Столбец7]]*Таблица32[[#This Row],[Gruppa bank klient ]]%</f>
        <v>7000</v>
      </c>
      <c r="AB101" s="177" t="n">
        <f aca="false">Таблица32[[#This Row],[1c]]*Таблица32[[#This Row],[Столбец7]]/100</f>
        <v>0</v>
      </c>
      <c r="AC101" s="178" t="n">
        <f aca="false">SUM(Таблица32[[#This Row],[Didox]:[ мехнат]],Таблица32[[#This Row],[Avtokameral]])*Таблица32[[#This Row],[Столбец7]]/100</f>
        <v>1750</v>
      </c>
      <c r="AD101" s="178" t="n">
        <f aca="false">SUM(Таблица32[[#This Row],[Pul oqimlari]:[Foyda va zarar]])*Таблица32[[#This Row],[Столбец7]]/100</f>
        <v>7000</v>
      </c>
      <c r="AE101" s="177" t="n">
        <f aca="false">Таблица32[[#This Row],[Столбец7]]*Таблица32[[#This Row],[Nazoratchi]]%</f>
        <v>0</v>
      </c>
      <c r="AF101" s="177" t="n">
        <f aca="false">Таблица32[[#This Row],[Ishga vaqtida kelish nazoratchi]]+Таблица32[[#This Row],[Nazoratchi2]]</f>
        <v>0</v>
      </c>
      <c r="AG10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22050</v>
      </c>
      <c r="AH101" s="177" t="n">
        <f aca="false">Таблица32[[#This Row],[Ishga kelish bank klient3]]+Таблица32[[#This Row],[Gruppa bank klient 2]]</f>
        <v>14000</v>
      </c>
    </row>
    <row r="102" customFormat="false" ht="17.35" hidden="false" customHeight="false" outlineLevel="0" collapsed="false">
      <c r="A102" s="112" t="n">
        <v>100</v>
      </c>
      <c r="B102" s="114" t="s">
        <v>544</v>
      </c>
      <c r="C102" s="114" t="s">
        <v>222</v>
      </c>
      <c r="D102" s="113" t="s">
        <v>224</v>
      </c>
      <c r="E102" s="115" t="n">
        <v>0</v>
      </c>
      <c r="F102" s="113" t="s">
        <v>213</v>
      </c>
      <c r="G102" s="174" t="n">
        <v>-0.05</v>
      </c>
      <c r="H102" s="174" t="n">
        <v>1</v>
      </c>
      <c r="I102" s="174"/>
      <c r="J102" s="174" t="n">
        <v>1</v>
      </c>
      <c r="K102" s="174" t="n">
        <v>1</v>
      </c>
      <c r="L102" s="175" t="n">
        <v>0</v>
      </c>
      <c r="M102" s="175" t="n">
        <v>0</v>
      </c>
      <c r="N102" s="175"/>
      <c r="O102" s="175"/>
      <c r="P102" s="175" t="n">
        <v>0</v>
      </c>
      <c r="Q102" s="175" t="n">
        <v>0</v>
      </c>
      <c r="R102" s="175" t="n">
        <v>0</v>
      </c>
      <c r="S102" s="175" t="n">
        <v>0</v>
      </c>
      <c r="T102" s="175" t="n">
        <v>0</v>
      </c>
      <c r="U102" s="175" t="n">
        <v>0</v>
      </c>
      <c r="V102" s="117" t="n">
        <v>0.5</v>
      </c>
      <c r="W102" s="176" t="n">
        <f aca="false">Таблица32[[#This Row],[Столбец7]]*Таблица32[[#This Row],[Ishga kelish nazoratchi2]]%</f>
        <v>0</v>
      </c>
      <c r="X102" s="177" t="n">
        <f aca="false">Таблица32[[#This Row],[Столбец7]]*Таблица32[[#This Row],[Ishga vaqtida kelish ketish]]%</f>
        <v>0</v>
      </c>
      <c r="Y102" s="177" t="n">
        <f aca="false">Таблица32[[#This Row],[Столбец7]]*Таблица32[[#This Row],[Ishga kelish bank klient]]%</f>
        <v>0</v>
      </c>
      <c r="Z102" s="177" t="n">
        <f aca="false">Таблица32[[#This Row],[Столбец7]]*Таблица32[[#This Row],[Gruppa buxgalter]]%</f>
        <v>0</v>
      </c>
      <c r="AA102" s="177" t="n">
        <f aca="false">Таблица32[[#This Row],[Столбец7]]*Таблица32[[#This Row],[Gruppa bank klient ]]%</f>
        <v>0</v>
      </c>
      <c r="AB102" s="177" t="n">
        <f aca="false">Таблица32[[#This Row],[1c]]*Таблица32[[#This Row],[Столбец7]]/100</f>
        <v>0</v>
      </c>
      <c r="AC102" s="178" t="n">
        <f aca="false">SUM(Таблица32[[#This Row],[Didox]:[ мехнат]],Таблица32[[#This Row],[Avtokameral]])*Таблица32[[#This Row],[Столбец7]]/100</f>
        <v>0</v>
      </c>
      <c r="AD102" s="178" t="n">
        <f aca="false">SUM(Таблица32[[#This Row],[Pul oqimlari]:[Foyda va zarar]])*Таблица32[[#This Row],[Столбец7]]/100</f>
        <v>0</v>
      </c>
      <c r="AE102" s="177" t="n">
        <f aca="false">Таблица32[[#This Row],[Столбец7]]*Таблица32[[#This Row],[Nazoratchi]]%</f>
        <v>0</v>
      </c>
      <c r="AF102" s="177" t="n">
        <f aca="false">Таблица32[[#This Row],[Ishga vaqtida kelish nazoratchi]]+Таблица32[[#This Row],[Nazoratchi2]]</f>
        <v>0</v>
      </c>
      <c r="AG10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02" s="177" t="n">
        <f aca="false">Таблица32[[#This Row],[Ishga kelish bank klient3]]+Таблица32[[#This Row],[Gruppa bank klient 2]]</f>
        <v>0</v>
      </c>
    </row>
    <row r="103" customFormat="false" ht="17.35" hidden="false" customHeight="false" outlineLevel="0" collapsed="false">
      <c r="A103" s="112" t="n">
        <v>101</v>
      </c>
      <c r="B103" s="114" t="s">
        <v>311</v>
      </c>
      <c r="C103" s="113" t="s">
        <v>211</v>
      </c>
      <c r="D103" s="113" t="s">
        <v>224</v>
      </c>
      <c r="E103" s="115" t="n">
        <v>10000000</v>
      </c>
      <c r="F103" s="113" t="s">
        <v>210</v>
      </c>
      <c r="G103" s="174"/>
      <c r="H103" s="174" t="n">
        <v>1</v>
      </c>
      <c r="I103" s="174"/>
      <c r="J103" s="174" t="n">
        <v>1</v>
      </c>
      <c r="K103" s="174" t="n">
        <v>1</v>
      </c>
      <c r="L103" s="175" t="n">
        <v>0.25</v>
      </c>
      <c r="M103" s="175" t="n">
        <v>0.25</v>
      </c>
      <c r="N103" s="175" t="n">
        <v>0.25</v>
      </c>
      <c r="O103" s="175"/>
      <c r="P103" s="175" t="n">
        <v>0.25</v>
      </c>
      <c r="Q103" s="175" t="n">
        <v>-0.2</v>
      </c>
      <c r="R103" s="175" t="n">
        <v>-0.2</v>
      </c>
      <c r="S103" s="175" t="n">
        <v>-0.2</v>
      </c>
      <c r="T103" s="175" t="n">
        <v>-0.2</v>
      </c>
      <c r="U103" s="175" t="n">
        <v>-0.2</v>
      </c>
      <c r="V103" s="117" t="n">
        <v>0.5</v>
      </c>
      <c r="W103" s="176" t="n">
        <f aca="false">Таблица32[[#This Row],[Столбец7]]*Таблица32[[#This Row],[Ishga kelish nazoratchi2]]%</f>
        <v>0</v>
      </c>
      <c r="X103" s="177" t="n">
        <f aca="false">Таблица32[[#This Row],[Столбец7]]*Таблица32[[#This Row],[Ishga vaqtida kelish ketish]]%</f>
        <v>0</v>
      </c>
      <c r="Y103" s="177" t="n">
        <f aca="false">Таблица32[[#This Row],[Столбец7]]*Таблица32[[#This Row],[Ishga kelish bank klient]]%</f>
        <v>100000</v>
      </c>
      <c r="Z103" s="177" t="n">
        <f aca="false">Таблица32[[#This Row],[Столбец7]]*Таблица32[[#This Row],[Gruppa buxgalter]]%</f>
        <v>100000</v>
      </c>
      <c r="AA103" s="177" t="n">
        <f aca="false">Таблица32[[#This Row],[Столбец7]]*Таблица32[[#This Row],[Gruppa bank klient ]]%</f>
        <v>100000</v>
      </c>
      <c r="AB103" s="177" t="n">
        <f aca="false">Таблица32[[#This Row],[1c]]*Таблица32[[#This Row],[Столбец7]]/100</f>
        <v>0</v>
      </c>
      <c r="AC103" s="178" t="n">
        <f aca="false">SUM(Таблица32[[#This Row],[Didox]:[ мехнат]],Таблица32[[#This Row],[Avtokameral]])*Таблица32[[#This Row],[Столбец7]]/100</f>
        <v>100000</v>
      </c>
      <c r="AD103" s="178" t="n">
        <f aca="false">SUM(Таблица32[[#This Row],[Pul oqimlari]:[Foyda va zarar]])*Таблица32[[#This Row],[Столбец7]]/100</f>
        <v>-100000</v>
      </c>
      <c r="AE103" s="177" t="n">
        <f aca="false">Таблица32[[#This Row],[Столбец7]]*Таблица32[[#This Row],[Nazoratchi]]%</f>
        <v>50000</v>
      </c>
      <c r="AF103" s="177" t="n">
        <f aca="false">Таблица32[[#This Row],[Ishga vaqtida kelish nazoratchi]]+Таблица32[[#This Row],[Nazoratchi2]]</f>
        <v>50000</v>
      </c>
      <c r="AG10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100000</v>
      </c>
      <c r="AH103" s="177" t="n">
        <f aca="false">Таблица32[[#This Row],[Ishga kelish bank klient3]]+Таблица32[[#This Row],[Gruppa bank klient 2]]</f>
        <v>200000</v>
      </c>
    </row>
    <row r="104" customFormat="false" ht="17.35" hidden="false" customHeight="false" outlineLevel="0" collapsed="false">
      <c r="A104" s="112" t="n">
        <v>102</v>
      </c>
      <c r="B104" s="114" t="s">
        <v>312</v>
      </c>
      <c r="C104" s="120" t="s">
        <v>217</v>
      </c>
      <c r="D104" s="114"/>
      <c r="E104" s="115" t="n">
        <f aca="false">2500000</f>
        <v>2500000</v>
      </c>
      <c r="F104" s="113" t="s">
        <v>210</v>
      </c>
      <c r="G104" s="174" t="n">
        <v>0.9</v>
      </c>
      <c r="H104" s="174"/>
      <c r="I104" s="179"/>
      <c r="J104" s="174" t="n">
        <v>-0.5</v>
      </c>
      <c r="K104" s="174"/>
      <c r="L104" s="175" t="n">
        <v>0.25</v>
      </c>
      <c r="M104" s="175" t="n">
        <v>0.25</v>
      </c>
      <c r="N104" s="175"/>
      <c r="O104" s="175"/>
      <c r="P104" s="175" t="n">
        <v>0.25</v>
      </c>
      <c r="Q104" s="175" t="n">
        <v>0</v>
      </c>
      <c r="R104" s="175" t="n">
        <v>0.2</v>
      </c>
      <c r="S104" s="175" t="n">
        <v>0.2</v>
      </c>
      <c r="T104" s="175" t="n">
        <v>0.2</v>
      </c>
      <c r="U104" s="175" t="n">
        <v>-0.2</v>
      </c>
      <c r="V104" s="174" t="n">
        <v>-0.5</v>
      </c>
      <c r="W104" s="176" t="n">
        <f aca="false">Таблица32[[#This Row],[Столбец7]]*Таблица32[[#This Row],[Ishga kelish nazoratchi2]]%</f>
        <v>0</v>
      </c>
      <c r="X104" s="177" t="n">
        <f aca="false">Таблица32[[#This Row],[Столбец7]]*Таблица32[[#This Row],[Ishga vaqtida kelish ketish]]%</f>
        <v>22500</v>
      </c>
      <c r="Y104" s="177" t="n">
        <f aca="false">Таблица32[[#This Row],[Столбец7]]*Таблица32[[#This Row],[Ishga kelish bank klient]]%</f>
        <v>0</v>
      </c>
      <c r="Z104" s="177" t="n">
        <f aca="false">Таблица32[[#This Row],[Столбец7]]*Таблица32[[#This Row],[Gruppa buxgalter]]%</f>
        <v>-12500</v>
      </c>
      <c r="AA104" s="177" t="n">
        <f aca="false">Таблица32[[#This Row],[Столбец7]]*Таблица32[[#This Row],[Gruppa bank klient ]]%</f>
        <v>0</v>
      </c>
      <c r="AB104" s="177" t="n">
        <f aca="false">Таблица32[[#This Row],[1c]]*Таблица32[[#This Row],[Столбец7]]/100</f>
        <v>0</v>
      </c>
      <c r="AC104" s="178" t="n">
        <f aca="false">SUM(Таблица32[[#This Row],[Didox]:[ мехнат]],Таблица32[[#This Row],[Avtokameral]])*Таблица32[[#This Row],[Столбец7]]/100</f>
        <v>18750</v>
      </c>
      <c r="AD104" s="178" t="n">
        <f aca="false">SUM(Таблица32[[#This Row],[Pul oqimlari]:[Foyda va zarar]])*Таблица32[[#This Row],[Столбец7]]/100</f>
        <v>10000</v>
      </c>
      <c r="AE104" s="177" t="n">
        <f aca="false">Таблица32[[#This Row],[Столбец7]]*Таблица32[[#This Row],[Nazoratchi]]%</f>
        <v>-12500</v>
      </c>
      <c r="AF104" s="177" t="n">
        <f aca="false">Таблица32[[#This Row],[Ishga vaqtida kelish nazoratchi]]+Таблица32[[#This Row],[Nazoratchi2]]</f>
        <v>-12500</v>
      </c>
      <c r="AG10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38750</v>
      </c>
      <c r="AH104" s="177" t="n">
        <f aca="false">Таблица32[[#This Row],[Ishga kelish bank klient3]]+Таблица32[[#This Row],[Gruppa bank klient 2]]</f>
        <v>0</v>
      </c>
    </row>
    <row r="105" customFormat="false" ht="17.35" hidden="false" customHeight="false" outlineLevel="0" collapsed="false">
      <c r="A105" s="112" t="n">
        <v>103</v>
      </c>
      <c r="B105" s="114" t="s">
        <v>313</v>
      </c>
      <c r="C105" s="120" t="s">
        <v>217</v>
      </c>
      <c r="D105" s="114" t="s">
        <v>238</v>
      </c>
      <c r="E105" s="115" t="n">
        <v>2000000</v>
      </c>
      <c r="F105" s="113" t="s">
        <v>210</v>
      </c>
      <c r="G105" s="174" t="n">
        <v>0.9</v>
      </c>
      <c r="H105" s="174" t="n">
        <v>1</v>
      </c>
      <c r="I105" s="182"/>
      <c r="J105" s="174" t="n">
        <v>-1</v>
      </c>
      <c r="K105" s="174" t="n">
        <v>1</v>
      </c>
      <c r="L105" s="175" t="n">
        <v>0.25</v>
      </c>
      <c r="M105" s="175" t="n">
        <v>0.25</v>
      </c>
      <c r="N105" s="175" t="n">
        <v>0.25</v>
      </c>
      <c r="O105" s="175"/>
      <c r="P105" s="175" t="n">
        <v>-0.25</v>
      </c>
      <c r="Q105" s="175" t="n">
        <v>0.2</v>
      </c>
      <c r="R105" s="175" t="n">
        <v>0.2</v>
      </c>
      <c r="S105" s="175" t="n">
        <v>0.2</v>
      </c>
      <c r="T105" s="175" t="n">
        <v>-0.2</v>
      </c>
      <c r="U105" s="175" t="n">
        <v>-0.2</v>
      </c>
      <c r="V105" s="117" t="n">
        <v>-1</v>
      </c>
      <c r="W105" s="176" t="n">
        <f aca="false">Таблица32[[#This Row],[Столбец7]]*Таблица32[[#This Row],[Ishga kelish nazoratchi2]]%</f>
        <v>0</v>
      </c>
      <c r="X105" s="177" t="n">
        <f aca="false">Таблица32[[#This Row],[Столбец7]]*Таблица32[[#This Row],[Ishga vaqtida kelish ketish]]%</f>
        <v>18000</v>
      </c>
      <c r="Y105" s="177" t="n">
        <f aca="false">Таблица32[[#This Row],[Столбец7]]*Таблица32[[#This Row],[Ishga kelish bank klient]]%</f>
        <v>20000</v>
      </c>
      <c r="Z105" s="177" t="n">
        <f aca="false">Таблица32[[#This Row],[Столбец7]]*Таблица32[[#This Row],[Gruppa buxgalter]]%</f>
        <v>-20000</v>
      </c>
      <c r="AA105" s="177" t="n">
        <f aca="false">Таблица32[[#This Row],[Столбец7]]*Таблица32[[#This Row],[Gruppa bank klient ]]%</f>
        <v>20000</v>
      </c>
      <c r="AB105" s="177" t="n">
        <f aca="false">Таблица32[[#This Row],[1c]]*Таблица32[[#This Row],[Столбец7]]/100</f>
        <v>0</v>
      </c>
      <c r="AC105" s="178" t="n">
        <f aca="false">SUM(Таблица32[[#This Row],[Didox]:[ мехнат]],Таблица32[[#This Row],[Avtokameral]])*Таблица32[[#This Row],[Столбец7]]/100</f>
        <v>10000</v>
      </c>
      <c r="AD105" s="178" t="n">
        <f aca="false">SUM(Таблица32[[#This Row],[Pul oqimlari]:[Foyda va zarar]])*Таблица32[[#This Row],[Столбец7]]/100</f>
        <v>4000</v>
      </c>
      <c r="AE105" s="177" t="n">
        <f aca="false">Таблица32[[#This Row],[Столбец7]]*Таблица32[[#This Row],[Nazoratchi]]%</f>
        <v>-20000</v>
      </c>
      <c r="AF105" s="177" t="n">
        <f aca="false">Таблица32[[#This Row],[Ishga vaqtida kelish nazoratchi]]+Таблица32[[#This Row],[Nazoratchi2]]</f>
        <v>-20000</v>
      </c>
      <c r="AG10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12000</v>
      </c>
      <c r="AH105" s="177" t="n">
        <f aca="false">Таблица32[[#This Row],[Ishga kelish bank klient3]]+Таблица32[[#This Row],[Gruppa bank klient 2]]</f>
        <v>40000</v>
      </c>
    </row>
    <row r="106" customFormat="false" ht="17.35" hidden="false" customHeight="false" outlineLevel="0" collapsed="false">
      <c r="A106" s="112" t="n">
        <v>104</v>
      </c>
      <c r="B106" s="114" t="s">
        <v>314</v>
      </c>
      <c r="C106" s="113" t="s">
        <v>208</v>
      </c>
      <c r="D106" s="113" t="s">
        <v>224</v>
      </c>
      <c r="E106" s="129" t="n">
        <v>2500000</v>
      </c>
      <c r="F106" s="113" t="s">
        <v>210</v>
      </c>
      <c r="G106" s="174"/>
      <c r="H106" s="174" t="n">
        <v>1</v>
      </c>
      <c r="I106" s="174"/>
      <c r="J106" s="174" t="n">
        <v>1</v>
      </c>
      <c r="K106" s="174" t="n">
        <v>1</v>
      </c>
      <c r="L106" s="183" t="n">
        <v>-0.25</v>
      </c>
      <c r="M106" s="183" t="n">
        <v>-0.25</v>
      </c>
      <c r="N106" s="181"/>
      <c r="O106" s="181"/>
      <c r="P106" s="183" t="n">
        <v>0.25</v>
      </c>
      <c r="Q106" s="175" t="n">
        <v>0</v>
      </c>
      <c r="R106" s="175" t="n">
        <v>0.2</v>
      </c>
      <c r="S106" s="175" t="n">
        <v>0.2</v>
      </c>
      <c r="T106" s="175" t="n">
        <v>0.2</v>
      </c>
      <c r="U106" s="175" t="n">
        <v>0.2</v>
      </c>
      <c r="V106" s="117" t="n">
        <v>0.5</v>
      </c>
      <c r="W106" s="176" t="n">
        <f aca="false">Таблица32[[#This Row],[Столбец7]]*Таблица32[[#This Row],[Ishga kelish nazoratchi2]]%</f>
        <v>0</v>
      </c>
      <c r="X106" s="177" t="n">
        <f aca="false">Таблица32[[#This Row],[Столбец7]]*Таблица32[[#This Row],[Ishga vaqtida kelish ketish]]%</f>
        <v>0</v>
      </c>
      <c r="Y106" s="177" t="n">
        <f aca="false">Таблица32[[#This Row],[Столбец7]]*Таблица32[[#This Row],[Ishga kelish bank klient]]%</f>
        <v>25000</v>
      </c>
      <c r="Z106" s="177" t="n">
        <f aca="false">Таблица32[[#This Row],[Столбец7]]*Таблица32[[#This Row],[Gruppa buxgalter]]%</f>
        <v>25000</v>
      </c>
      <c r="AA106" s="177" t="n">
        <f aca="false">Таблица32[[#This Row],[Столбец7]]*Таблица32[[#This Row],[Gruppa bank klient ]]%</f>
        <v>25000</v>
      </c>
      <c r="AB106" s="177" t="n">
        <f aca="false">Таблица32[[#This Row],[1c]]*Таблица32[[#This Row],[Столбец7]]/100</f>
        <v>0</v>
      </c>
      <c r="AC106" s="178" t="n">
        <f aca="false">SUM(Таблица32[[#This Row],[Didox]:[ мехнат]],Таблица32[[#This Row],[Avtokameral]])*Таблица32[[#This Row],[Столбец7]]/100</f>
        <v>-6250</v>
      </c>
      <c r="AD106" s="178" t="n">
        <f aca="false">SUM(Таблица32[[#This Row],[Pul oqimlari]:[Foyda va zarar]])*Таблица32[[#This Row],[Столбец7]]/100</f>
        <v>20000</v>
      </c>
      <c r="AE106" s="177" t="n">
        <f aca="false">Таблица32[[#This Row],[Столбец7]]*Таблица32[[#This Row],[Nazoratchi]]%</f>
        <v>12500</v>
      </c>
      <c r="AF106" s="177" t="n">
        <f aca="false">Таблица32[[#This Row],[Ishga vaqtida kelish nazoratchi]]+Таблица32[[#This Row],[Nazoratchi2]]</f>
        <v>12500</v>
      </c>
      <c r="AG10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38750</v>
      </c>
      <c r="AH106" s="177" t="n">
        <f aca="false">Таблица32[[#This Row],[Ishga kelish bank klient3]]+Таблица32[[#This Row],[Gruppa bank klient 2]]</f>
        <v>50000</v>
      </c>
    </row>
    <row r="107" customFormat="false" ht="17.35" hidden="false" customHeight="false" outlineLevel="0" collapsed="false">
      <c r="A107" s="112" t="n">
        <v>105</v>
      </c>
      <c r="B107" s="133" t="s">
        <v>315</v>
      </c>
      <c r="C107" s="113" t="s">
        <v>210</v>
      </c>
      <c r="D107" s="133" t="s">
        <v>238</v>
      </c>
      <c r="E107" s="135" t="n">
        <v>2000000</v>
      </c>
      <c r="F107" s="113" t="s">
        <v>213</v>
      </c>
      <c r="G107" s="174" t="n">
        <v>0.05</v>
      </c>
      <c r="H107" s="174" t="n">
        <v>1</v>
      </c>
      <c r="I107" s="174"/>
      <c r="J107" s="174" t="n">
        <v>1</v>
      </c>
      <c r="K107" s="174" t="n">
        <v>1</v>
      </c>
      <c r="L107" s="175" t="n">
        <v>0.25</v>
      </c>
      <c r="M107" s="175" t="n">
        <v>0.25</v>
      </c>
      <c r="N107" s="175" t="n">
        <v>0.25</v>
      </c>
      <c r="O107" s="175" t="n">
        <v>1</v>
      </c>
      <c r="P107" s="175" t="n">
        <v>0.25</v>
      </c>
      <c r="Q107" s="175" t="n">
        <v>0.2</v>
      </c>
      <c r="R107" s="175" t="n">
        <v>0.2</v>
      </c>
      <c r="S107" s="175" t="n">
        <v>0.2</v>
      </c>
      <c r="T107" s="175" t="n">
        <v>0.2</v>
      </c>
      <c r="U107" s="175" t="n">
        <v>0.2</v>
      </c>
      <c r="V107" s="174" t="n">
        <v>0.5</v>
      </c>
      <c r="W107" s="176" t="n">
        <f aca="false">Таблица32[[#This Row],[Столбец7]]*Таблица32[[#This Row],[Ishga kelish nazoratchi2]]%</f>
        <v>0</v>
      </c>
      <c r="X107" s="177" t="n">
        <f aca="false">Таблица32[[#This Row],[Столбец7]]*Таблица32[[#This Row],[Ishga vaqtida kelish ketish]]%</f>
        <v>1000</v>
      </c>
      <c r="Y107" s="177" t="n">
        <f aca="false">Таблица32[[#This Row],[Столбец7]]*Таблица32[[#This Row],[Ishga kelish bank klient]]%</f>
        <v>20000</v>
      </c>
      <c r="Z107" s="177" t="n">
        <f aca="false">Таблица32[[#This Row],[Столбец7]]*Таблица32[[#This Row],[Gruppa buxgalter]]%</f>
        <v>20000</v>
      </c>
      <c r="AA107" s="177" t="n">
        <f aca="false">Таблица32[[#This Row],[Столбец7]]*Таблица32[[#This Row],[Gruppa bank klient ]]%</f>
        <v>20000</v>
      </c>
      <c r="AB107" s="177" t="n">
        <f aca="false">Таблица32[[#This Row],[1c]]*Таблица32[[#This Row],[Столбец7]]/100</f>
        <v>20000</v>
      </c>
      <c r="AC107" s="178" t="n">
        <f aca="false">SUM(Таблица32[[#This Row],[Didox]:[ мехнат]],Таблица32[[#This Row],[Avtokameral]])*Таблица32[[#This Row],[Столбец7]]/100</f>
        <v>20000</v>
      </c>
      <c r="AD107" s="178" t="n">
        <f aca="false">SUM(Таблица32[[#This Row],[Pul oqimlari]:[Foyda va zarar]])*Таблица32[[#This Row],[Столбец7]]/100</f>
        <v>20000</v>
      </c>
      <c r="AE107" s="177" t="n">
        <f aca="false">Таблица32[[#This Row],[Столбец7]]*Таблица32[[#This Row],[Nazoratchi]]%</f>
        <v>10000</v>
      </c>
      <c r="AF107" s="177" t="n">
        <f aca="false">Таблица32[[#This Row],[Ishga vaqtida kelish nazoratchi]]+Таблица32[[#This Row],[Nazoratchi2]]</f>
        <v>10000</v>
      </c>
      <c r="AG10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81000</v>
      </c>
      <c r="AH107" s="177" t="n">
        <f aca="false">Таблица32[[#This Row],[Ishga kelish bank klient3]]+Таблица32[[#This Row],[Gruppa bank klient 2]]</f>
        <v>40000</v>
      </c>
    </row>
    <row r="108" customFormat="false" ht="17.35" hidden="false" customHeight="false" outlineLevel="0" collapsed="false">
      <c r="A108" s="112" t="n">
        <v>106</v>
      </c>
      <c r="B108" s="133" t="s">
        <v>316</v>
      </c>
      <c r="C108" s="136" t="s">
        <v>208</v>
      </c>
      <c r="D108" s="113" t="s">
        <v>224</v>
      </c>
      <c r="E108" s="134" t="n">
        <v>2000000</v>
      </c>
      <c r="F108" s="113" t="s">
        <v>210</v>
      </c>
      <c r="G108" s="174"/>
      <c r="H108" s="174" t="n">
        <v>1</v>
      </c>
      <c r="I108" s="174"/>
      <c r="J108" s="174" t="n">
        <v>1</v>
      </c>
      <c r="K108" s="174" t="n">
        <v>1</v>
      </c>
      <c r="L108" s="175" t="n">
        <v>0.25</v>
      </c>
      <c r="M108" s="175" t="n">
        <v>-0.25</v>
      </c>
      <c r="N108" s="175"/>
      <c r="O108" s="175"/>
      <c r="P108" s="175" t="n">
        <v>-0.25</v>
      </c>
      <c r="Q108" s="175" t="n">
        <v>0</v>
      </c>
      <c r="R108" s="175" t="n">
        <v>0.2</v>
      </c>
      <c r="S108" s="175" t="n">
        <v>0.2</v>
      </c>
      <c r="T108" s="175" t="n">
        <v>0.2</v>
      </c>
      <c r="U108" s="175" t="n">
        <v>0.2</v>
      </c>
      <c r="V108" s="117" t="n">
        <v>0.5</v>
      </c>
      <c r="W108" s="176" t="n">
        <f aca="false">Таблица32[[#This Row],[Столбец7]]*Таблица32[[#This Row],[Ishga kelish nazoratchi2]]%</f>
        <v>0</v>
      </c>
      <c r="X108" s="177" t="n">
        <f aca="false">Таблица32[[#This Row],[Столбец7]]*Таблица32[[#This Row],[Ishga vaqtida kelish ketish]]%</f>
        <v>0</v>
      </c>
      <c r="Y108" s="177" t="n">
        <f aca="false">Таблица32[[#This Row],[Столбец7]]*Таблица32[[#This Row],[Ishga kelish bank klient]]%</f>
        <v>20000</v>
      </c>
      <c r="Z108" s="177" t="n">
        <f aca="false">Таблица32[[#This Row],[Столбец7]]*Таблица32[[#This Row],[Gruppa buxgalter]]%</f>
        <v>20000</v>
      </c>
      <c r="AA108" s="177" t="n">
        <f aca="false">Таблица32[[#This Row],[Столбец7]]*Таблица32[[#This Row],[Gruppa bank klient ]]%</f>
        <v>20000</v>
      </c>
      <c r="AB108" s="177" t="n">
        <f aca="false">Таблица32[[#This Row],[1c]]*Таблица32[[#This Row],[Столбец7]]/100</f>
        <v>0</v>
      </c>
      <c r="AC108" s="178" t="n">
        <f aca="false">SUM(Таблица32[[#This Row],[Didox]:[ мехнат]],Таблица32[[#This Row],[Avtokameral]])*Таблица32[[#This Row],[Столбец7]]/100</f>
        <v>-5000</v>
      </c>
      <c r="AD108" s="178" t="n">
        <f aca="false">SUM(Таблица32[[#This Row],[Pul oqimlari]:[Foyda va zarar]])*Таблица32[[#This Row],[Столбец7]]/100</f>
        <v>16000</v>
      </c>
      <c r="AE108" s="177" t="n">
        <f aca="false">Таблица32[[#This Row],[Столбец7]]*Таблица32[[#This Row],[Nazoratchi]]%</f>
        <v>10000</v>
      </c>
      <c r="AF108" s="177" t="n">
        <f aca="false">Таблица32[[#This Row],[Ishga vaqtida kelish nazoratchi]]+Таблица32[[#This Row],[Nazoratchi2]]</f>
        <v>10000</v>
      </c>
      <c r="AG10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31000</v>
      </c>
      <c r="AH108" s="177" t="n">
        <f aca="false">Таблица32[[#This Row],[Ishga kelish bank klient3]]+Таблица32[[#This Row],[Gruppa bank klient 2]]</f>
        <v>40000</v>
      </c>
    </row>
    <row r="109" customFormat="false" ht="17.35" hidden="false" customHeight="false" outlineLevel="0" collapsed="false">
      <c r="A109" s="112" t="n">
        <v>107</v>
      </c>
      <c r="B109" s="133" t="s">
        <v>317</v>
      </c>
      <c r="C109" s="113" t="s">
        <v>224</v>
      </c>
      <c r="D109" s="113" t="s">
        <v>224</v>
      </c>
      <c r="E109" s="134" t="n">
        <v>700000</v>
      </c>
      <c r="F109" s="113" t="s">
        <v>210</v>
      </c>
      <c r="G109" s="174"/>
      <c r="H109" s="174" t="n">
        <v>1</v>
      </c>
      <c r="I109" s="174"/>
      <c r="J109" s="174"/>
      <c r="K109" s="174" t="n">
        <v>1</v>
      </c>
      <c r="L109" s="183" t="n">
        <v>-0.25</v>
      </c>
      <c r="M109" s="181" t="n">
        <v>0.25</v>
      </c>
      <c r="N109" s="181"/>
      <c r="O109" s="181"/>
      <c r="P109" s="175" t="n">
        <v>0.25</v>
      </c>
      <c r="Q109" s="175" t="n">
        <v>0</v>
      </c>
      <c r="R109" s="175" t="n">
        <v>0</v>
      </c>
      <c r="S109" s="175" t="n">
        <v>0</v>
      </c>
      <c r="T109" s="175" t="n">
        <v>0</v>
      </c>
      <c r="U109" s="175" t="n">
        <v>0</v>
      </c>
      <c r="V109" s="117"/>
      <c r="W109" s="176" t="n">
        <f aca="false">Таблица32[[#This Row],[Столбец7]]*Таблица32[[#This Row],[Ishga kelish nazoratchi2]]%</f>
        <v>0</v>
      </c>
      <c r="X109" s="177" t="n">
        <f aca="false">Таблица32[[#This Row],[Столбец7]]*Таблица32[[#This Row],[Ishga vaqtida kelish ketish]]%</f>
        <v>0</v>
      </c>
      <c r="Y109" s="177" t="n">
        <f aca="false">Таблица32[[#This Row],[Столбец7]]*Таблица32[[#This Row],[Ishga kelish bank klient]]%</f>
        <v>7000</v>
      </c>
      <c r="Z109" s="177" t="n">
        <f aca="false">Таблица32[[#This Row],[Столбец7]]*Таблица32[[#This Row],[Gruppa buxgalter]]%</f>
        <v>0</v>
      </c>
      <c r="AA109" s="177" t="n">
        <f aca="false">Таблица32[[#This Row],[Столбец7]]*Таблица32[[#This Row],[Gruppa bank klient ]]%</f>
        <v>7000</v>
      </c>
      <c r="AB109" s="177" t="n">
        <f aca="false">Таблица32[[#This Row],[1c]]*Таблица32[[#This Row],[Столбец7]]/100</f>
        <v>0</v>
      </c>
      <c r="AC109" s="178" t="n">
        <f aca="false">SUM(Таблица32[[#This Row],[Didox]:[ мехнат]],Таблица32[[#This Row],[Avtokameral]])*Таблица32[[#This Row],[Столбец7]]/100</f>
        <v>1750</v>
      </c>
      <c r="AD109" s="178" t="n">
        <f aca="false">SUM(Таблица32[[#This Row],[Pul oqimlari]:[Foyda va zarar]])*Таблица32[[#This Row],[Столбец7]]/100</f>
        <v>0</v>
      </c>
      <c r="AE109" s="177" t="n">
        <f aca="false">Таблица32[[#This Row],[Столбец7]]*Таблица32[[#This Row],[Nazoratchi]]%</f>
        <v>0</v>
      </c>
      <c r="AF109" s="177" t="n">
        <f aca="false">Таблица32[[#This Row],[Ishga vaqtida kelish nazoratchi]]+Таблица32[[#This Row],[Nazoratchi2]]</f>
        <v>0</v>
      </c>
      <c r="AG10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1750</v>
      </c>
      <c r="AH109" s="177" t="n">
        <f aca="false">Таблица32[[#This Row],[Ishga kelish bank klient3]]+Таблица32[[#This Row],[Gruppa bank klient 2]]</f>
        <v>14000</v>
      </c>
    </row>
    <row r="110" customFormat="false" ht="17.35" hidden="false" customHeight="false" outlineLevel="0" collapsed="false">
      <c r="A110" s="112" t="n">
        <v>108</v>
      </c>
      <c r="B110" s="133" t="s">
        <v>318</v>
      </c>
      <c r="C110" s="136" t="s">
        <v>216</v>
      </c>
      <c r="D110" s="133" t="s">
        <v>238</v>
      </c>
      <c r="E110" s="137" t="n">
        <v>1500000</v>
      </c>
      <c r="F110" s="113" t="s">
        <v>210</v>
      </c>
      <c r="G110" s="174" t="n">
        <v>-0.25</v>
      </c>
      <c r="H110" s="174" t="n">
        <v>1</v>
      </c>
      <c r="I110" s="174"/>
      <c r="J110" s="174" t="n">
        <v>1</v>
      </c>
      <c r="K110" s="174" t="n">
        <v>1</v>
      </c>
      <c r="L110" s="175" t="n">
        <v>0.25</v>
      </c>
      <c r="M110" s="175" t="n">
        <v>0.25</v>
      </c>
      <c r="N110" s="175" t="n">
        <v>0.25</v>
      </c>
      <c r="O110" s="175" t="n">
        <v>1</v>
      </c>
      <c r="P110" s="175" t="n">
        <v>0.25</v>
      </c>
      <c r="Q110" s="175" t="n">
        <v>0.2</v>
      </c>
      <c r="R110" s="175" t="n">
        <v>0.2</v>
      </c>
      <c r="S110" s="175" t="n">
        <v>0.2</v>
      </c>
      <c r="T110" s="175" t="n">
        <v>0.2</v>
      </c>
      <c r="U110" s="175" t="n">
        <v>0.2</v>
      </c>
      <c r="V110" s="117" t="n">
        <v>0.5</v>
      </c>
      <c r="W110" s="176" t="n">
        <f aca="false">Таблица32[[#This Row],[Столбец7]]*Таблица32[[#This Row],[Ishga kelish nazoratchi2]]%</f>
        <v>0</v>
      </c>
      <c r="X110" s="177" t="n">
        <f aca="false">Таблица32[[#This Row],[Столбец7]]*Таблица32[[#This Row],[Ishga vaqtida kelish ketish]]%</f>
        <v>-3750</v>
      </c>
      <c r="Y110" s="177" t="n">
        <f aca="false">Таблица32[[#This Row],[Столбец7]]*Таблица32[[#This Row],[Ishga kelish bank klient]]%</f>
        <v>15000</v>
      </c>
      <c r="Z110" s="177" t="n">
        <f aca="false">Таблица32[[#This Row],[Столбец7]]*Таблица32[[#This Row],[Gruppa buxgalter]]%</f>
        <v>15000</v>
      </c>
      <c r="AA110" s="177" t="n">
        <f aca="false">Таблица32[[#This Row],[Столбец7]]*Таблица32[[#This Row],[Gruppa bank klient ]]%</f>
        <v>15000</v>
      </c>
      <c r="AB110" s="177" t="n">
        <f aca="false">Таблица32[[#This Row],[1c]]*Таблица32[[#This Row],[Столбец7]]/100</f>
        <v>15000</v>
      </c>
      <c r="AC110" s="178" t="n">
        <f aca="false">SUM(Таблица32[[#This Row],[Didox]:[ мехнат]],Таблица32[[#This Row],[Avtokameral]])*Таблица32[[#This Row],[Столбец7]]/100</f>
        <v>15000</v>
      </c>
      <c r="AD110" s="178" t="n">
        <f aca="false">SUM(Таблица32[[#This Row],[Pul oqimlari]:[Foyda va zarar]])*Таблица32[[#This Row],[Столбец7]]/100</f>
        <v>15000</v>
      </c>
      <c r="AE110" s="177" t="n">
        <f aca="false">Таблица32[[#This Row],[Столбец7]]*Таблица32[[#This Row],[Nazoratchi]]%</f>
        <v>7500</v>
      </c>
      <c r="AF110" s="177" t="n">
        <f aca="false">Таблица32[[#This Row],[Ishga vaqtida kelish nazoratchi]]+Таблица32[[#This Row],[Nazoratchi2]]</f>
        <v>7500</v>
      </c>
      <c r="AG11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56250</v>
      </c>
      <c r="AH110" s="177" t="n">
        <f aca="false">Таблица32[[#This Row],[Ishga kelish bank klient3]]+Таблица32[[#This Row],[Gruppa bank klient 2]]</f>
        <v>30000</v>
      </c>
    </row>
    <row r="111" customFormat="false" ht="17.35" hidden="false" customHeight="false" outlineLevel="0" collapsed="false">
      <c r="A111" s="112" t="n">
        <v>109</v>
      </c>
      <c r="B111" s="133" t="s">
        <v>319</v>
      </c>
      <c r="C111" s="136" t="s">
        <v>216</v>
      </c>
      <c r="D111" s="133" t="s">
        <v>238</v>
      </c>
      <c r="E111" s="134" t="n">
        <v>3000000</v>
      </c>
      <c r="F111" s="113" t="s">
        <v>210</v>
      </c>
      <c r="G111" s="174" t="n">
        <v>-0.25</v>
      </c>
      <c r="H111" s="174" t="n">
        <v>1</v>
      </c>
      <c r="I111" s="174"/>
      <c r="J111" s="174" t="n">
        <v>1</v>
      </c>
      <c r="K111" s="174" t="n">
        <v>1</v>
      </c>
      <c r="L111" s="175" t="n">
        <v>0.25</v>
      </c>
      <c r="M111" s="175" t="n">
        <v>0.25</v>
      </c>
      <c r="N111" s="175"/>
      <c r="O111" s="175" t="n">
        <v>1</v>
      </c>
      <c r="P111" s="180" t="n">
        <v>0.25</v>
      </c>
      <c r="Q111" s="175" t="n">
        <v>0.2</v>
      </c>
      <c r="R111" s="175" t="n">
        <v>0.2</v>
      </c>
      <c r="S111" s="175" t="n">
        <v>0.2</v>
      </c>
      <c r="T111" s="175" t="n">
        <v>0.2</v>
      </c>
      <c r="U111" s="175" t="n">
        <v>0.2</v>
      </c>
      <c r="V111" s="117" t="n">
        <v>0.5</v>
      </c>
      <c r="W111" s="176" t="n">
        <f aca="false">Таблица32[[#This Row],[Столбец7]]*Таблица32[[#This Row],[Ishga kelish nazoratchi2]]%</f>
        <v>0</v>
      </c>
      <c r="X111" s="177" t="n">
        <f aca="false">Таблица32[[#This Row],[Столбец7]]*Таблица32[[#This Row],[Ishga vaqtida kelish ketish]]%</f>
        <v>-7500</v>
      </c>
      <c r="Y111" s="177" t="n">
        <f aca="false">Таблица32[[#This Row],[Столбец7]]*Таблица32[[#This Row],[Ishga kelish bank klient]]%</f>
        <v>30000</v>
      </c>
      <c r="Z111" s="177" t="n">
        <f aca="false">Таблица32[[#This Row],[Столбец7]]*Таблица32[[#This Row],[Gruppa buxgalter]]%</f>
        <v>30000</v>
      </c>
      <c r="AA111" s="177" t="n">
        <f aca="false">Таблица32[[#This Row],[Столбец7]]*Таблица32[[#This Row],[Gruppa bank klient ]]%</f>
        <v>30000</v>
      </c>
      <c r="AB111" s="177" t="n">
        <f aca="false">Таблица32[[#This Row],[1c]]*Таблица32[[#This Row],[Столбец7]]/100</f>
        <v>30000</v>
      </c>
      <c r="AC111" s="178" t="n">
        <f aca="false">SUM(Таблица32[[#This Row],[Didox]:[ мехнат]],Таблица32[[#This Row],[Avtokameral]])*Таблица32[[#This Row],[Столбец7]]/100</f>
        <v>22500</v>
      </c>
      <c r="AD111" s="178" t="n">
        <f aca="false">SUM(Таблица32[[#This Row],[Pul oqimlari]:[Foyda va zarar]])*Таблица32[[#This Row],[Столбец7]]/100</f>
        <v>30000</v>
      </c>
      <c r="AE111" s="177" t="n">
        <f aca="false">Таблица32[[#This Row],[Столбец7]]*Таблица32[[#This Row],[Nazoratchi]]%</f>
        <v>15000</v>
      </c>
      <c r="AF111" s="177" t="n">
        <f aca="false">Таблица32[[#This Row],[Ishga vaqtida kelish nazoratchi]]+Таблица32[[#This Row],[Nazoratchi2]]</f>
        <v>15000</v>
      </c>
      <c r="AG11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105000</v>
      </c>
      <c r="AH111" s="177" t="n">
        <f aca="false">Таблица32[[#This Row],[Ishga kelish bank klient3]]+Таблица32[[#This Row],[Gruppa bank klient 2]]</f>
        <v>60000</v>
      </c>
    </row>
    <row r="112" customFormat="false" ht="17.35" hidden="false" customHeight="false" outlineLevel="0" collapsed="false">
      <c r="A112" s="112" t="n">
        <v>110</v>
      </c>
      <c r="B112" s="114" t="s">
        <v>320</v>
      </c>
      <c r="C112" s="113" t="s">
        <v>213</v>
      </c>
      <c r="D112" s="113" t="s">
        <v>224</v>
      </c>
      <c r="E112" s="115" t="n">
        <v>1000000</v>
      </c>
      <c r="F112" s="113" t="s">
        <v>210</v>
      </c>
      <c r="G112" s="174" t="n">
        <v>-0.8</v>
      </c>
      <c r="H112" s="174" t="n">
        <v>1</v>
      </c>
      <c r="I112" s="174"/>
      <c r="J112" s="174" t="n">
        <v>1</v>
      </c>
      <c r="K112" s="174" t="n">
        <v>1</v>
      </c>
      <c r="L112" s="175" t="n">
        <v>0.25</v>
      </c>
      <c r="M112" s="175" t="n">
        <v>0.25</v>
      </c>
      <c r="N112" s="175" t="n">
        <v>0.25</v>
      </c>
      <c r="O112" s="175"/>
      <c r="P112" s="180" t="n">
        <v>0.25</v>
      </c>
      <c r="Q112" s="175" t="n">
        <v>0.2</v>
      </c>
      <c r="R112" s="175" t="n">
        <v>0.2</v>
      </c>
      <c r="S112" s="175" t="n">
        <v>0.2</v>
      </c>
      <c r="T112" s="175" t="n">
        <v>0.2</v>
      </c>
      <c r="U112" s="175" t="n">
        <v>-0.2</v>
      </c>
      <c r="V112" s="117" t="n">
        <v>0.5</v>
      </c>
      <c r="W112" s="176" t="n">
        <f aca="false">Таблица32[[#This Row],[Столбец7]]*Таблица32[[#This Row],[Ishga kelish nazoratchi2]]%</f>
        <v>0</v>
      </c>
      <c r="X112" s="177" t="n">
        <f aca="false">Таблица32[[#This Row],[Столбец7]]*Таблица32[[#This Row],[Ishga vaqtida kelish ketish]]%</f>
        <v>-8000</v>
      </c>
      <c r="Y112" s="177" t="n">
        <f aca="false">Таблица32[[#This Row],[Столбец7]]*Таблица32[[#This Row],[Ishga kelish bank klient]]%</f>
        <v>10000</v>
      </c>
      <c r="Z112" s="177" t="n">
        <f aca="false">Таблица32[[#This Row],[Столбец7]]*Таблица32[[#This Row],[Gruppa buxgalter]]%</f>
        <v>10000</v>
      </c>
      <c r="AA112" s="177" t="n">
        <f aca="false">Таблица32[[#This Row],[Столбец7]]*Таблица32[[#This Row],[Gruppa bank klient ]]%</f>
        <v>10000</v>
      </c>
      <c r="AB112" s="177" t="n">
        <f aca="false">Таблица32[[#This Row],[1c]]*Таблица32[[#This Row],[Столбец7]]/100</f>
        <v>0</v>
      </c>
      <c r="AC112" s="178" t="n">
        <f aca="false">SUM(Таблица32[[#This Row],[Didox]:[ мехнат]],Таблица32[[#This Row],[Avtokameral]])*Таблица32[[#This Row],[Столбец7]]/100</f>
        <v>10000</v>
      </c>
      <c r="AD112" s="178" t="n">
        <f aca="false">SUM(Таблица32[[#This Row],[Pul oqimlari]:[Foyda va zarar]])*Таблица32[[#This Row],[Столбец7]]/100</f>
        <v>6000</v>
      </c>
      <c r="AE112" s="177" t="n">
        <f aca="false">Таблица32[[#This Row],[Столбец7]]*Таблица32[[#This Row],[Nazoratchi]]%</f>
        <v>5000</v>
      </c>
      <c r="AF112" s="177" t="n">
        <f aca="false">Таблица32[[#This Row],[Ishga vaqtida kelish nazoratchi]]+Таблица32[[#This Row],[Nazoratchi2]]</f>
        <v>5000</v>
      </c>
      <c r="AG11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18000</v>
      </c>
      <c r="AH112" s="177" t="n">
        <f aca="false">Таблица32[[#This Row],[Ishga kelish bank klient3]]+Таблица32[[#This Row],[Gruppa bank klient 2]]</f>
        <v>20000</v>
      </c>
    </row>
    <row r="113" customFormat="false" ht="17.35" hidden="false" customHeight="false" outlineLevel="0" collapsed="false">
      <c r="A113" s="112" t="n">
        <v>111</v>
      </c>
      <c r="B113" s="114" t="s">
        <v>321</v>
      </c>
      <c r="C113" s="114" t="s">
        <v>226</v>
      </c>
      <c r="D113" s="113" t="s">
        <v>224</v>
      </c>
      <c r="E113" s="129" t="n">
        <v>700000</v>
      </c>
      <c r="F113" s="113" t="s">
        <v>213</v>
      </c>
      <c r="G113" s="174"/>
      <c r="H113" s="174" t="n">
        <v>1</v>
      </c>
      <c r="I113" s="179"/>
      <c r="J113" s="174" t="n">
        <v>1</v>
      </c>
      <c r="K113" s="174" t="n">
        <v>1</v>
      </c>
      <c r="L113" s="175" t="n">
        <v>0.25</v>
      </c>
      <c r="M113" s="175" t="n">
        <v>0.25</v>
      </c>
      <c r="N113" s="175"/>
      <c r="O113" s="175"/>
      <c r="P113" s="175" t="n">
        <v>0.25</v>
      </c>
      <c r="Q113" s="175" t="n">
        <v>0</v>
      </c>
      <c r="R113" s="175" t="n">
        <v>0</v>
      </c>
      <c r="S113" s="175" t="n">
        <v>0</v>
      </c>
      <c r="T113" s="175" t="n">
        <v>0</v>
      </c>
      <c r="U113" s="175" t="n">
        <v>0</v>
      </c>
      <c r="V113" s="117" t="n">
        <v>0.5</v>
      </c>
      <c r="W113" s="176" t="n">
        <f aca="false">Таблица32[[#This Row],[Столбец7]]*Таблица32[[#This Row],[Ishga kelish nazoratchi2]]%</f>
        <v>0</v>
      </c>
      <c r="X113" s="177" t="n">
        <f aca="false">Таблица32[[#This Row],[Столбец7]]*Таблица32[[#This Row],[Ishga vaqtida kelish ketish]]%</f>
        <v>0</v>
      </c>
      <c r="Y113" s="177" t="n">
        <f aca="false">Таблица32[[#This Row],[Столбец7]]*Таблица32[[#This Row],[Ishga kelish bank klient]]%</f>
        <v>7000</v>
      </c>
      <c r="Z113" s="177" t="n">
        <f aca="false">Таблица32[[#This Row],[Столбец7]]*Таблица32[[#This Row],[Gruppa buxgalter]]%</f>
        <v>7000</v>
      </c>
      <c r="AA113" s="177" t="n">
        <f aca="false">Таблица32[[#This Row],[Столбец7]]*Таблица32[[#This Row],[Gruppa bank klient ]]%</f>
        <v>7000</v>
      </c>
      <c r="AB113" s="177" t="n">
        <f aca="false">Таблица32[[#This Row],[1c]]*Таблица32[[#This Row],[Столбец7]]/100</f>
        <v>0</v>
      </c>
      <c r="AC113" s="178" t="n">
        <f aca="false">SUM(Таблица32[[#This Row],[Didox]:[ мехнат]],Таблица32[[#This Row],[Avtokameral]])*Таблица32[[#This Row],[Столбец7]]/100</f>
        <v>5250</v>
      </c>
      <c r="AD113" s="178" t="n">
        <f aca="false">SUM(Таблица32[[#This Row],[Pul oqimlari]:[Foyda va zarar]])*Таблица32[[#This Row],[Столбец7]]/100</f>
        <v>0</v>
      </c>
      <c r="AE113" s="177" t="n">
        <f aca="false">Таблица32[[#This Row],[Столбец7]]*Таблица32[[#This Row],[Nazoratchi]]%</f>
        <v>3500</v>
      </c>
      <c r="AF113" s="177" t="n">
        <f aca="false">Таблица32[[#This Row],[Ishga vaqtida kelish nazoratchi]]+Таблица32[[#This Row],[Nazoratchi2]]</f>
        <v>3500</v>
      </c>
      <c r="AG11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12250</v>
      </c>
      <c r="AH113" s="177" t="n">
        <f aca="false">Таблица32[[#This Row],[Ishga kelish bank klient3]]+Таблица32[[#This Row],[Gruppa bank klient 2]]</f>
        <v>14000</v>
      </c>
    </row>
    <row r="114" customFormat="false" ht="17.35" hidden="false" customHeight="false" outlineLevel="0" collapsed="false">
      <c r="A114" s="112" t="n">
        <v>112</v>
      </c>
      <c r="B114" s="133" t="s">
        <v>322</v>
      </c>
      <c r="C114" s="136" t="s">
        <v>213</v>
      </c>
      <c r="D114" s="113" t="s">
        <v>239</v>
      </c>
      <c r="E114" s="135" t="n">
        <v>18000000</v>
      </c>
      <c r="F114" s="113" t="s">
        <v>210</v>
      </c>
      <c r="G114" s="174" t="n">
        <v>-0.8</v>
      </c>
      <c r="H114" s="174" t="n">
        <v>1</v>
      </c>
      <c r="I114" s="179"/>
      <c r="J114" s="174" t="n">
        <v>-0.5</v>
      </c>
      <c r="K114" s="174" t="n">
        <v>1</v>
      </c>
      <c r="L114" s="180" t="n">
        <v>0.25</v>
      </c>
      <c r="M114" s="180" t="n">
        <v>0.25</v>
      </c>
      <c r="N114" s="180" t="n">
        <v>0.25</v>
      </c>
      <c r="O114" s="180" t="n">
        <v>1</v>
      </c>
      <c r="P114" s="180" t="n">
        <v>0.25</v>
      </c>
      <c r="Q114" s="175" t="n">
        <v>0.2</v>
      </c>
      <c r="R114" s="175" t="n">
        <v>0.2</v>
      </c>
      <c r="S114" s="175" t="n">
        <v>0.2</v>
      </c>
      <c r="T114" s="175" t="n">
        <v>0.2</v>
      </c>
      <c r="U114" s="175" t="n">
        <v>-0.2</v>
      </c>
      <c r="V114" s="117" t="n">
        <v>-0.5</v>
      </c>
      <c r="W114" s="176" t="n">
        <f aca="false">Таблица32[[#This Row],[Столбец7]]*Таблица32[[#This Row],[Ishga kelish nazoratchi2]]%</f>
        <v>0</v>
      </c>
      <c r="X114" s="177" t="n">
        <f aca="false">Таблица32[[#This Row],[Столбец7]]*Таблица32[[#This Row],[Ishga vaqtida kelish ketish]]%</f>
        <v>-144000</v>
      </c>
      <c r="Y114" s="177" t="n">
        <f aca="false">Таблица32[[#This Row],[Столбец7]]*Таблица32[[#This Row],[Ishga kelish bank klient]]%</f>
        <v>180000</v>
      </c>
      <c r="Z114" s="177" t="n">
        <f aca="false">Таблица32[[#This Row],[Столбец7]]*Таблица32[[#This Row],[Gruppa buxgalter]]%</f>
        <v>-90000</v>
      </c>
      <c r="AA114" s="177" t="n">
        <f aca="false">Таблица32[[#This Row],[Столбец7]]*Таблица32[[#This Row],[Gruppa bank klient ]]%</f>
        <v>180000</v>
      </c>
      <c r="AB114" s="177" t="n">
        <f aca="false">Таблица32[[#This Row],[1c]]*Таблица32[[#This Row],[Столбец7]]/100</f>
        <v>180000</v>
      </c>
      <c r="AC114" s="178" t="n">
        <f aca="false">SUM(Таблица32[[#This Row],[Didox]:[ мехнат]],Таблица32[[#This Row],[Avtokameral]])*Таблица32[[#This Row],[Столбец7]]/100</f>
        <v>180000</v>
      </c>
      <c r="AD114" s="178" t="n">
        <f aca="false">SUM(Таблица32[[#This Row],[Pul oqimlari]:[Foyda va zarar]])*Таблица32[[#This Row],[Столбец7]]/100</f>
        <v>108000</v>
      </c>
      <c r="AE114" s="177" t="n">
        <f aca="false">Таблица32[[#This Row],[Столбец7]]*Таблица32[[#This Row],[Nazoratchi]]%</f>
        <v>-90000</v>
      </c>
      <c r="AF114" s="177" t="n">
        <f aca="false">Таблица32[[#This Row],[Ishga vaqtida kelish nazoratchi]]+Таблица32[[#This Row],[Nazoratchi2]]</f>
        <v>-90000</v>
      </c>
      <c r="AG11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234000</v>
      </c>
      <c r="AH114" s="177" t="n">
        <f aca="false">Таблица32[[#This Row],[Ishga kelish bank klient3]]+Таблица32[[#This Row],[Gruppa bank klient 2]]</f>
        <v>360000</v>
      </c>
    </row>
    <row r="115" customFormat="false" ht="17.35" hidden="false" customHeight="false" outlineLevel="0" collapsed="false">
      <c r="A115" s="112" t="n">
        <v>113</v>
      </c>
      <c r="B115" s="133" t="s">
        <v>323</v>
      </c>
      <c r="C115" s="114" t="s">
        <v>223</v>
      </c>
      <c r="D115" s="133"/>
      <c r="E115" s="134" t="n">
        <v>3000000</v>
      </c>
      <c r="F115" s="113" t="s">
        <v>210</v>
      </c>
      <c r="G115" s="174" t="n">
        <v>-0.8</v>
      </c>
      <c r="H115" s="174"/>
      <c r="I115" s="174"/>
      <c r="J115" s="174" t="n">
        <v>-1</v>
      </c>
      <c r="K115" s="174"/>
      <c r="L115" s="175" t="n">
        <v>0.25</v>
      </c>
      <c r="M115" s="175" t="n">
        <v>0.25</v>
      </c>
      <c r="N115" s="175" t="n">
        <v>0.25</v>
      </c>
      <c r="O115" s="175"/>
      <c r="P115" s="175" t="n">
        <v>-0.25</v>
      </c>
      <c r="Q115" s="175" t="n">
        <v>0.2</v>
      </c>
      <c r="R115" s="175" t="n">
        <v>0.2</v>
      </c>
      <c r="S115" s="175" t="n">
        <v>0.2</v>
      </c>
      <c r="T115" s="175" t="n">
        <v>-0.2</v>
      </c>
      <c r="U115" s="175" t="n">
        <v>-0.2</v>
      </c>
      <c r="V115" s="174" t="n">
        <v>-1</v>
      </c>
      <c r="W115" s="176" t="n">
        <f aca="false">Таблица32[[#This Row],[Столбец7]]*Таблица32[[#This Row],[Ishga kelish nazoratchi2]]%</f>
        <v>0</v>
      </c>
      <c r="X115" s="177" t="n">
        <f aca="false">Таблица32[[#This Row],[Столбец7]]*Таблица32[[#This Row],[Ishga vaqtida kelish ketish]]%</f>
        <v>-24000</v>
      </c>
      <c r="Y115" s="177" t="n">
        <f aca="false">Таблица32[[#This Row],[Столбец7]]*Таблица32[[#This Row],[Ishga kelish bank klient]]%</f>
        <v>0</v>
      </c>
      <c r="Z115" s="177" t="n">
        <f aca="false">Таблица32[[#This Row],[Столбец7]]*Таблица32[[#This Row],[Gruppa buxgalter]]%</f>
        <v>-30000</v>
      </c>
      <c r="AA115" s="177" t="n">
        <f aca="false">Таблица32[[#This Row],[Столбец7]]*Таблица32[[#This Row],[Gruppa bank klient ]]%</f>
        <v>0</v>
      </c>
      <c r="AB115" s="177" t="n">
        <f aca="false">Таблица32[[#This Row],[1c]]*Таблица32[[#This Row],[Столбец7]]/100</f>
        <v>0</v>
      </c>
      <c r="AC115" s="178" t="n">
        <f aca="false">SUM(Таблица32[[#This Row],[Didox]:[ мехнат]],Таблица32[[#This Row],[Avtokameral]])*Таблица32[[#This Row],[Столбец7]]/100</f>
        <v>15000</v>
      </c>
      <c r="AD115" s="178" t="n">
        <f aca="false">SUM(Таблица32[[#This Row],[Pul oqimlari]:[Foyda va zarar]])*Таблица32[[#This Row],[Столбец7]]/100</f>
        <v>6000</v>
      </c>
      <c r="AE115" s="177" t="n">
        <f aca="false">Таблица32[[#This Row],[Столбец7]]*Таблица32[[#This Row],[Nazoratchi]]%</f>
        <v>-30000</v>
      </c>
      <c r="AF115" s="177" t="n">
        <f aca="false">Таблица32[[#This Row],[Ishga vaqtida kelish nazoratchi]]+Таблица32[[#This Row],[Nazoratchi2]]</f>
        <v>-30000</v>
      </c>
      <c r="AG11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-33000</v>
      </c>
      <c r="AH115" s="177" t="n">
        <f aca="false">Таблица32[[#This Row],[Ishga kelish bank klient3]]+Таблица32[[#This Row],[Gruppa bank klient 2]]</f>
        <v>0</v>
      </c>
    </row>
    <row r="116" customFormat="false" ht="17.35" hidden="false" customHeight="false" outlineLevel="0" collapsed="false">
      <c r="A116" s="112" t="n">
        <v>114</v>
      </c>
      <c r="B116" s="133" t="s">
        <v>324</v>
      </c>
      <c r="C116" s="114" t="s">
        <v>223</v>
      </c>
      <c r="D116" s="133"/>
      <c r="E116" s="134" t="n">
        <v>3000000</v>
      </c>
      <c r="F116" s="113" t="s">
        <v>210</v>
      </c>
      <c r="G116" s="174" t="n">
        <v>-0.8</v>
      </c>
      <c r="H116" s="174"/>
      <c r="I116" s="174"/>
      <c r="J116" s="174" t="n">
        <v>1</v>
      </c>
      <c r="K116" s="174"/>
      <c r="L116" s="175" t="n">
        <v>0.25</v>
      </c>
      <c r="M116" s="175" t="n">
        <v>0.25</v>
      </c>
      <c r="N116" s="175" t="n">
        <v>0.25</v>
      </c>
      <c r="O116" s="175" t="n">
        <v>1</v>
      </c>
      <c r="P116" s="175" t="n">
        <v>0</v>
      </c>
      <c r="Q116" s="175" t="n">
        <v>0.2</v>
      </c>
      <c r="R116" s="175" t="n">
        <v>0.2</v>
      </c>
      <c r="S116" s="175" t="n">
        <v>0.2</v>
      </c>
      <c r="T116" s="175" t="n">
        <v>-0.2</v>
      </c>
      <c r="U116" s="175" t="n">
        <v>-0.2</v>
      </c>
      <c r="V116" s="174" t="n">
        <v>0.5</v>
      </c>
      <c r="W116" s="176" t="n">
        <f aca="false">Таблица32[[#This Row],[Столбец7]]*Таблица32[[#This Row],[Ishga kelish nazoratchi2]]%</f>
        <v>0</v>
      </c>
      <c r="X116" s="177" t="n">
        <f aca="false">Таблица32[[#This Row],[Столбец7]]*Таблица32[[#This Row],[Ishga vaqtida kelish ketish]]%</f>
        <v>-24000</v>
      </c>
      <c r="Y116" s="177" t="n">
        <f aca="false">Таблица32[[#This Row],[Столбец7]]*Таблица32[[#This Row],[Ishga kelish bank klient]]%</f>
        <v>0</v>
      </c>
      <c r="Z116" s="177" t="n">
        <f aca="false">Таблица32[[#This Row],[Столбец7]]*Таблица32[[#This Row],[Gruppa buxgalter]]%</f>
        <v>30000</v>
      </c>
      <c r="AA116" s="177" t="n">
        <f aca="false">Таблица32[[#This Row],[Столбец7]]*Таблица32[[#This Row],[Gruppa bank klient ]]%</f>
        <v>0</v>
      </c>
      <c r="AB116" s="177" t="n">
        <f aca="false">Таблица32[[#This Row],[1c]]*Таблица32[[#This Row],[Столбец7]]/100</f>
        <v>30000</v>
      </c>
      <c r="AC116" s="178" t="n">
        <f aca="false">SUM(Таблица32[[#This Row],[Didox]:[ мехнат]],Таблица32[[#This Row],[Avtokameral]])*Таблица32[[#This Row],[Столбец7]]/100</f>
        <v>22500</v>
      </c>
      <c r="AD116" s="178" t="n">
        <f aca="false">SUM(Таблица32[[#This Row],[Pul oqimlari]:[Foyda va zarar]])*Таблица32[[#This Row],[Столбец7]]/100</f>
        <v>6000</v>
      </c>
      <c r="AE116" s="177" t="n">
        <f aca="false">Таблица32[[#This Row],[Столбец7]]*Таблица32[[#This Row],[Nazoratchi]]%</f>
        <v>15000</v>
      </c>
      <c r="AF116" s="177" t="n">
        <f aca="false">Таблица32[[#This Row],[Ishga vaqtida kelish nazoratchi]]+Таблица32[[#This Row],[Nazoratchi2]]</f>
        <v>15000</v>
      </c>
      <c r="AG11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64500</v>
      </c>
      <c r="AH116" s="177" t="n">
        <f aca="false">Таблица32[[#This Row],[Ishga kelish bank klient3]]+Таблица32[[#This Row],[Gruppa bank klient 2]]</f>
        <v>0</v>
      </c>
    </row>
    <row r="117" customFormat="false" ht="17.35" hidden="false" customHeight="false" outlineLevel="0" collapsed="false">
      <c r="A117" s="112" t="n">
        <v>115</v>
      </c>
      <c r="B117" s="139" t="s">
        <v>325</v>
      </c>
      <c r="C117" s="136" t="s">
        <v>218</v>
      </c>
      <c r="D117" s="133"/>
      <c r="E117" s="134" t="n">
        <v>2000000</v>
      </c>
      <c r="F117" s="113" t="s">
        <v>210</v>
      </c>
      <c r="G117" s="174" t="n">
        <v>-0.35</v>
      </c>
      <c r="H117" s="174"/>
      <c r="I117" s="179"/>
      <c r="J117" s="174" t="n">
        <v>1</v>
      </c>
      <c r="K117" s="174"/>
      <c r="L117" s="180" t="n">
        <v>0.25</v>
      </c>
      <c r="M117" s="180" t="n">
        <v>0.25</v>
      </c>
      <c r="N117" s="180" t="n">
        <v>0</v>
      </c>
      <c r="O117" s="180" t="n">
        <v>1</v>
      </c>
      <c r="P117" s="180" t="n">
        <v>0.25</v>
      </c>
      <c r="Q117" s="180" t="n">
        <v>-0.2</v>
      </c>
      <c r="R117" s="180" t="n">
        <v>0</v>
      </c>
      <c r="S117" s="180" t="n">
        <v>0</v>
      </c>
      <c r="T117" s="180" t="n">
        <v>0.2</v>
      </c>
      <c r="U117" s="180" t="n">
        <v>0.2</v>
      </c>
      <c r="V117" s="117" t="n">
        <v>0.5</v>
      </c>
      <c r="W117" s="176" t="n">
        <f aca="false">Таблица32[[#This Row],[Столбец7]]*Таблица32[[#This Row],[Ishga kelish nazoratchi2]]%</f>
        <v>0</v>
      </c>
      <c r="X117" s="177" t="n">
        <f aca="false">Таблица32[[#This Row],[Столбец7]]*Таблица32[[#This Row],[Ishga vaqtida kelish ketish]]%</f>
        <v>-7000</v>
      </c>
      <c r="Y117" s="177" t="n">
        <f aca="false">Таблица32[[#This Row],[Столбец7]]*Таблица32[[#This Row],[Ishga kelish bank klient]]%</f>
        <v>0</v>
      </c>
      <c r="Z117" s="177" t="n">
        <f aca="false">Таблица32[[#This Row],[Столбец7]]*Таблица32[[#This Row],[Gruppa buxgalter]]%</f>
        <v>20000</v>
      </c>
      <c r="AA117" s="177" t="n">
        <f aca="false">Таблица32[[#This Row],[Столбец7]]*Таблица32[[#This Row],[Gruppa bank klient ]]%</f>
        <v>0</v>
      </c>
      <c r="AB117" s="177" t="n">
        <f aca="false">Таблица32[[#This Row],[1c]]*Таблица32[[#This Row],[Столбец7]]/100</f>
        <v>20000</v>
      </c>
      <c r="AC117" s="178" t="n">
        <f aca="false">SUM(Таблица32[[#This Row],[Didox]:[ мехнат]],Таблица32[[#This Row],[Avtokameral]])*Таблица32[[#This Row],[Столбец7]]/100</f>
        <v>15000</v>
      </c>
      <c r="AD117" s="178" t="n">
        <f aca="false">SUM(Таблица32[[#This Row],[Pul oqimlari]:[Foyda va zarar]])*Таблица32[[#This Row],[Столбец7]]/100</f>
        <v>4000</v>
      </c>
      <c r="AE117" s="177" t="n">
        <f aca="false">Таблица32[[#This Row],[Столбец7]]*Таблица32[[#This Row],[Nazoratchi]]%</f>
        <v>10000</v>
      </c>
      <c r="AF117" s="177" t="n">
        <f aca="false">Таблица32[[#This Row],[Ishga vaqtida kelish nazoratchi]]+Таблица32[[#This Row],[Nazoratchi2]]</f>
        <v>10000</v>
      </c>
      <c r="AG11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52000</v>
      </c>
      <c r="AH117" s="177" t="n">
        <f aca="false">Таблица32[[#This Row],[Ishga kelish bank klient3]]+Таблица32[[#This Row],[Gruppa bank klient 2]]</f>
        <v>0</v>
      </c>
    </row>
    <row r="118" customFormat="false" ht="32.8" hidden="false" customHeight="false" outlineLevel="0" collapsed="false">
      <c r="A118" s="112" t="n">
        <v>116</v>
      </c>
      <c r="B118" s="133" t="s">
        <v>326</v>
      </c>
      <c r="C118" s="113" t="s">
        <v>218</v>
      </c>
      <c r="D118" s="113" t="s">
        <v>224</v>
      </c>
      <c r="E118" s="129" t="n">
        <v>5000000</v>
      </c>
      <c r="F118" s="113" t="s">
        <v>210</v>
      </c>
      <c r="G118" s="174" t="n">
        <v>-0.35</v>
      </c>
      <c r="H118" s="174" t="n">
        <v>1</v>
      </c>
      <c r="I118" s="174"/>
      <c r="J118" s="174" t="n">
        <v>1</v>
      </c>
      <c r="K118" s="174" t="n">
        <v>1</v>
      </c>
      <c r="L118" s="180" t="n">
        <v>-0.25</v>
      </c>
      <c r="M118" s="180" t="n">
        <v>0.25</v>
      </c>
      <c r="N118" s="175" t="n">
        <v>0.25</v>
      </c>
      <c r="O118" s="175" t="n">
        <v>1</v>
      </c>
      <c r="P118" s="180" t="n">
        <v>0.25</v>
      </c>
      <c r="Q118" s="175" t="n">
        <v>0.2</v>
      </c>
      <c r="R118" s="175" t="n">
        <v>0.2</v>
      </c>
      <c r="S118" s="175" t="n">
        <v>0.2</v>
      </c>
      <c r="T118" s="175" t="n">
        <v>0.2</v>
      </c>
      <c r="U118" s="175" t="n">
        <v>0.2</v>
      </c>
      <c r="V118" s="117" t="n">
        <v>0.5</v>
      </c>
      <c r="W118" s="176" t="n">
        <f aca="false">Таблица32[[#This Row],[Столбец7]]*Таблица32[[#This Row],[Ishga kelish nazoratchi2]]%</f>
        <v>0</v>
      </c>
      <c r="X118" s="177" t="n">
        <f aca="false">Таблица32[[#This Row],[Столбец7]]*Таблица32[[#This Row],[Ishga vaqtida kelish ketish]]%</f>
        <v>-17500</v>
      </c>
      <c r="Y118" s="177" t="n">
        <f aca="false">Таблица32[[#This Row],[Столбец7]]*Таблица32[[#This Row],[Ishga kelish bank klient]]%</f>
        <v>50000</v>
      </c>
      <c r="Z118" s="177" t="n">
        <f aca="false">Таблица32[[#This Row],[Столбец7]]*Таблица32[[#This Row],[Gruppa buxgalter]]%</f>
        <v>50000</v>
      </c>
      <c r="AA118" s="177" t="n">
        <f aca="false">Таблица32[[#This Row],[Столбец7]]*Таблица32[[#This Row],[Gruppa bank klient ]]%</f>
        <v>50000</v>
      </c>
      <c r="AB118" s="177" t="n">
        <f aca="false">Таблица32[[#This Row],[1c]]*Таблица32[[#This Row],[Столбец7]]/100</f>
        <v>50000</v>
      </c>
      <c r="AC118" s="178" t="n">
        <f aca="false">SUM(Таблица32[[#This Row],[Didox]:[ мехнат]],Таблица32[[#This Row],[Avtokameral]])*Таблица32[[#This Row],[Столбец7]]/100</f>
        <v>25000</v>
      </c>
      <c r="AD118" s="178" t="n">
        <f aca="false">SUM(Таблица32[[#This Row],[Pul oqimlari]:[Foyda va zarar]])*Таблица32[[#This Row],[Столбец7]]/100</f>
        <v>50000</v>
      </c>
      <c r="AE118" s="177" t="n">
        <f aca="false">Таблица32[[#This Row],[Столбец7]]*Таблица32[[#This Row],[Nazoratchi]]%</f>
        <v>25000</v>
      </c>
      <c r="AF118" s="177" t="n">
        <f aca="false">Таблица32[[#This Row],[Ishga vaqtida kelish nazoratchi]]+Таблица32[[#This Row],[Nazoratchi2]]</f>
        <v>25000</v>
      </c>
      <c r="AG11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157500</v>
      </c>
      <c r="AH118" s="177" t="n">
        <f aca="false">Таблица32[[#This Row],[Ishga kelish bank klient3]]+Таблица32[[#This Row],[Gruppa bank klient 2]]</f>
        <v>100000</v>
      </c>
    </row>
    <row r="119" customFormat="false" ht="17.35" hidden="false" customHeight="false" outlineLevel="0" collapsed="false">
      <c r="A119" s="112" t="n">
        <v>117</v>
      </c>
      <c r="B119" s="133" t="s">
        <v>327</v>
      </c>
      <c r="C119" s="113" t="s">
        <v>218</v>
      </c>
      <c r="D119" s="113" t="s">
        <v>224</v>
      </c>
      <c r="E119" s="129" t="n">
        <v>500000</v>
      </c>
      <c r="F119" s="113" t="s">
        <v>210</v>
      </c>
      <c r="G119" s="174" t="n">
        <v>-0.35</v>
      </c>
      <c r="H119" s="174" t="n">
        <v>1</v>
      </c>
      <c r="I119" s="179"/>
      <c r="J119" s="174" t="n">
        <v>1</v>
      </c>
      <c r="K119" s="174" t="n">
        <v>1</v>
      </c>
      <c r="L119" s="175" t="n">
        <v>0.25</v>
      </c>
      <c r="M119" s="175" t="n">
        <v>0.25</v>
      </c>
      <c r="N119" s="175"/>
      <c r="O119" s="180" t="n">
        <v>1</v>
      </c>
      <c r="P119" s="175" t="n">
        <v>0.25</v>
      </c>
      <c r="Q119" s="175" t="n">
        <v>0.2</v>
      </c>
      <c r="R119" s="175" t="n">
        <v>0.2</v>
      </c>
      <c r="S119" s="175" t="n">
        <v>0.2</v>
      </c>
      <c r="T119" s="175" t="n">
        <v>0.2</v>
      </c>
      <c r="U119" s="175" t="n">
        <v>0.2</v>
      </c>
      <c r="V119" s="117" t="n">
        <v>0.5</v>
      </c>
      <c r="W119" s="176" t="n">
        <f aca="false">Таблица32[[#This Row],[Столбец7]]*Таблица32[[#This Row],[Ishga kelish nazoratchi2]]%</f>
        <v>0</v>
      </c>
      <c r="X119" s="177" t="n">
        <f aca="false">Таблица32[[#This Row],[Столбец7]]*Таблица32[[#This Row],[Ishga vaqtida kelish ketish]]%</f>
        <v>-1750</v>
      </c>
      <c r="Y119" s="177" t="n">
        <f aca="false">Таблица32[[#This Row],[Столбец7]]*Таблица32[[#This Row],[Ishga kelish bank klient]]%</f>
        <v>5000</v>
      </c>
      <c r="Z119" s="177" t="n">
        <f aca="false">Таблица32[[#This Row],[Столбец7]]*Таблица32[[#This Row],[Gruppa buxgalter]]%</f>
        <v>5000</v>
      </c>
      <c r="AA119" s="177" t="n">
        <f aca="false">Таблица32[[#This Row],[Столбец7]]*Таблица32[[#This Row],[Gruppa bank klient ]]%</f>
        <v>5000</v>
      </c>
      <c r="AB119" s="177" t="n">
        <f aca="false">Таблица32[[#This Row],[1c]]*Таблица32[[#This Row],[Столбец7]]/100</f>
        <v>5000</v>
      </c>
      <c r="AC119" s="178" t="n">
        <f aca="false">SUM(Таблица32[[#This Row],[Didox]:[ мехнат]],Таблица32[[#This Row],[Avtokameral]])*Таблица32[[#This Row],[Столбец7]]/100</f>
        <v>3750</v>
      </c>
      <c r="AD119" s="178" t="n">
        <f aca="false">SUM(Таблица32[[#This Row],[Pul oqimlari]:[Foyda va zarar]])*Таблица32[[#This Row],[Столбец7]]/100</f>
        <v>5000</v>
      </c>
      <c r="AE119" s="177" t="n">
        <f aca="false">Таблица32[[#This Row],[Столбец7]]*Таблица32[[#This Row],[Nazoratchi]]%</f>
        <v>2500</v>
      </c>
      <c r="AF119" s="177" t="n">
        <f aca="false">Таблица32[[#This Row],[Ishga vaqtida kelish nazoratchi]]+Таблица32[[#This Row],[Nazoratchi2]]</f>
        <v>2500</v>
      </c>
      <c r="AG11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17000</v>
      </c>
      <c r="AH119" s="177" t="n">
        <f aca="false">Таблица32[[#This Row],[Ishga kelish bank klient3]]+Таблица32[[#This Row],[Gruppa bank klient 2]]</f>
        <v>10000</v>
      </c>
    </row>
    <row r="120" customFormat="false" ht="17.35" hidden="false" customHeight="false" outlineLevel="0" collapsed="false">
      <c r="A120" s="112" t="n">
        <v>118</v>
      </c>
      <c r="B120" s="133" t="s">
        <v>328</v>
      </c>
      <c r="C120" s="113" t="s">
        <v>218</v>
      </c>
      <c r="D120" s="113" t="s">
        <v>224</v>
      </c>
      <c r="E120" s="129" t="n">
        <v>500000</v>
      </c>
      <c r="F120" s="113" t="s">
        <v>210</v>
      </c>
      <c r="G120" s="174" t="n">
        <v>-0.35</v>
      </c>
      <c r="H120" s="174" t="n">
        <v>1</v>
      </c>
      <c r="I120" s="174"/>
      <c r="J120" s="174" t="n">
        <v>1</v>
      </c>
      <c r="K120" s="174" t="n">
        <v>1</v>
      </c>
      <c r="L120" s="180" t="n">
        <v>0.25</v>
      </c>
      <c r="M120" s="175" t="n">
        <v>0.25</v>
      </c>
      <c r="N120" s="180"/>
      <c r="O120" s="180" t="n">
        <v>1</v>
      </c>
      <c r="P120" s="180" t="n">
        <v>0.25</v>
      </c>
      <c r="Q120" s="175" t="n">
        <v>0.2</v>
      </c>
      <c r="R120" s="175" t="n">
        <v>0.2</v>
      </c>
      <c r="S120" s="175" t="n">
        <v>0.2</v>
      </c>
      <c r="T120" s="175" t="n">
        <v>0.2</v>
      </c>
      <c r="U120" s="175" t="n">
        <v>0.2</v>
      </c>
      <c r="V120" s="117" t="n">
        <v>0.5</v>
      </c>
      <c r="W120" s="176" t="n">
        <f aca="false">Таблица32[[#This Row],[Столбец7]]*Таблица32[[#This Row],[Ishga kelish nazoratchi2]]%</f>
        <v>0</v>
      </c>
      <c r="X120" s="177" t="n">
        <f aca="false">Таблица32[[#This Row],[Столбец7]]*Таблица32[[#This Row],[Ishga vaqtida kelish ketish]]%</f>
        <v>-1750</v>
      </c>
      <c r="Y120" s="177" t="n">
        <f aca="false">Таблица32[[#This Row],[Столбец7]]*Таблица32[[#This Row],[Ishga kelish bank klient]]%</f>
        <v>5000</v>
      </c>
      <c r="Z120" s="177" t="n">
        <f aca="false">Таблица32[[#This Row],[Столбец7]]*Таблица32[[#This Row],[Gruppa buxgalter]]%</f>
        <v>5000</v>
      </c>
      <c r="AA120" s="177" t="n">
        <f aca="false">Таблица32[[#This Row],[Столбец7]]*Таблица32[[#This Row],[Gruppa bank klient ]]%</f>
        <v>5000</v>
      </c>
      <c r="AB120" s="177" t="n">
        <f aca="false">Таблица32[[#This Row],[1c]]*Таблица32[[#This Row],[Столбец7]]/100</f>
        <v>5000</v>
      </c>
      <c r="AC120" s="178" t="n">
        <f aca="false">SUM(Таблица32[[#This Row],[Didox]:[ мехнат]],Таблица32[[#This Row],[Avtokameral]])*Таблица32[[#This Row],[Столбец7]]/100</f>
        <v>3750</v>
      </c>
      <c r="AD120" s="178" t="n">
        <f aca="false">SUM(Таблица32[[#This Row],[Pul oqimlari]:[Foyda va zarar]])*Таблица32[[#This Row],[Столбец7]]/100</f>
        <v>5000</v>
      </c>
      <c r="AE120" s="177" t="n">
        <f aca="false">Таблица32[[#This Row],[Столбец7]]*Таблица32[[#This Row],[Nazoratchi]]%</f>
        <v>2500</v>
      </c>
      <c r="AF120" s="177" t="n">
        <f aca="false">Таблица32[[#This Row],[Ishga vaqtida kelish nazoratchi]]+Таблица32[[#This Row],[Nazoratchi2]]</f>
        <v>2500</v>
      </c>
      <c r="AG12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17000</v>
      </c>
      <c r="AH120" s="177" t="n">
        <f aca="false">Таблица32[[#This Row],[Ishga kelish bank klient3]]+Таблица32[[#This Row],[Gruppa bank klient 2]]</f>
        <v>10000</v>
      </c>
    </row>
    <row r="121" customFormat="false" ht="17.35" hidden="false" customHeight="false" outlineLevel="0" collapsed="false">
      <c r="A121" s="112" t="n">
        <v>119</v>
      </c>
      <c r="B121" s="133" t="s">
        <v>329</v>
      </c>
      <c r="C121" s="113" t="s">
        <v>217</v>
      </c>
      <c r="D121" s="114"/>
      <c r="E121" s="129" t="n">
        <v>12000000</v>
      </c>
      <c r="F121" s="113" t="s">
        <v>210</v>
      </c>
      <c r="G121" s="174" t="n">
        <v>0.9</v>
      </c>
      <c r="H121" s="174"/>
      <c r="I121" s="174"/>
      <c r="J121" s="174"/>
      <c r="K121" s="174"/>
      <c r="L121" s="180" t="n">
        <v>0</v>
      </c>
      <c r="M121" s="175" t="n">
        <v>0</v>
      </c>
      <c r="N121" s="175" t="n">
        <v>0</v>
      </c>
      <c r="O121" s="175"/>
      <c r="P121" s="180" t="n">
        <v>0</v>
      </c>
      <c r="Q121" s="175" t="n">
        <v>0</v>
      </c>
      <c r="R121" s="175" t="n">
        <v>0</v>
      </c>
      <c r="S121" s="175" t="n">
        <v>0</v>
      </c>
      <c r="T121" s="175" t="n">
        <v>0</v>
      </c>
      <c r="U121" s="175" t="n">
        <v>0</v>
      </c>
      <c r="V121" s="117"/>
      <c r="W121" s="176" t="n">
        <f aca="false">Таблица32[[#This Row],[Столбец7]]*Таблица32[[#This Row],[Ishga kelish nazoratchi2]]%</f>
        <v>0</v>
      </c>
      <c r="X121" s="177" t="n">
        <f aca="false">Таблица32[[#This Row],[Столбец7]]*Таблица32[[#This Row],[Ishga vaqtida kelish ketish]]%</f>
        <v>108000</v>
      </c>
      <c r="Y121" s="177" t="n">
        <f aca="false">Таблица32[[#This Row],[Столбец7]]*Таблица32[[#This Row],[Ishga kelish bank klient]]%</f>
        <v>0</v>
      </c>
      <c r="Z121" s="177" t="n">
        <f aca="false">Таблица32[[#This Row],[Столбец7]]*Таблица32[[#This Row],[Gruppa buxgalter]]%</f>
        <v>0</v>
      </c>
      <c r="AA121" s="177" t="n">
        <f aca="false">Таблица32[[#This Row],[Столбец7]]*Таблица32[[#This Row],[Gruppa bank klient ]]%</f>
        <v>0</v>
      </c>
      <c r="AB121" s="177" t="n">
        <f aca="false">Таблица32[[#This Row],[1c]]*Таблица32[[#This Row],[Столбец7]]/100</f>
        <v>0</v>
      </c>
      <c r="AC121" s="178" t="n">
        <f aca="false">SUM(Таблица32[[#This Row],[Didox]:[ мехнат]],Таблица32[[#This Row],[Avtokameral]])*Таблица32[[#This Row],[Столбец7]]/100</f>
        <v>0</v>
      </c>
      <c r="AD121" s="178" t="n">
        <f aca="false">SUM(Таблица32[[#This Row],[Pul oqimlari]:[Foyda va zarar]])*Таблица32[[#This Row],[Столбец7]]/100</f>
        <v>0</v>
      </c>
      <c r="AE121" s="177" t="n">
        <f aca="false">Таблица32[[#This Row],[Столбец7]]*Таблица32[[#This Row],[Nazoratchi]]%</f>
        <v>0</v>
      </c>
      <c r="AF121" s="177" t="n">
        <f aca="false">Таблица32[[#This Row],[Ishga vaqtida kelish nazoratchi]]+Таблица32[[#This Row],[Nazoratchi2]]</f>
        <v>0</v>
      </c>
      <c r="AG12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108000</v>
      </c>
      <c r="AH121" s="177" t="n">
        <f aca="false">Таблица32[[#This Row],[Ishga kelish bank klient3]]+Таблица32[[#This Row],[Gruppa bank klient 2]]</f>
        <v>0</v>
      </c>
    </row>
    <row r="122" customFormat="false" ht="17.35" hidden="false" customHeight="false" outlineLevel="0" collapsed="false">
      <c r="A122" s="112" t="n">
        <v>120</v>
      </c>
      <c r="B122" s="133" t="s">
        <v>330</v>
      </c>
      <c r="C122" s="114" t="s">
        <v>230</v>
      </c>
      <c r="D122" s="114"/>
      <c r="E122" s="129" t="n">
        <v>800000</v>
      </c>
      <c r="F122" s="113" t="s">
        <v>213</v>
      </c>
      <c r="G122" s="174" t="n">
        <v>-6</v>
      </c>
      <c r="H122" s="174"/>
      <c r="I122" s="174"/>
      <c r="J122" s="174" t="n">
        <v>1</v>
      </c>
      <c r="K122" s="174"/>
      <c r="L122" s="180" t="n">
        <v>0</v>
      </c>
      <c r="M122" s="180" t="n">
        <v>0</v>
      </c>
      <c r="N122" s="175" t="n">
        <v>0</v>
      </c>
      <c r="O122" s="175"/>
      <c r="P122" s="180" t="n">
        <v>0</v>
      </c>
      <c r="Q122" s="175" t="n">
        <v>0</v>
      </c>
      <c r="R122" s="175" t="n">
        <v>0</v>
      </c>
      <c r="S122" s="175" t="n">
        <v>0</v>
      </c>
      <c r="T122" s="175" t="n">
        <v>0</v>
      </c>
      <c r="U122" s="175" t="n">
        <v>0</v>
      </c>
      <c r="V122" s="117" t="n">
        <v>0.5</v>
      </c>
      <c r="W122" s="176" t="n">
        <f aca="false">Таблица32[[#This Row],[Столбец7]]*Таблица32[[#This Row],[Ishga kelish nazoratchi2]]%</f>
        <v>0</v>
      </c>
      <c r="X122" s="177" t="n">
        <f aca="false">Таблица32[[#This Row],[Столбец7]]*Таблица32[[#This Row],[Ishga vaqtida kelish ketish]]%</f>
        <v>-48000</v>
      </c>
      <c r="Y122" s="177" t="n">
        <f aca="false">Таблица32[[#This Row],[Столбец7]]*Таблица32[[#This Row],[Ishga kelish bank klient]]%</f>
        <v>0</v>
      </c>
      <c r="Z122" s="177" t="n">
        <f aca="false">Таблица32[[#This Row],[Столбец7]]*Таблица32[[#This Row],[Gruppa buxgalter]]%</f>
        <v>8000</v>
      </c>
      <c r="AA122" s="177" t="n">
        <f aca="false">Таблица32[[#This Row],[Столбец7]]*Таблица32[[#This Row],[Gruppa bank klient ]]%</f>
        <v>0</v>
      </c>
      <c r="AB122" s="177" t="n">
        <f aca="false">Таблица32[[#This Row],[1c]]*Таблица32[[#This Row],[Столбец7]]/100</f>
        <v>0</v>
      </c>
      <c r="AC122" s="178" t="n">
        <f aca="false">SUM(Таблица32[[#This Row],[Didox]:[ мехнат]],Таблица32[[#This Row],[Avtokameral]])*Таблица32[[#This Row],[Столбец7]]/100</f>
        <v>0</v>
      </c>
      <c r="AD122" s="178" t="n">
        <f aca="false">SUM(Таблица32[[#This Row],[Pul oqimlari]:[Foyda va zarar]])*Таблица32[[#This Row],[Столбец7]]/100</f>
        <v>0</v>
      </c>
      <c r="AE122" s="177" t="n">
        <f aca="false">Таблица32[[#This Row],[Столбец7]]*Таблица32[[#This Row],[Nazoratchi]]%</f>
        <v>4000</v>
      </c>
      <c r="AF122" s="177" t="n">
        <f aca="false">Таблица32[[#This Row],[Ishga vaqtida kelish nazoratchi]]+Таблица32[[#This Row],[Nazoratchi2]]</f>
        <v>4000</v>
      </c>
      <c r="AG12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-40000</v>
      </c>
      <c r="AH122" s="177" t="n">
        <f aca="false">Таблица32[[#This Row],[Ishga kelish bank klient3]]+Таблица32[[#This Row],[Gruppa bank klient 2]]</f>
        <v>0</v>
      </c>
    </row>
    <row r="123" customFormat="false" ht="17.35" hidden="false" customHeight="false" outlineLevel="0" collapsed="false">
      <c r="A123" s="112" t="n">
        <v>121</v>
      </c>
      <c r="B123" s="133" t="s">
        <v>331</v>
      </c>
      <c r="C123" s="114" t="s">
        <v>230</v>
      </c>
      <c r="D123" s="113" t="s">
        <v>224</v>
      </c>
      <c r="E123" s="129" t="n">
        <v>1000000</v>
      </c>
      <c r="F123" s="113" t="s">
        <v>213</v>
      </c>
      <c r="G123" s="174" t="n">
        <v>-6</v>
      </c>
      <c r="H123" s="174" t="n">
        <v>1</v>
      </c>
      <c r="I123" s="174"/>
      <c r="J123" s="174" t="n">
        <v>1</v>
      </c>
      <c r="K123" s="174" t="n">
        <v>1</v>
      </c>
      <c r="L123" s="175" t="n">
        <v>0.25</v>
      </c>
      <c r="M123" s="175" t="n">
        <v>0.25</v>
      </c>
      <c r="N123" s="175" t="n">
        <v>0.25</v>
      </c>
      <c r="O123" s="175"/>
      <c r="P123" s="175" t="n">
        <v>0.25</v>
      </c>
      <c r="Q123" s="180" t="n">
        <v>-0.2</v>
      </c>
      <c r="R123" s="175" t="n">
        <v>0.2</v>
      </c>
      <c r="S123" s="175" t="n">
        <v>0.2</v>
      </c>
      <c r="T123" s="180" t="n">
        <v>-0.2</v>
      </c>
      <c r="U123" s="180" t="n">
        <v>-0.2</v>
      </c>
      <c r="V123" s="117" t="n">
        <v>0.5</v>
      </c>
      <c r="W123" s="176" t="n">
        <f aca="false">Таблица32[[#This Row],[Столбец7]]*Таблица32[[#This Row],[Ishga kelish nazoratchi2]]%</f>
        <v>0</v>
      </c>
      <c r="X123" s="177" t="n">
        <f aca="false">Таблица32[[#This Row],[Столбец7]]*Таблица32[[#This Row],[Ishga vaqtida kelish ketish]]%</f>
        <v>-60000</v>
      </c>
      <c r="Y123" s="177" t="n">
        <f aca="false">Таблица32[[#This Row],[Столбец7]]*Таблица32[[#This Row],[Ishga kelish bank klient]]%</f>
        <v>10000</v>
      </c>
      <c r="Z123" s="177" t="n">
        <f aca="false">Таблица32[[#This Row],[Столбец7]]*Таблица32[[#This Row],[Gruppa buxgalter]]%</f>
        <v>10000</v>
      </c>
      <c r="AA123" s="177" t="n">
        <f aca="false">Таблица32[[#This Row],[Столбец7]]*Таблица32[[#This Row],[Gruppa bank klient ]]%</f>
        <v>10000</v>
      </c>
      <c r="AB123" s="177" t="n">
        <f aca="false">Таблица32[[#This Row],[1c]]*Таблица32[[#This Row],[Столбец7]]/100</f>
        <v>0</v>
      </c>
      <c r="AC123" s="178" t="n">
        <f aca="false">SUM(Таблица32[[#This Row],[Didox]:[ мехнат]],Таблица32[[#This Row],[Avtokameral]])*Таблица32[[#This Row],[Столбец7]]/100</f>
        <v>10000</v>
      </c>
      <c r="AD123" s="178" t="n">
        <f aca="false">SUM(Таблица32[[#This Row],[Pul oqimlari]:[Foyda va zarar]])*Таблица32[[#This Row],[Столбец7]]/100</f>
        <v>-2000</v>
      </c>
      <c r="AE123" s="177" t="n">
        <f aca="false">Таблица32[[#This Row],[Столбец7]]*Таблица32[[#This Row],[Nazoratchi]]%</f>
        <v>5000</v>
      </c>
      <c r="AF123" s="177" t="n">
        <f aca="false">Таблица32[[#This Row],[Ishga vaqtida kelish nazoratchi]]+Таблица32[[#This Row],[Nazoratchi2]]</f>
        <v>5000</v>
      </c>
      <c r="AG12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-42000</v>
      </c>
      <c r="AH123" s="177" t="n">
        <f aca="false">Таблица32[[#This Row],[Ishga kelish bank klient3]]+Таблица32[[#This Row],[Gruppa bank klient 2]]</f>
        <v>20000</v>
      </c>
    </row>
    <row r="124" customFormat="false" ht="17.35" hidden="false" customHeight="false" outlineLevel="0" collapsed="false">
      <c r="A124" s="112" t="n">
        <v>122</v>
      </c>
      <c r="B124" s="139" t="s">
        <v>332</v>
      </c>
      <c r="C124" s="120" t="s">
        <v>211</v>
      </c>
      <c r="D124" s="131"/>
      <c r="E124" s="129" t="n">
        <v>3000000</v>
      </c>
      <c r="F124" s="120" t="s">
        <v>210</v>
      </c>
      <c r="G124" s="174"/>
      <c r="H124" s="174"/>
      <c r="I124" s="174"/>
      <c r="J124" s="174" t="n">
        <v>1</v>
      </c>
      <c r="K124" s="174"/>
      <c r="L124" s="175" t="n">
        <v>0</v>
      </c>
      <c r="M124" s="175" t="n">
        <v>0.25</v>
      </c>
      <c r="N124" s="175"/>
      <c r="O124" s="175"/>
      <c r="P124" s="175" t="n">
        <v>0.25</v>
      </c>
      <c r="Q124" s="175" t="n">
        <v>0</v>
      </c>
      <c r="R124" s="175" t="n">
        <v>0</v>
      </c>
      <c r="S124" s="175" t="n">
        <v>0</v>
      </c>
      <c r="T124" s="175" t="n">
        <v>0.2</v>
      </c>
      <c r="U124" s="175" t="n">
        <v>0.2</v>
      </c>
      <c r="V124" s="117" t="n">
        <v>0.5</v>
      </c>
      <c r="W124" s="176" t="n">
        <f aca="false">Таблица32[[#This Row],[Столбец7]]*Таблица32[[#This Row],[Ishga kelish nazoratchi2]]%</f>
        <v>0</v>
      </c>
      <c r="X124" s="177" t="n">
        <f aca="false">Таблица32[[#This Row],[Столбец7]]*Таблица32[[#This Row],[Ishga vaqtida kelish ketish]]%</f>
        <v>0</v>
      </c>
      <c r="Y124" s="177" t="n">
        <f aca="false">Таблица32[[#This Row],[Столбец7]]*Таблица32[[#This Row],[Ishga kelish bank klient]]%</f>
        <v>0</v>
      </c>
      <c r="Z124" s="177" t="n">
        <f aca="false">Таблица32[[#This Row],[Столбец7]]*Таблица32[[#This Row],[Gruppa buxgalter]]%</f>
        <v>30000</v>
      </c>
      <c r="AA124" s="177" t="n">
        <f aca="false">Таблица32[[#This Row],[Столбец7]]*Таблица32[[#This Row],[Gruppa bank klient ]]%</f>
        <v>0</v>
      </c>
      <c r="AB124" s="177" t="n">
        <f aca="false">Таблица32[[#This Row],[1c]]*Таблица32[[#This Row],[Столбец7]]/100</f>
        <v>0</v>
      </c>
      <c r="AC124" s="178" t="n">
        <f aca="false">SUM(Таблица32[[#This Row],[Didox]:[ мехнат]],Таблица32[[#This Row],[Avtokameral]])*Таблица32[[#This Row],[Столбец7]]/100</f>
        <v>15000</v>
      </c>
      <c r="AD124" s="178" t="n">
        <f aca="false">SUM(Таблица32[[#This Row],[Pul oqimlari]:[Foyda va zarar]])*Таблица32[[#This Row],[Столбец7]]/100</f>
        <v>12000</v>
      </c>
      <c r="AE124" s="177" t="n">
        <f aca="false">Таблица32[[#This Row],[Столбец7]]*Таблица32[[#This Row],[Nazoratchi]]%</f>
        <v>15000</v>
      </c>
      <c r="AF124" s="177" t="n">
        <f aca="false">Таблица32[[#This Row],[Ishga vaqtida kelish nazoratchi]]+Таблица32[[#This Row],[Nazoratchi2]]</f>
        <v>15000</v>
      </c>
      <c r="AG124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57000</v>
      </c>
      <c r="AH124" s="177" t="n">
        <f aca="false">Таблица32[[#This Row],[Ishga kelish bank klient3]]+Таблица32[[#This Row],[Gruppa bank klient 2]]</f>
        <v>0</v>
      </c>
    </row>
    <row r="125" customFormat="false" ht="17.35" hidden="false" customHeight="false" outlineLevel="0" collapsed="false">
      <c r="A125" s="112" t="n">
        <v>123</v>
      </c>
      <c r="B125" s="133" t="s">
        <v>333</v>
      </c>
      <c r="C125" s="113" t="s">
        <v>208</v>
      </c>
      <c r="D125" s="113" t="s">
        <v>224</v>
      </c>
      <c r="E125" s="129" t="n">
        <v>300000</v>
      </c>
      <c r="F125" s="113" t="s">
        <v>210</v>
      </c>
      <c r="G125" s="174"/>
      <c r="H125" s="174" t="n">
        <v>1</v>
      </c>
      <c r="I125" s="174"/>
      <c r="J125" s="174" t="n">
        <v>-2</v>
      </c>
      <c r="K125" s="174" t="n">
        <v>1</v>
      </c>
      <c r="L125" s="175" t="n">
        <v>0.25</v>
      </c>
      <c r="M125" s="175" t="n">
        <v>0.25</v>
      </c>
      <c r="N125" s="175"/>
      <c r="O125" s="175"/>
      <c r="P125" s="175" t="n">
        <v>0.25</v>
      </c>
      <c r="Q125" s="175" t="n">
        <v>0</v>
      </c>
      <c r="R125" s="175" t="n">
        <v>0</v>
      </c>
      <c r="S125" s="175" t="n">
        <v>0</v>
      </c>
      <c r="T125" s="175" t="n">
        <v>0</v>
      </c>
      <c r="U125" s="175" t="n">
        <v>0</v>
      </c>
      <c r="V125" s="174" t="n">
        <v>-2</v>
      </c>
      <c r="W125" s="176" t="n">
        <f aca="false">Таблица32[[#This Row],[Столбец7]]*Таблица32[[#This Row],[Ishga kelish nazoratchi2]]%</f>
        <v>0</v>
      </c>
      <c r="X125" s="177" t="n">
        <f aca="false">Таблица32[[#This Row],[Столбец7]]*Таблица32[[#This Row],[Ishga vaqtida kelish ketish]]%</f>
        <v>0</v>
      </c>
      <c r="Y125" s="177" t="n">
        <f aca="false">Таблица32[[#This Row],[Столбец7]]*Таблица32[[#This Row],[Ishga kelish bank klient]]%</f>
        <v>3000</v>
      </c>
      <c r="Z125" s="177" t="n">
        <f aca="false">Таблица32[[#This Row],[Столбец7]]*Таблица32[[#This Row],[Gruppa buxgalter]]%</f>
        <v>-6000</v>
      </c>
      <c r="AA125" s="177" t="n">
        <f aca="false">Таблица32[[#This Row],[Столбец7]]*Таблица32[[#This Row],[Gruppa bank klient ]]%</f>
        <v>3000</v>
      </c>
      <c r="AB125" s="177" t="n">
        <f aca="false">Таблица32[[#This Row],[1c]]*Таблица32[[#This Row],[Столбец7]]/100</f>
        <v>0</v>
      </c>
      <c r="AC125" s="178" t="n">
        <f aca="false">SUM(Таблица32[[#This Row],[Didox]:[ мехнат]],Таблица32[[#This Row],[Avtokameral]])*Таблица32[[#This Row],[Столбец7]]/100</f>
        <v>2250</v>
      </c>
      <c r="AD125" s="178" t="n">
        <f aca="false">SUM(Таблица32[[#This Row],[Pul oqimlari]:[Foyda va zarar]])*Таблица32[[#This Row],[Столбец7]]/100</f>
        <v>0</v>
      </c>
      <c r="AE125" s="177" t="n">
        <f aca="false">Таблица32[[#This Row],[Столбец7]]*Таблица32[[#This Row],[Nazoratchi]]%</f>
        <v>-6000</v>
      </c>
      <c r="AF125" s="177" t="n">
        <f aca="false">Таблица32[[#This Row],[Ishga vaqtida kelish nazoratchi]]+Таблица32[[#This Row],[Nazoratchi2]]</f>
        <v>-6000</v>
      </c>
      <c r="AG12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-3750</v>
      </c>
      <c r="AH125" s="177" t="n">
        <f aca="false">Таблица32[[#This Row],[Ishga kelish bank klient3]]+Таблица32[[#This Row],[Gruppa bank klient 2]]</f>
        <v>6000</v>
      </c>
    </row>
    <row r="126" customFormat="false" ht="17.35" hidden="false" customHeight="false" outlineLevel="0" collapsed="false">
      <c r="A126" s="112" t="n">
        <v>124</v>
      </c>
      <c r="B126" s="114" t="s">
        <v>334</v>
      </c>
      <c r="C126" s="113" t="s">
        <v>208</v>
      </c>
      <c r="D126" s="113" t="s">
        <v>224</v>
      </c>
      <c r="E126" s="129" t="n">
        <v>1000000</v>
      </c>
      <c r="F126" s="113" t="s">
        <v>210</v>
      </c>
      <c r="G126" s="174"/>
      <c r="H126" s="174" t="n">
        <v>1</v>
      </c>
      <c r="I126" s="174"/>
      <c r="J126" s="174" t="n">
        <v>1</v>
      </c>
      <c r="K126" s="174" t="n">
        <v>1</v>
      </c>
      <c r="L126" s="175" t="n">
        <v>0.25</v>
      </c>
      <c r="M126" s="175" t="n">
        <v>0.25</v>
      </c>
      <c r="N126" s="175"/>
      <c r="O126" s="175"/>
      <c r="P126" s="175" t="n">
        <v>0.25</v>
      </c>
      <c r="Q126" s="175" t="n">
        <v>0</v>
      </c>
      <c r="R126" s="175" t="n">
        <v>0</v>
      </c>
      <c r="S126" s="175" t="n">
        <v>0</v>
      </c>
      <c r="T126" s="175" t="n">
        <v>0</v>
      </c>
      <c r="U126" s="175" t="n">
        <v>0</v>
      </c>
      <c r="V126" s="117" t="n">
        <v>0.5</v>
      </c>
      <c r="W126" s="176" t="n">
        <f aca="false">Таблица32[[#This Row],[Столбец7]]*Таблица32[[#This Row],[Ishga kelish nazoratchi2]]%</f>
        <v>0</v>
      </c>
      <c r="X126" s="177" t="n">
        <f aca="false">Таблица32[[#This Row],[Столбец7]]*Таблица32[[#This Row],[Ishga vaqtida kelish ketish]]%</f>
        <v>0</v>
      </c>
      <c r="Y126" s="177" t="n">
        <f aca="false">Таблица32[[#This Row],[Столбец7]]*Таблица32[[#This Row],[Ishga kelish bank klient]]%</f>
        <v>10000</v>
      </c>
      <c r="Z126" s="177" t="n">
        <f aca="false">Таблица32[[#This Row],[Столбец7]]*Таблица32[[#This Row],[Gruppa buxgalter]]%</f>
        <v>10000</v>
      </c>
      <c r="AA126" s="177" t="n">
        <f aca="false">Таблица32[[#This Row],[Столбец7]]*Таблица32[[#This Row],[Gruppa bank klient ]]%</f>
        <v>10000</v>
      </c>
      <c r="AB126" s="177" t="n">
        <f aca="false">Таблица32[[#This Row],[1c]]*Таблица32[[#This Row],[Столбец7]]/100</f>
        <v>0</v>
      </c>
      <c r="AC126" s="178" t="n">
        <f aca="false">SUM(Таблица32[[#This Row],[Didox]:[ мехнат]],Таблица32[[#This Row],[Avtokameral]])*Таблица32[[#This Row],[Столбец7]]/100</f>
        <v>7500</v>
      </c>
      <c r="AD126" s="178" t="n">
        <f aca="false">SUM(Таблица32[[#This Row],[Pul oqimlari]:[Foyda va zarar]])*Таблица32[[#This Row],[Столбец7]]/100</f>
        <v>0</v>
      </c>
      <c r="AE126" s="177" t="n">
        <f aca="false">Таблица32[[#This Row],[Столбец7]]*Таблица32[[#This Row],[Nazoratchi]]%</f>
        <v>5000</v>
      </c>
      <c r="AF126" s="177" t="n">
        <f aca="false">Таблица32[[#This Row],[Ishga vaqtida kelish nazoratchi]]+Таблица32[[#This Row],[Nazoratchi2]]</f>
        <v>5000</v>
      </c>
      <c r="AG12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17500</v>
      </c>
      <c r="AH126" s="177" t="n">
        <f aca="false">Таблица32[[#This Row],[Ishga kelish bank klient3]]+Таблица32[[#This Row],[Gruppa bank klient 2]]</f>
        <v>20000</v>
      </c>
    </row>
    <row r="127" customFormat="false" ht="17.35" hidden="false" customHeight="false" outlineLevel="0" collapsed="false">
      <c r="A127" s="112" t="n">
        <v>125</v>
      </c>
      <c r="B127" s="114" t="s">
        <v>335</v>
      </c>
      <c r="C127" s="113" t="s">
        <v>208</v>
      </c>
      <c r="D127" s="113" t="s">
        <v>224</v>
      </c>
      <c r="E127" s="129" t="n">
        <v>1000000</v>
      </c>
      <c r="F127" s="113" t="s">
        <v>210</v>
      </c>
      <c r="G127" s="174"/>
      <c r="H127" s="174" t="n">
        <v>1</v>
      </c>
      <c r="I127" s="184"/>
      <c r="J127" s="174" t="n">
        <v>1</v>
      </c>
      <c r="K127" s="174" t="n">
        <v>1</v>
      </c>
      <c r="L127" s="175" t="n">
        <v>0.25</v>
      </c>
      <c r="M127" s="175" t="n">
        <v>0.25</v>
      </c>
      <c r="N127" s="175"/>
      <c r="O127" s="175"/>
      <c r="P127" s="175" t="n">
        <v>-0.25</v>
      </c>
      <c r="Q127" s="175" t="n">
        <v>0</v>
      </c>
      <c r="R127" s="175" t="n">
        <v>0</v>
      </c>
      <c r="S127" s="175" t="n">
        <v>0</v>
      </c>
      <c r="T127" s="175" t="n">
        <v>0</v>
      </c>
      <c r="U127" s="175" t="n">
        <v>0</v>
      </c>
      <c r="V127" s="117" t="n">
        <v>0.5</v>
      </c>
      <c r="W127" s="176" t="n">
        <f aca="false">Таблица32[[#This Row],[Столбец7]]*Таблица32[[#This Row],[Ishga kelish nazoratchi2]]%</f>
        <v>0</v>
      </c>
      <c r="X127" s="177" t="n">
        <f aca="false">Таблица32[[#This Row],[Столбец7]]*Таблица32[[#This Row],[Ishga vaqtida kelish ketish]]%</f>
        <v>0</v>
      </c>
      <c r="Y127" s="177" t="n">
        <f aca="false">Таблица32[[#This Row],[Столбец7]]*Таблица32[[#This Row],[Ishga kelish bank klient]]%</f>
        <v>10000</v>
      </c>
      <c r="Z127" s="177" t="n">
        <f aca="false">Таблица32[[#This Row],[Столбец7]]*Таблица32[[#This Row],[Gruppa buxgalter]]%</f>
        <v>10000</v>
      </c>
      <c r="AA127" s="177" t="n">
        <f aca="false">Таблица32[[#This Row],[Столбец7]]*Таблица32[[#This Row],[Gruppa bank klient ]]%</f>
        <v>10000</v>
      </c>
      <c r="AB127" s="177" t="n">
        <f aca="false">Таблица32[[#This Row],[1c]]*Таблица32[[#This Row],[Столбец7]]/100</f>
        <v>0</v>
      </c>
      <c r="AC127" s="178" t="n">
        <f aca="false">SUM(Таблица32[[#This Row],[Didox]:[ мехнат]],Таблица32[[#This Row],[Avtokameral]])*Таблица32[[#This Row],[Столбец7]]/100</f>
        <v>2500</v>
      </c>
      <c r="AD127" s="178" t="n">
        <f aca="false">SUM(Таблица32[[#This Row],[Pul oqimlari]:[Foyda va zarar]])*Таблица32[[#This Row],[Столбец7]]/100</f>
        <v>0</v>
      </c>
      <c r="AE127" s="177" t="n">
        <f aca="false">Таблица32[[#This Row],[Столбец7]]*Таблица32[[#This Row],[Nazoratchi]]%</f>
        <v>5000</v>
      </c>
      <c r="AF127" s="177" t="n">
        <f aca="false">Таблица32[[#This Row],[Ishga vaqtida kelish nazoratchi]]+Таблица32[[#This Row],[Nazoratchi2]]</f>
        <v>5000</v>
      </c>
      <c r="AG127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12500</v>
      </c>
      <c r="AH127" s="177" t="n">
        <f aca="false">Таблица32[[#This Row],[Ishga kelish bank klient3]]+Таблица32[[#This Row],[Gruppa bank klient 2]]</f>
        <v>20000</v>
      </c>
    </row>
    <row r="128" customFormat="false" ht="17.35" hidden="false" customHeight="false" outlineLevel="0" collapsed="false">
      <c r="A128" s="112" t="n">
        <v>126</v>
      </c>
      <c r="B128" s="114" t="s">
        <v>336</v>
      </c>
      <c r="C128" s="113" t="s">
        <v>208</v>
      </c>
      <c r="D128" s="113" t="s">
        <v>224</v>
      </c>
      <c r="E128" s="129" t="n">
        <v>1000000</v>
      </c>
      <c r="F128" s="113" t="s">
        <v>210</v>
      </c>
      <c r="G128" s="174"/>
      <c r="H128" s="174" t="n">
        <v>1</v>
      </c>
      <c r="I128" s="179"/>
      <c r="J128" s="174" t="n">
        <v>1</v>
      </c>
      <c r="K128" s="174" t="n">
        <v>1</v>
      </c>
      <c r="L128" s="175" t="n">
        <v>0.25</v>
      </c>
      <c r="M128" s="175" t="n">
        <v>0.25</v>
      </c>
      <c r="N128" s="175"/>
      <c r="O128" s="175"/>
      <c r="P128" s="175" t="n">
        <v>0.25</v>
      </c>
      <c r="Q128" s="175" t="n">
        <v>0</v>
      </c>
      <c r="R128" s="175" t="n">
        <v>0</v>
      </c>
      <c r="S128" s="175" t="n">
        <v>0</v>
      </c>
      <c r="T128" s="175" t="n">
        <v>0</v>
      </c>
      <c r="U128" s="175" t="n">
        <v>0</v>
      </c>
      <c r="V128" s="117" t="n">
        <v>0.5</v>
      </c>
      <c r="W128" s="176" t="n">
        <f aca="false">Таблица32[[#This Row],[Столбец7]]*Таблица32[[#This Row],[Ishga kelish nazoratchi2]]%</f>
        <v>0</v>
      </c>
      <c r="X128" s="177" t="n">
        <f aca="false">Таблица32[[#This Row],[Столбец7]]*Таблица32[[#This Row],[Ishga vaqtida kelish ketish]]%</f>
        <v>0</v>
      </c>
      <c r="Y128" s="177" t="n">
        <f aca="false">Таблица32[[#This Row],[Столбец7]]*Таблица32[[#This Row],[Ishga kelish bank klient]]%</f>
        <v>10000</v>
      </c>
      <c r="Z128" s="177" t="n">
        <f aca="false">Таблица32[[#This Row],[Столбец7]]*Таблица32[[#This Row],[Gruppa buxgalter]]%</f>
        <v>10000</v>
      </c>
      <c r="AA128" s="177" t="n">
        <f aca="false">Таблица32[[#This Row],[Столбец7]]*Таблица32[[#This Row],[Gruppa bank klient ]]%</f>
        <v>10000</v>
      </c>
      <c r="AB128" s="177" t="n">
        <f aca="false">Таблица32[[#This Row],[1c]]*Таблица32[[#This Row],[Столбец7]]/100</f>
        <v>0</v>
      </c>
      <c r="AC128" s="178" t="n">
        <f aca="false">SUM(Таблица32[[#This Row],[Didox]:[ мехнат]],Таблица32[[#This Row],[Avtokameral]])*Таблица32[[#This Row],[Столбец7]]/100</f>
        <v>7500</v>
      </c>
      <c r="AD128" s="178" t="n">
        <f aca="false">SUM(Таблица32[[#This Row],[Pul oqimlari]:[Foyda va zarar]])*Таблица32[[#This Row],[Столбец7]]/100</f>
        <v>0</v>
      </c>
      <c r="AE128" s="177" t="n">
        <f aca="false">Таблица32[[#This Row],[Столбец7]]*Таблица32[[#This Row],[Nazoratchi]]%</f>
        <v>5000</v>
      </c>
      <c r="AF128" s="177" t="n">
        <f aca="false">Таблица32[[#This Row],[Ishga vaqtida kelish nazoratchi]]+Таблица32[[#This Row],[Nazoratchi2]]</f>
        <v>5000</v>
      </c>
      <c r="AG128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17500</v>
      </c>
      <c r="AH128" s="177" t="n">
        <f aca="false">Таблица32[[#This Row],[Ishga kelish bank klient3]]+Таблица32[[#This Row],[Gruppa bank klient 2]]</f>
        <v>20000</v>
      </c>
    </row>
    <row r="129" customFormat="false" ht="17.35" hidden="false" customHeight="false" outlineLevel="0" collapsed="false">
      <c r="A129" s="112" t="n">
        <v>127</v>
      </c>
      <c r="B129" s="114" t="s">
        <v>337</v>
      </c>
      <c r="C129" s="113" t="s">
        <v>208</v>
      </c>
      <c r="D129" s="113" t="s">
        <v>224</v>
      </c>
      <c r="E129" s="129" t="n">
        <v>300000</v>
      </c>
      <c r="F129" s="113" t="s">
        <v>210</v>
      </c>
      <c r="G129" s="174"/>
      <c r="H129" s="174" t="n">
        <v>1</v>
      </c>
      <c r="I129" s="179"/>
      <c r="J129" s="174" t="n">
        <v>1</v>
      </c>
      <c r="K129" s="174" t="n">
        <v>1</v>
      </c>
      <c r="L129" s="180" t="n">
        <v>0.25</v>
      </c>
      <c r="M129" s="180" t="n">
        <v>0.25</v>
      </c>
      <c r="N129" s="175"/>
      <c r="O129" s="175"/>
      <c r="P129" s="180" t="n">
        <v>0.25</v>
      </c>
      <c r="Q129" s="175" t="n">
        <v>0</v>
      </c>
      <c r="R129" s="175" t="n">
        <v>0</v>
      </c>
      <c r="S129" s="175" t="n">
        <v>0</v>
      </c>
      <c r="T129" s="175" t="n">
        <v>0</v>
      </c>
      <c r="U129" s="175" t="n">
        <v>0</v>
      </c>
      <c r="V129" s="117" t="n">
        <v>0.5</v>
      </c>
      <c r="W129" s="176" t="n">
        <f aca="false">Таблица32[[#This Row],[Столбец7]]*Таблица32[[#This Row],[Ishga kelish nazoratchi2]]%</f>
        <v>0</v>
      </c>
      <c r="X129" s="177" t="n">
        <f aca="false">Таблица32[[#This Row],[Столбец7]]*Таблица32[[#This Row],[Ishga vaqtida kelish ketish]]%</f>
        <v>0</v>
      </c>
      <c r="Y129" s="177" t="n">
        <f aca="false">Таблица32[[#This Row],[Столбец7]]*Таблица32[[#This Row],[Ishga kelish bank klient]]%</f>
        <v>3000</v>
      </c>
      <c r="Z129" s="177" t="n">
        <f aca="false">Таблица32[[#This Row],[Столбец7]]*Таблица32[[#This Row],[Gruppa buxgalter]]%</f>
        <v>3000</v>
      </c>
      <c r="AA129" s="177" t="n">
        <f aca="false">Таблица32[[#This Row],[Столбец7]]*Таблица32[[#This Row],[Gruppa bank klient ]]%</f>
        <v>3000</v>
      </c>
      <c r="AB129" s="177" t="n">
        <f aca="false">Таблица32[[#This Row],[1c]]*Таблица32[[#This Row],[Столбец7]]/100</f>
        <v>0</v>
      </c>
      <c r="AC129" s="178" t="n">
        <f aca="false">SUM(Таблица32[[#This Row],[Didox]:[ мехнат]],Таблица32[[#This Row],[Avtokameral]])*Таблица32[[#This Row],[Столбец7]]/100</f>
        <v>2250</v>
      </c>
      <c r="AD129" s="178" t="n">
        <f aca="false">SUM(Таблица32[[#This Row],[Pul oqimlari]:[Foyda va zarar]])*Таблица32[[#This Row],[Столбец7]]/100</f>
        <v>0</v>
      </c>
      <c r="AE129" s="177" t="n">
        <f aca="false">Таблица32[[#This Row],[Столбец7]]*Таблица32[[#This Row],[Nazoratchi]]%</f>
        <v>1500</v>
      </c>
      <c r="AF129" s="177" t="n">
        <f aca="false">Таблица32[[#This Row],[Ishga vaqtida kelish nazoratchi]]+Таблица32[[#This Row],[Nazoratchi2]]</f>
        <v>1500</v>
      </c>
      <c r="AG129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5250</v>
      </c>
      <c r="AH129" s="177" t="n">
        <f aca="false">Таблица32[[#This Row],[Ishga kelish bank klient3]]+Таблица32[[#This Row],[Gruppa bank klient 2]]</f>
        <v>6000</v>
      </c>
    </row>
    <row r="130" customFormat="false" ht="17.35" hidden="false" customHeight="false" outlineLevel="0" collapsed="false">
      <c r="A130" s="112" t="n">
        <v>128</v>
      </c>
      <c r="B130" s="114" t="s">
        <v>338</v>
      </c>
      <c r="C130" s="113" t="s">
        <v>208</v>
      </c>
      <c r="D130" s="113" t="s">
        <v>224</v>
      </c>
      <c r="E130" s="129" t="n">
        <v>400000</v>
      </c>
      <c r="F130" s="113" t="s">
        <v>210</v>
      </c>
      <c r="G130" s="174"/>
      <c r="H130" s="174" t="n">
        <v>1</v>
      </c>
      <c r="I130" s="179"/>
      <c r="J130" s="174" t="n">
        <v>1</v>
      </c>
      <c r="K130" s="174" t="n">
        <v>1</v>
      </c>
      <c r="L130" s="180" t="n">
        <v>-0.25</v>
      </c>
      <c r="M130" s="180" t="n">
        <v>0.25</v>
      </c>
      <c r="N130" s="180"/>
      <c r="O130" s="180"/>
      <c r="P130" s="180" t="n">
        <v>0.25</v>
      </c>
      <c r="Q130" s="175" t="n">
        <v>0</v>
      </c>
      <c r="R130" s="175" t="n">
        <v>0</v>
      </c>
      <c r="S130" s="175" t="n">
        <v>0</v>
      </c>
      <c r="T130" s="175" t="n">
        <v>0</v>
      </c>
      <c r="U130" s="175" t="n">
        <v>0</v>
      </c>
      <c r="V130" s="117" t="n">
        <v>0.5</v>
      </c>
      <c r="W130" s="176" t="n">
        <f aca="false">Таблица32[[#This Row],[Столбец7]]*Таблица32[[#This Row],[Ishga kelish nazoratchi2]]%</f>
        <v>0</v>
      </c>
      <c r="X130" s="177" t="n">
        <f aca="false">Таблица32[[#This Row],[Столбец7]]*Таблица32[[#This Row],[Ishga vaqtida kelish ketish]]%</f>
        <v>0</v>
      </c>
      <c r="Y130" s="177" t="n">
        <f aca="false">Таблица32[[#This Row],[Столбец7]]*Таблица32[[#This Row],[Ishga kelish bank klient]]%</f>
        <v>4000</v>
      </c>
      <c r="Z130" s="177" t="n">
        <f aca="false">Таблица32[[#This Row],[Столбец7]]*Таблица32[[#This Row],[Gruppa buxgalter]]%</f>
        <v>4000</v>
      </c>
      <c r="AA130" s="177" t="n">
        <f aca="false">Таблица32[[#This Row],[Столбец7]]*Таблица32[[#This Row],[Gruppa bank klient ]]%</f>
        <v>4000</v>
      </c>
      <c r="AB130" s="177" t="n">
        <f aca="false">Таблица32[[#This Row],[1c]]*Таблица32[[#This Row],[Столбец7]]/100</f>
        <v>0</v>
      </c>
      <c r="AC130" s="178" t="n">
        <f aca="false">SUM(Таблица32[[#This Row],[Didox]:[ мехнат]],Таблица32[[#This Row],[Avtokameral]])*Таблица32[[#This Row],[Столбец7]]/100</f>
        <v>1000</v>
      </c>
      <c r="AD130" s="178" t="n">
        <f aca="false">SUM(Таблица32[[#This Row],[Pul oqimlari]:[Foyda va zarar]])*Таблица32[[#This Row],[Столбец7]]/100</f>
        <v>0</v>
      </c>
      <c r="AE130" s="177" t="n">
        <f aca="false">Таблица32[[#This Row],[Столбец7]]*Таблица32[[#This Row],[Nazoratchi]]%</f>
        <v>2000</v>
      </c>
      <c r="AF130" s="177" t="n">
        <f aca="false">Таблица32[[#This Row],[Ishga vaqtida kelish nazoratchi]]+Таблица32[[#This Row],[Nazoratchi2]]</f>
        <v>2000</v>
      </c>
      <c r="AG130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5000</v>
      </c>
      <c r="AH130" s="177" t="n">
        <f aca="false">Таблица32[[#This Row],[Ishga kelish bank klient3]]+Таблица32[[#This Row],[Gruppa bank klient 2]]</f>
        <v>8000</v>
      </c>
    </row>
    <row r="131" customFormat="false" ht="17.35" hidden="false" customHeight="false" outlineLevel="0" collapsed="false">
      <c r="A131" s="112" t="n">
        <v>129</v>
      </c>
      <c r="B131" s="114" t="s">
        <v>339</v>
      </c>
      <c r="C131" s="114" t="s">
        <v>230</v>
      </c>
      <c r="D131" s="113" t="s">
        <v>224</v>
      </c>
      <c r="E131" s="129" t="n">
        <v>1000000</v>
      </c>
      <c r="F131" s="113" t="s">
        <v>213</v>
      </c>
      <c r="G131" s="174" t="n">
        <v>-6</v>
      </c>
      <c r="H131" s="174" t="n">
        <v>1</v>
      </c>
      <c r="I131" s="179"/>
      <c r="J131" s="174" t="n">
        <v>1</v>
      </c>
      <c r="K131" s="174" t="n">
        <v>1</v>
      </c>
      <c r="L131" s="175" t="n">
        <v>0.25</v>
      </c>
      <c r="M131" s="175" t="n">
        <v>0.25</v>
      </c>
      <c r="N131" s="175"/>
      <c r="O131" s="175"/>
      <c r="P131" s="175" t="n">
        <v>0.25</v>
      </c>
      <c r="Q131" s="180" t="n">
        <v>-0.2</v>
      </c>
      <c r="R131" s="180" t="n">
        <v>-0.2</v>
      </c>
      <c r="S131" s="175" t="n">
        <v>0.2</v>
      </c>
      <c r="T131" s="180" t="n">
        <v>-0.2</v>
      </c>
      <c r="U131" s="180" t="n">
        <v>-0.2</v>
      </c>
      <c r="V131" s="117" t="n">
        <v>0.5</v>
      </c>
      <c r="W131" s="176" t="n">
        <f aca="false">Таблица32[[#This Row],[Столбец7]]*Таблица32[[#This Row],[Ishga kelish nazoratchi2]]%</f>
        <v>0</v>
      </c>
      <c r="X131" s="177" t="n">
        <f aca="false">Таблица32[[#This Row],[Столбец7]]*Таблица32[[#This Row],[Ishga vaqtida kelish ketish]]%</f>
        <v>-60000</v>
      </c>
      <c r="Y131" s="177" t="n">
        <f aca="false">Таблица32[[#This Row],[Столбец7]]*Таблица32[[#This Row],[Ishga kelish bank klient]]%</f>
        <v>10000</v>
      </c>
      <c r="Z131" s="177" t="n">
        <f aca="false">Таблица32[[#This Row],[Столбец7]]*Таблица32[[#This Row],[Gruppa buxgalter]]%</f>
        <v>10000</v>
      </c>
      <c r="AA131" s="177" t="n">
        <f aca="false">Таблица32[[#This Row],[Столбец7]]*Таблица32[[#This Row],[Gruppa bank klient ]]%</f>
        <v>10000</v>
      </c>
      <c r="AB131" s="177" t="n">
        <f aca="false">Таблица32[[#This Row],[1c]]*Таблица32[[#This Row],[Столбец7]]/100</f>
        <v>0</v>
      </c>
      <c r="AC131" s="178" t="n">
        <f aca="false">SUM(Таблица32[[#This Row],[Didox]:[ мехнат]],Таблица32[[#This Row],[Avtokameral]])*Таблица32[[#This Row],[Столбец7]]/100</f>
        <v>7500</v>
      </c>
      <c r="AD131" s="178" t="n">
        <f aca="false">SUM(Таблица32[[#This Row],[Pul oqimlari]:[Foyda va zarar]])*Таблица32[[#This Row],[Столбец7]]/100</f>
        <v>-6000</v>
      </c>
      <c r="AE131" s="177" t="n">
        <f aca="false">Таблица32[[#This Row],[Столбец7]]*Таблица32[[#This Row],[Nazoratchi]]%</f>
        <v>5000</v>
      </c>
      <c r="AF131" s="177" t="n">
        <f aca="false">Таблица32[[#This Row],[Ishga vaqtida kelish nazoratchi]]+Таблица32[[#This Row],[Nazoratchi2]]</f>
        <v>5000</v>
      </c>
      <c r="AG131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-48500</v>
      </c>
      <c r="AH131" s="177" t="n">
        <f aca="false">Таблица32[[#This Row],[Ishga kelish bank klient3]]+Таблица32[[#This Row],[Gruppa bank klient 2]]</f>
        <v>20000</v>
      </c>
    </row>
    <row r="132" customFormat="false" ht="17.35" hidden="false" customHeight="false" outlineLevel="0" collapsed="false">
      <c r="A132" s="112" t="n">
        <v>130</v>
      </c>
      <c r="B132" s="133" t="s">
        <v>340</v>
      </c>
      <c r="C132" s="113" t="s">
        <v>225</v>
      </c>
      <c r="D132" s="114"/>
      <c r="E132" s="129" t="n">
        <v>5000000</v>
      </c>
      <c r="F132" s="113" t="s">
        <v>210</v>
      </c>
      <c r="G132" s="174"/>
      <c r="H132" s="174"/>
      <c r="I132" s="174"/>
      <c r="J132" s="174" t="n">
        <v>0</v>
      </c>
      <c r="K132" s="174"/>
      <c r="L132" s="180" t="n">
        <v>0</v>
      </c>
      <c r="M132" s="180" t="n">
        <v>0.25</v>
      </c>
      <c r="N132" s="180" t="n">
        <v>0.25</v>
      </c>
      <c r="O132" s="180"/>
      <c r="P132" s="180" t="n">
        <v>-0.25</v>
      </c>
      <c r="Q132" s="175" t="n">
        <v>0</v>
      </c>
      <c r="R132" s="175" t="n">
        <v>0</v>
      </c>
      <c r="S132" s="175" t="n">
        <v>0</v>
      </c>
      <c r="T132" s="175" t="n">
        <v>0</v>
      </c>
      <c r="U132" s="175" t="n">
        <v>0</v>
      </c>
      <c r="V132" s="117" t="n">
        <v>0</v>
      </c>
      <c r="W132" s="176" t="n">
        <f aca="false">Таблица32[[#This Row],[Столбец7]]*Таблица32[[#This Row],[Ishga kelish nazoratchi2]]%</f>
        <v>0</v>
      </c>
      <c r="X132" s="177" t="n">
        <f aca="false">Таблица32[[#This Row],[Столбец7]]*Таблица32[[#This Row],[Ishga vaqtida kelish ketish]]%</f>
        <v>0</v>
      </c>
      <c r="Y132" s="177" t="n">
        <f aca="false">Таблица32[[#This Row],[Столбец7]]*Таблица32[[#This Row],[Ishga kelish bank klient]]%</f>
        <v>0</v>
      </c>
      <c r="Z132" s="177" t="n">
        <f aca="false">Таблица32[[#This Row],[Столбец7]]*Таблица32[[#This Row],[Gruppa buxgalter]]%</f>
        <v>0</v>
      </c>
      <c r="AA132" s="177" t="n">
        <f aca="false">Таблица32[[#This Row],[Столбец7]]*Таблица32[[#This Row],[Gruppa bank klient ]]%</f>
        <v>0</v>
      </c>
      <c r="AB132" s="177" t="n">
        <f aca="false">Таблица32[[#This Row],[1c]]*Таблица32[[#This Row],[Столбец7]]/100</f>
        <v>0</v>
      </c>
      <c r="AC132" s="178" t="n">
        <f aca="false">SUM(Таблица32[[#This Row],[Didox]:[ мехнат]],Таблица32[[#This Row],[Avtokameral]])*Таблица32[[#This Row],[Столбец7]]/100</f>
        <v>12500</v>
      </c>
      <c r="AD132" s="178" t="n">
        <f aca="false">SUM(Таблица32[[#This Row],[Pul oqimlari]:[Foyda va zarar]])*Таблица32[[#This Row],[Столбец7]]/100</f>
        <v>0</v>
      </c>
      <c r="AE132" s="177" t="n">
        <f aca="false">Таблица32[[#This Row],[Столбец7]]*Таблица32[[#This Row],[Nazoratchi]]%</f>
        <v>0</v>
      </c>
      <c r="AF132" s="177" t="n">
        <f aca="false">Таблица32[[#This Row],[Ishga vaqtida kelish nazoratchi]]+Таблица32[[#This Row],[Nazoratchi2]]</f>
        <v>0</v>
      </c>
      <c r="AG132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12500</v>
      </c>
      <c r="AH132" s="177" t="n">
        <f aca="false">Таблица32[[#This Row],[Ishga kelish bank klient3]]+Таблица32[[#This Row],[Gruppa bank klient 2]]</f>
        <v>0</v>
      </c>
    </row>
    <row r="133" customFormat="false" ht="17.35" hidden="false" customHeight="false" outlineLevel="0" collapsed="false">
      <c r="A133" s="112" t="n">
        <v>131</v>
      </c>
      <c r="B133" s="133" t="s">
        <v>341</v>
      </c>
      <c r="C133" s="136" t="s">
        <v>218</v>
      </c>
      <c r="D133" s="133" t="s">
        <v>238</v>
      </c>
      <c r="E133" s="134" t="n">
        <v>2000000</v>
      </c>
      <c r="F133" s="113" t="s">
        <v>210</v>
      </c>
      <c r="G133" s="174" t="n">
        <v>-0.35</v>
      </c>
      <c r="H133" s="174" t="n">
        <v>1</v>
      </c>
      <c r="I133" s="174"/>
      <c r="J133" s="174" t="n">
        <v>1</v>
      </c>
      <c r="K133" s="174" t="n">
        <v>1</v>
      </c>
      <c r="L133" s="180" t="n">
        <v>0.25</v>
      </c>
      <c r="M133" s="180" t="n">
        <v>0.25</v>
      </c>
      <c r="N133" s="180"/>
      <c r="O133" s="180" t="n">
        <v>1</v>
      </c>
      <c r="P133" s="180" t="n">
        <v>0.25</v>
      </c>
      <c r="Q133" s="175" t="n">
        <v>0.2</v>
      </c>
      <c r="R133" s="175" t="n">
        <v>0.2</v>
      </c>
      <c r="S133" s="175" t="n">
        <v>0.2</v>
      </c>
      <c r="T133" s="175" t="n">
        <v>0.2</v>
      </c>
      <c r="U133" s="175" t="n">
        <v>0.2</v>
      </c>
      <c r="V133" s="117" t="n">
        <v>0.5</v>
      </c>
      <c r="W133" s="176" t="n">
        <f aca="false">Таблица32[[#This Row],[Столбец7]]*Таблица32[[#This Row],[Ishga kelish nazoratchi2]]%</f>
        <v>0</v>
      </c>
      <c r="X133" s="177" t="n">
        <f aca="false">Таблица32[[#This Row],[Столбец7]]*Таблица32[[#This Row],[Ishga vaqtida kelish ketish]]%</f>
        <v>-7000</v>
      </c>
      <c r="Y133" s="177" t="n">
        <f aca="false">Таблица32[[#This Row],[Столбец7]]*Таблица32[[#This Row],[Ishga kelish bank klient]]%</f>
        <v>20000</v>
      </c>
      <c r="Z133" s="177" t="n">
        <f aca="false">Таблица32[[#This Row],[Столбец7]]*Таблица32[[#This Row],[Gruppa buxgalter]]%</f>
        <v>20000</v>
      </c>
      <c r="AA133" s="177" t="n">
        <f aca="false">Таблица32[[#This Row],[Столбец7]]*Таблица32[[#This Row],[Gruppa bank klient ]]%</f>
        <v>20000</v>
      </c>
      <c r="AB133" s="177" t="n">
        <f aca="false">Таблица32[[#This Row],[1c]]*Таблица32[[#This Row],[Столбец7]]/100</f>
        <v>20000</v>
      </c>
      <c r="AC133" s="178" t="n">
        <f aca="false">SUM(Таблица32[[#This Row],[Didox]:[ мехнат]],Таблица32[[#This Row],[Avtokameral]])*Таблица32[[#This Row],[Столбец7]]/100</f>
        <v>15000</v>
      </c>
      <c r="AD133" s="178" t="n">
        <f aca="false">SUM(Таблица32[[#This Row],[Pul oqimlari]:[Foyda va zarar]])*Таблица32[[#This Row],[Столбец7]]/100</f>
        <v>20000</v>
      </c>
      <c r="AE133" s="177" t="n">
        <f aca="false">Таблица32[[#This Row],[Столбец7]]*Таблица32[[#This Row],[Nazoratchi]]%</f>
        <v>10000</v>
      </c>
      <c r="AF133" s="177" t="n">
        <f aca="false">Таблица32[[#This Row],[Ishga vaqtida kelish nazoratchi]]+Таблица32[[#This Row],[Nazoratchi2]]</f>
        <v>10000</v>
      </c>
      <c r="AG133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68000</v>
      </c>
      <c r="AH133" s="177" t="n">
        <f aca="false">Таблица32[[#This Row],[Ishga kelish bank klient3]]+Таблица32[[#This Row],[Gruppa bank klient 2]]</f>
        <v>40000</v>
      </c>
    </row>
    <row r="134" customFormat="false" ht="17.35" hidden="false" customHeight="false" outlineLevel="0" collapsed="false">
      <c r="A134" s="112" t="n">
        <v>132</v>
      </c>
      <c r="B134" s="133" t="s">
        <v>342</v>
      </c>
      <c r="C134" s="136" t="s">
        <v>211</v>
      </c>
      <c r="D134" s="113" t="s">
        <v>224</v>
      </c>
      <c r="E134" s="134" t="n">
        <v>0</v>
      </c>
      <c r="F134" s="113" t="s">
        <v>210</v>
      </c>
      <c r="G134" s="174"/>
      <c r="H134" s="174" t="n">
        <v>1</v>
      </c>
      <c r="I134" s="174"/>
      <c r="J134" s="174" t="n">
        <v>1</v>
      </c>
      <c r="K134" s="174" t="n">
        <v>1</v>
      </c>
      <c r="L134" s="175" t="n">
        <v>0</v>
      </c>
      <c r="M134" s="175" t="n">
        <v>0</v>
      </c>
      <c r="N134" s="175" t="n">
        <v>0</v>
      </c>
      <c r="O134" s="175"/>
      <c r="P134" s="175" t="n">
        <v>0</v>
      </c>
      <c r="Q134" s="175" t="n">
        <v>0</v>
      </c>
      <c r="R134" s="175" t="n">
        <v>0</v>
      </c>
      <c r="S134" s="175" t="n">
        <v>0</v>
      </c>
      <c r="T134" s="175" t="n">
        <v>0</v>
      </c>
      <c r="U134" s="175" t="n">
        <v>0</v>
      </c>
      <c r="V134" s="117" t="n">
        <v>0.5</v>
      </c>
      <c r="W134" s="185" t="n">
        <f aca="false">Таблица32[[#This Row],[Столбец7]]*Таблица32[[#This Row],[Ishga kelish nazoratchi2]]%</f>
        <v>0</v>
      </c>
      <c r="X134" s="186" t="n">
        <f aca="false">Таблица32[[#This Row],[Столбец7]]*Таблица32[[#This Row],[Ishga vaqtida kelish ketish]]%</f>
        <v>0</v>
      </c>
      <c r="Y134" s="177" t="n">
        <f aca="false">Таблица32[[#This Row],[Столбец7]]*Таблица32[[#This Row],[Ishga kelish bank klient]]%</f>
        <v>0</v>
      </c>
      <c r="Z134" s="186" t="n">
        <f aca="false">Таблица32[[#This Row],[Столбец7]]*Таблица32[[#This Row],[Gruppa buxgalter]]%</f>
        <v>0</v>
      </c>
      <c r="AA134" s="186" t="n">
        <f aca="false">Таблица32[[#This Row],[Столбец7]]*Таблица32[[#This Row],[Gruppa bank klient ]]%</f>
        <v>0</v>
      </c>
      <c r="AB134" s="186" t="n">
        <f aca="false">Таблица32[[#This Row],[1c]]*Таблица32[[#This Row],[Столбец7]]/100</f>
        <v>0</v>
      </c>
      <c r="AC134" s="187" t="n">
        <f aca="false">SUM(Таблица32[[#This Row],[Didox]:[ мехнат]],Таблица32[[#This Row],[Avtokameral]])*Таблица32[[#This Row],[Столбец7]]/100</f>
        <v>0</v>
      </c>
      <c r="AD134" s="187" t="n">
        <f aca="false">SUM(Таблица32[[#This Row],[Pul oqimlari]:[Foyda va zarar]])*Таблица32[[#This Row],[Столбец7]]/100</f>
        <v>0</v>
      </c>
      <c r="AE134" s="186" t="n">
        <f aca="false">Таблица32[[#This Row],[Столбец7]]*Таблица32[[#This Row],[Nazoratchi]]%</f>
        <v>0</v>
      </c>
      <c r="AF134" s="186" t="n">
        <f aca="false">Таблица32[[#This Row],[Ishga vaqtida kelish nazoratchi]]+Таблица32[[#This Row],[Nazoratchi2]]</f>
        <v>0</v>
      </c>
      <c r="AG134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34" s="186" t="n">
        <f aca="false">Таблица32[[#This Row],[Ishga kelish bank klient3]]+Таблица32[[#This Row],[Gruppa bank klient 2]]</f>
        <v>0</v>
      </c>
    </row>
    <row r="135" customFormat="false" ht="17.35" hidden="false" customHeight="false" outlineLevel="0" collapsed="false">
      <c r="A135" s="112" t="n">
        <v>133</v>
      </c>
      <c r="B135" s="133" t="s">
        <v>343</v>
      </c>
      <c r="C135" s="113" t="s">
        <v>212</v>
      </c>
      <c r="D135" s="114" t="s">
        <v>238</v>
      </c>
      <c r="E135" s="129" t="n">
        <v>4000000</v>
      </c>
      <c r="F135" s="113" t="s">
        <v>213</v>
      </c>
      <c r="G135" s="174"/>
      <c r="H135" s="174" t="n">
        <v>1</v>
      </c>
      <c r="I135" s="179"/>
      <c r="J135" s="174" t="n">
        <v>1</v>
      </c>
      <c r="K135" s="174" t="n">
        <v>1</v>
      </c>
      <c r="L135" s="175" t="n">
        <v>0.25</v>
      </c>
      <c r="M135" s="175" t="n">
        <v>0.25</v>
      </c>
      <c r="N135" s="175" t="n">
        <v>0.25</v>
      </c>
      <c r="O135" s="175"/>
      <c r="P135" s="175" t="n">
        <v>-0.25</v>
      </c>
      <c r="Q135" s="180" t="n">
        <v>-0.2</v>
      </c>
      <c r="R135" s="175" t="n">
        <v>0.2</v>
      </c>
      <c r="S135" s="180" t="n">
        <v>-0.2</v>
      </c>
      <c r="T135" s="180" t="n">
        <v>-0.2</v>
      </c>
      <c r="U135" s="175" t="n">
        <v>0.2</v>
      </c>
      <c r="V135" s="117" t="n">
        <v>0.5</v>
      </c>
      <c r="W135" s="185" t="n">
        <f aca="false">Таблица32[[#This Row],[Столбец7]]*Таблица32[[#This Row],[Ishga kelish nazoratchi2]]%</f>
        <v>0</v>
      </c>
      <c r="X135" s="186" t="n">
        <f aca="false">Таблица32[[#This Row],[Столбец7]]*Таблица32[[#This Row],[Ishga vaqtida kelish ketish]]%</f>
        <v>0</v>
      </c>
      <c r="Y135" s="177" t="n">
        <f aca="false">Таблица32[[#This Row],[Столбец7]]*Таблица32[[#This Row],[Ishga kelish bank klient]]%</f>
        <v>40000</v>
      </c>
      <c r="Z135" s="186" t="n">
        <f aca="false">Таблица32[[#This Row],[Столбец7]]*Таблица32[[#This Row],[Gruppa buxgalter]]%</f>
        <v>40000</v>
      </c>
      <c r="AA135" s="186" t="n">
        <f aca="false">Таблица32[[#This Row],[Столбец7]]*Таблица32[[#This Row],[Gruppa bank klient ]]%</f>
        <v>40000</v>
      </c>
      <c r="AB135" s="186" t="n">
        <f aca="false">Таблица32[[#This Row],[1c]]*Таблица32[[#This Row],[Столбец7]]/100</f>
        <v>0</v>
      </c>
      <c r="AC135" s="187" t="n">
        <f aca="false">SUM(Таблица32[[#This Row],[Didox]:[ мехнат]],Таблица32[[#This Row],[Avtokameral]])*Таблица32[[#This Row],[Столбец7]]/100</f>
        <v>20000</v>
      </c>
      <c r="AD135" s="187" t="n">
        <f aca="false">SUM(Таблица32[[#This Row],[Pul oqimlari]:[Foyda va zarar]])*Таблица32[[#This Row],[Столбец7]]/100</f>
        <v>-8000</v>
      </c>
      <c r="AE135" s="186" t="n">
        <f aca="false">Таблица32[[#This Row],[Столбец7]]*Таблица32[[#This Row],[Nazoratchi]]%</f>
        <v>20000</v>
      </c>
      <c r="AF135" s="186" t="n">
        <f aca="false">Таблица32[[#This Row],[Ishga vaqtida kelish nazoratchi]]+Таблица32[[#This Row],[Nazoratchi2]]</f>
        <v>20000</v>
      </c>
      <c r="AG135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52000</v>
      </c>
      <c r="AH135" s="186" t="n">
        <f aca="false">Таблица32[[#This Row],[Ishga kelish bank klient3]]+Таблица32[[#This Row],[Gruppa bank klient 2]]</f>
        <v>80000</v>
      </c>
    </row>
    <row r="136" customFormat="false" ht="17.35" hidden="false" customHeight="false" outlineLevel="0" collapsed="false">
      <c r="A136" s="112" t="n">
        <v>134</v>
      </c>
      <c r="B136" s="133" t="s">
        <v>344</v>
      </c>
      <c r="C136" s="113" t="s">
        <v>212</v>
      </c>
      <c r="D136" s="114" t="s">
        <v>238</v>
      </c>
      <c r="E136" s="129" t="n">
        <v>0</v>
      </c>
      <c r="F136" s="113" t="s">
        <v>213</v>
      </c>
      <c r="G136" s="174"/>
      <c r="H136" s="174" t="n">
        <v>1</v>
      </c>
      <c r="I136" s="179"/>
      <c r="J136" s="174" t="n">
        <v>1</v>
      </c>
      <c r="K136" s="174" t="n">
        <v>1</v>
      </c>
      <c r="L136" s="175" t="n">
        <v>0.25</v>
      </c>
      <c r="M136" s="175" t="n">
        <v>0.25</v>
      </c>
      <c r="N136" s="175" t="n">
        <v>0.25</v>
      </c>
      <c r="O136" s="175"/>
      <c r="P136" s="175" t="n">
        <v>0.25</v>
      </c>
      <c r="Q136" s="180" t="n">
        <v>-0.2</v>
      </c>
      <c r="R136" s="175" t="n">
        <v>0.2</v>
      </c>
      <c r="S136" s="180" t="n">
        <v>-0.2</v>
      </c>
      <c r="T136" s="180" t="n">
        <v>-0.2</v>
      </c>
      <c r="U136" s="180" t="n">
        <v>-0.2</v>
      </c>
      <c r="V136" s="117" t="n">
        <v>0.5</v>
      </c>
      <c r="W136" s="185" t="n">
        <f aca="false">Таблица32[[#This Row],[Столбец7]]*Таблица32[[#This Row],[Ishga kelish nazoratchi2]]%</f>
        <v>0</v>
      </c>
      <c r="X136" s="186" t="n">
        <f aca="false">Таблица32[[#This Row],[Столбец7]]*Таблица32[[#This Row],[Ishga vaqtida kelish ketish]]%</f>
        <v>0</v>
      </c>
      <c r="Y136" s="177" t="n">
        <f aca="false">Таблица32[[#This Row],[Столбец7]]*Таблица32[[#This Row],[Ishga kelish bank klient]]%</f>
        <v>0</v>
      </c>
      <c r="Z136" s="186" t="n">
        <f aca="false">Таблица32[[#This Row],[Столбец7]]*Таблица32[[#This Row],[Gruppa buxgalter]]%</f>
        <v>0</v>
      </c>
      <c r="AA136" s="186" t="n">
        <f aca="false">Таблица32[[#This Row],[Столбец7]]*Таблица32[[#This Row],[Gruppa bank klient ]]%</f>
        <v>0</v>
      </c>
      <c r="AB136" s="186" t="n">
        <f aca="false">Таблица32[[#This Row],[1c]]*Таблица32[[#This Row],[Столбец7]]/100</f>
        <v>0</v>
      </c>
      <c r="AC136" s="187" t="n">
        <f aca="false">SUM(Таблица32[[#This Row],[Didox]:[ мехнат]],Таблица32[[#This Row],[Avtokameral]])*Таблица32[[#This Row],[Столбец7]]/100</f>
        <v>0</v>
      </c>
      <c r="AD136" s="187" t="n">
        <f aca="false">SUM(Таблица32[[#This Row],[Pul oqimlari]:[Foyda va zarar]])*Таблица32[[#This Row],[Столбец7]]/100</f>
        <v>0</v>
      </c>
      <c r="AE136" s="186" t="n">
        <f aca="false">Таблица32[[#This Row],[Столбец7]]*Таблица32[[#This Row],[Nazoratchi]]%</f>
        <v>0</v>
      </c>
      <c r="AF136" s="186" t="n">
        <f aca="false">Таблица32[[#This Row],[Ishga vaqtida kelish nazoratchi]]+Таблица32[[#This Row],[Nazoratchi2]]</f>
        <v>0</v>
      </c>
      <c r="AG136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36" s="186" t="n">
        <f aca="false">Таблица32[[#This Row],[Ishga kelish bank klient3]]+Таблица32[[#This Row],[Gruppa bank klient 2]]</f>
        <v>0</v>
      </c>
    </row>
    <row r="137" customFormat="false" ht="17.35" hidden="false" customHeight="false" outlineLevel="0" collapsed="false">
      <c r="A137" s="112" t="n">
        <v>135</v>
      </c>
      <c r="B137" s="133" t="s">
        <v>345</v>
      </c>
      <c r="C137" s="113" t="s">
        <v>212</v>
      </c>
      <c r="D137" s="114" t="s">
        <v>238</v>
      </c>
      <c r="E137" s="129" t="n">
        <v>0</v>
      </c>
      <c r="F137" s="113" t="s">
        <v>213</v>
      </c>
      <c r="G137" s="174"/>
      <c r="H137" s="174" t="n">
        <v>1</v>
      </c>
      <c r="I137" s="179"/>
      <c r="J137" s="174" t="n">
        <v>1</v>
      </c>
      <c r="K137" s="174" t="n">
        <v>1</v>
      </c>
      <c r="L137" s="175" t="n">
        <v>0.25</v>
      </c>
      <c r="M137" s="175" t="n">
        <v>0.25</v>
      </c>
      <c r="N137" s="175"/>
      <c r="O137" s="175"/>
      <c r="P137" s="175" t="n">
        <v>0.25</v>
      </c>
      <c r="Q137" s="180" t="n">
        <v>-0.2</v>
      </c>
      <c r="R137" s="175" t="n">
        <v>0.2</v>
      </c>
      <c r="S137" s="180" t="n">
        <v>-0.2</v>
      </c>
      <c r="T137" s="180" t="n">
        <v>-0.2</v>
      </c>
      <c r="U137" s="180" t="n">
        <v>-0.2</v>
      </c>
      <c r="V137" s="117" t="n">
        <v>0.5</v>
      </c>
      <c r="W137" s="185" t="n">
        <f aca="false">Таблица32[[#This Row],[Столбец7]]*Таблица32[[#This Row],[Ishga kelish nazoratchi2]]%</f>
        <v>0</v>
      </c>
      <c r="X137" s="186" t="n">
        <f aca="false">Таблица32[[#This Row],[Столбец7]]*Таблица32[[#This Row],[Ishga vaqtida kelish ketish]]%</f>
        <v>0</v>
      </c>
      <c r="Y137" s="177" t="n">
        <f aca="false">Таблица32[[#This Row],[Столбец7]]*Таблица32[[#This Row],[Ishga kelish bank klient]]%</f>
        <v>0</v>
      </c>
      <c r="Z137" s="186" t="n">
        <f aca="false">Таблица32[[#This Row],[Столбец7]]*Таблица32[[#This Row],[Gruppa buxgalter]]%</f>
        <v>0</v>
      </c>
      <c r="AA137" s="186" t="n">
        <f aca="false">Таблица32[[#This Row],[Столбец7]]*Таблица32[[#This Row],[Gruppa bank klient ]]%</f>
        <v>0</v>
      </c>
      <c r="AB137" s="186" t="n">
        <f aca="false">Таблица32[[#This Row],[1c]]*Таблица32[[#This Row],[Столбец7]]/100</f>
        <v>0</v>
      </c>
      <c r="AC137" s="187" t="n">
        <f aca="false">SUM(Таблица32[[#This Row],[Didox]:[ мехнат]],Таблица32[[#This Row],[Avtokameral]])*Таблица32[[#This Row],[Столбец7]]/100</f>
        <v>0</v>
      </c>
      <c r="AD137" s="187" t="n">
        <f aca="false">SUM(Таблица32[[#This Row],[Pul oqimlari]:[Foyda va zarar]])*Таблица32[[#This Row],[Столбец7]]/100</f>
        <v>0</v>
      </c>
      <c r="AE137" s="186" t="n">
        <f aca="false">Таблица32[[#This Row],[Столбец7]]*Таблица32[[#This Row],[Nazoratchi]]%</f>
        <v>0</v>
      </c>
      <c r="AF137" s="186" t="n">
        <f aca="false">Таблица32[[#This Row],[Ishga vaqtida kelish nazoratchi]]+Таблица32[[#This Row],[Nazoratchi2]]</f>
        <v>0</v>
      </c>
      <c r="AG137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37" s="186" t="n">
        <f aca="false">Таблица32[[#This Row],[Ishga kelish bank klient3]]+Таблица32[[#This Row],[Gruppa bank klient 2]]</f>
        <v>0</v>
      </c>
    </row>
    <row r="138" customFormat="false" ht="17.35" hidden="false" customHeight="false" outlineLevel="0" collapsed="false">
      <c r="A138" s="112" t="n">
        <v>136</v>
      </c>
      <c r="B138" s="133" t="s">
        <v>346</v>
      </c>
      <c r="C138" s="113" t="s">
        <v>220</v>
      </c>
      <c r="D138" s="114" t="s">
        <v>238</v>
      </c>
      <c r="E138" s="129" t="n">
        <v>2000000</v>
      </c>
      <c r="F138" s="113" t="s">
        <v>213</v>
      </c>
      <c r="G138" s="174" t="n">
        <v>0.55</v>
      </c>
      <c r="H138" s="174" t="n">
        <v>1</v>
      </c>
      <c r="I138" s="174"/>
      <c r="J138" s="174" t="n">
        <v>1</v>
      </c>
      <c r="K138" s="174" t="n">
        <v>1</v>
      </c>
      <c r="L138" s="175" t="n">
        <v>0.25</v>
      </c>
      <c r="M138" s="175" t="n">
        <v>0.25</v>
      </c>
      <c r="N138" s="175" t="n">
        <v>0.25</v>
      </c>
      <c r="O138" s="175"/>
      <c r="P138" s="175" t="n">
        <v>0.25</v>
      </c>
      <c r="Q138" s="175" t="n">
        <v>0.2</v>
      </c>
      <c r="R138" s="175" t="n">
        <v>0.2</v>
      </c>
      <c r="S138" s="175" t="n">
        <v>0.2</v>
      </c>
      <c r="T138" s="175" t="n">
        <v>0.2</v>
      </c>
      <c r="U138" s="175" t="n">
        <v>0.2</v>
      </c>
      <c r="V138" s="117" t="n">
        <v>0.5</v>
      </c>
      <c r="W138" s="185" t="n">
        <f aca="false">Таблица32[[#This Row],[Столбец7]]*Таблица32[[#This Row],[Ishga kelish nazoratchi2]]%</f>
        <v>0</v>
      </c>
      <c r="X138" s="186" t="n">
        <f aca="false">Таблица32[[#This Row],[Столбец7]]*Таблица32[[#This Row],[Ishga vaqtida kelish ketish]]%</f>
        <v>11000</v>
      </c>
      <c r="Y138" s="177" t="n">
        <f aca="false">Таблица32[[#This Row],[Столбец7]]*Таблица32[[#This Row],[Ishga kelish bank klient]]%</f>
        <v>20000</v>
      </c>
      <c r="Z138" s="186" t="n">
        <f aca="false">Таблица32[[#This Row],[Столбец7]]*Таблица32[[#This Row],[Gruppa buxgalter]]%</f>
        <v>20000</v>
      </c>
      <c r="AA138" s="186" t="n">
        <f aca="false">Таблица32[[#This Row],[Столбец7]]*Таблица32[[#This Row],[Gruppa bank klient ]]%</f>
        <v>20000</v>
      </c>
      <c r="AB138" s="186" t="n">
        <f aca="false">Таблица32[[#This Row],[1c]]*Таблица32[[#This Row],[Столбец7]]/100</f>
        <v>0</v>
      </c>
      <c r="AC138" s="187" t="n">
        <f aca="false">SUM(Таблица32[[#This Row],[Didox]:[ мехнат]],Таблица32[[#This Row],[Avtokameral]])*Таблица32[[#This Row],[Столбец7]]/100</f>
        <v>20000</v>
      </c>
      <c r="AD138" s="187" t="n">
        <f aca="false">SUM(Таблица32[[#This Row],[Pul oqimlari]:[Foyda va zarar]])*Таблица32[[#This Row],[Столбец7]]/100</f>
        <v>20000</v>
      </c>
      <c r="AE138" s="186" t="n">
        <f aca="false">Таблица32[[#This Row],[Столбец7]]*Таблица32[[#This Row],[Nazoratchi]]%</f>
        <v>10000</v>
      </c>
      <c r="AF138" s="186" t="n">
        <f aca="false">Таблица32[[#This Row],[Ishga vaqtida kelish nazoratchi]]+Таблица32[[#This Row],[Nazoratchi2]]</f>
        <v>10000</v>
      </c>
      <c r="AG138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71000</v>
      </c>
      <c r="AH138" s="186" t="n">
        <f aca="false">Таблица32[[#This Row],[Ishga kelish bank klient3]]+Таблица32[[#This Row],[Gruppa bank klient 2]]</f>
        <v>40000</v>
      </c>
    </row>
    <row r="139" customFormat="false" ht="17.35" hidden="false" customHeight="false" outlineLevel="0" collapsed="false">
      <c r="A139" s="112" t="n">
        <v>137</v>
      </c>
      <c r="B139" s="133" t="s">
        <v>347</v>
      </c>
      <c r="C139" s="113" t="s">
        <v>218</v>
      </c>
      <c r="D139" s="114"/>
      <c r="E139" s="129" t="n">
        <v>0</v>
      </c>
      <c r="F139" s="117" t="s">
        <v>210</v>
      </c>
      <c r="G139" s="174" t="n">
        <v>-0.35</v>
      </c>
      <c r="H139" s="174"/>
      <c r="I139" s="174"/>
      <c r="J139" s="174" t="n">
        <v>1</v>
      </c>
      <c r="K139" s="174"/>
      <c r="L139" s="175" t="n">
        <v>0</v>
      </c>
      <c r="M139" s="175" t="n">
        <v>0</v>
      </c>
      <c r="N139" s="175" t="n">
        <v>0</v>
      </c>
      <c r="O139" s="175"/>
      <c r="P139" s="175" t="n">
        <v>0</v>
      </c>
      <c r="Q139" s="175" t="n">
        <v>0</v>
      </c>
      <c r="R139" s="175" t="n">
        <v>0</v>
      </c>
      <c r="S139" s="175" t="n">
        <v>0</v>
      </c>
      <c r="T139" s="175" t="n">
        <v>0</v>
      </c>
      <c r="U139" s="175" t="n">
        <v>0</v>
      </c>
      <c r="V139" s="117" t="n">
        <v>0.5</v>
      </c>
      <c r="W139" s="185" t="n">
        <f aca="false">Таблица32[[#This Row],[Столбец7]]*Таблица32[[#This Row],[Ishga kelish nazoratchi2]]%</f>
        <v>0</v>
      </c>
      <c r="X139" s="186" t="n">
        <f aca="false">Таблица32[[#This Row],[Столбец7]]*Таблица32[[#This Row],[Ishga vaqtida kelish ketish]]%</f>
        <v>0</v>
      </c>
      <c r="Y139" s="177" t="n">
        <f aca="false">Таблица32[[#This Row],[Столбец7]]*Таблица32[[#This Row],[Ishga kelish bank klient]]%</f>
        <v>0</v>
      </c>
      <c r="Z139" s="186" t="n">
        <f aca="false">Таблица32[[#This Row],[Столбец7]]*Таблица32[[#This Row],[Gruppa buxgalter]]%</f>
        <v>0</v>
      </c>
      <c r="AA139" s="186" t="n">
        <f aca="false">Таблица32[[#This Row],[Столбец7]]*Таблица32[[#This Row],[Gruppa bank klient ]]%</f>
        <v>0</v>
      </c>
      <c r="AB139" s="186" t="n">
        <f aca="false">Таблица32[[#This Row],[1c]]*Таблица32[[#This Row],[Столбец7]]/100</f>
        <v>0</v>
      </c>
      <c r="AC139" s="187" t="n">
        <f aca="false">SUM(Таблица32[[#This Row],[Didox]:[ мехнат]],Таблица32[[#This Row],[Avtokameral]])*Таблица32[[#This Row],[Столбец7]]/100</f>
        <v>0</v>
      </c>
      <c r="AD139" s="187" t="n">
        <f aca="false">SUM(Таблица32[[#This Row],[Pul oqimlari]:[Foyda va zarar]])*Таблица32[[#This Row],[Столбец7]]/100</f>
        <v>0</v>
      </c>
      <c r="AE139" s="186" t="n">
        <f aca="false">Таблица32[[#This Row],[Столбец7]]*Таблица32[[#This Row],[Nazoratchi]]%</f>
        <v>0</v>
      </c>
      <c r="AF139" s="186" t="n">
        <f aca="false">Таблица32[[#This Row],[Ishga vaqtida kelish nazoratchi]]+Таблица32[[#This Row],[Nazoratchi2]]</f>
        <v>0</v>
      </c>
      <c r="AG139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39" s="186" t="n">
        <f aca="false">Таблица32[[#This Row],[Ishga kelish bank klient3]]+Таблица32[[#This Row],[Gruppa bank klient 2]]</f>
        <v>0</v>
      </c>
    </row>
    <row r="140" customFormat="false" ht="17.35" hidden="false" customHeight="false" outlineLevel="0" collapsed="false">
      <c r="A140" s="112" t="n">
        <v>138</v>
      </c>
      <c r="B140" s="133" t="s">
        <v>348</v>
      </c>
      <c r="C140" s="113" t="s">
        <v>224</v>
      </c>
      <c r="D140" s="113" t="s">
        <v>224</v>
      </c>
      <c r="E140" s="129" t="n">
        <v>700000</v>
      </c>
      <c r="F140" s="117" t="s">
        <v>210</v>
      </c>
      <c r="G140" s="174"/>
      <c r="H140" s="174" t="n">
        <v>1</v>
      </c>
      <c r="I140" s="179"/>
      <c r="J140" s="174"/>
      <c r="K140" s="174" t="n">
        <v>1</v>
      </c>
      <c r="L140" s="175" t="n">
        <v>0.25</v>
      </c>
      <c r="M140" s="175" t="n">
        <v>0.25</v>
      </c>
      <c r="N140" s="175" t="n">
        <v>0.25</v>
      </c>
      <c r="O140" s="175"/>
      <c r="P140" s="175" t="n">
        <v>0.25</v>
      </c>
      <c r="Q140" s="175" t="n">
        <v>0</v>
      </c>
      <c r="R140" s="175" t="n">
        <v>0</v>
      </c>
      <c r="S140" s="175" t="n">
        <v>0</v>
      </c>
      <c r="T140" s="175" t="n">
        <v>0</v>
      </c>
      <c r="U140" s="175" t="n">
        <v>0</v>
      </c>
      <c r="V140" s="117"/>
      <c r="W140" s="185" t="n">
        <f aca="false">Таблица32[[#This Row],[Столбец7]]*Таблица32[[#This Row],[Ishga kelish nazoratchi2]]%</f>
        <v>0</v>
      </c>
      <c r="X140" s="186" t="n">
        <f aca="false">Таблица32[[#This Row],[Столбец7]]*Таблица32[[#This Row],[Ishga vaqtida kelish ketish]]%</f>
        <v>0</v>
      </c>
      <c r="Y140" s="177" t="n">
        <f aca="false">Таблица32[[#This Row],[Столбец7]]*Таблица32[[#This Row],[Ishga kelish bank klient]]%</f>
        <v>7000</v>
      </c>
      <c r="Z140" s="186" t="n">
        <f aca="false">Таблица32[[#This Row],[Столбец7]]*Таблица32[[#This Row],[Gruppa buxgalter]]%</f>
        <v>0</v>
      </c>
      <c r="AA140" s="186" t="n">
        <f aca="false">Таблица32[[#This Row],[Столбец7]]*Таблица32[[#This Row],[Gruppa bank klient ]]%</f>
        <v>7000</v>
      </c>
      <c r="AB140" s="186" t="n">
        <f aca="false">Таблица32[[#This Row],[1c]]*Таблица32[[#This Row],[Столбец7]]/100</f>
        <v>0</v>
      </c>
      <c r="AC140" s="187" t="n">
        <f aca="false">SUM(Таблица32[[#This Row],[Didox]:[ мехнат]],Таблица32[[#This Row],[Avtokameral]])*Таблица32[[#This Row],[Столбец7]]/100</f>
        <v>7000</v>
      </c>
      <c r="AD140" s="187" t="n">
        <f aca="false">SUM(Таблица32[[#This Row],[Pul oqimlari]:[Foyda va zarar]])*Таблица32[[#This Row],[Столбец7]]/100</f>
        <v>0</v>
      </c>
      <c r="AE140" s="186" t="n">
        <f aca="false">Таблица32[[#This Row],[Столбец7]]*Таблица32[[#This Row],[Nazoratchi]]%</f>
        <v>0</v>
      </c>
      <c r="AF140" s="186" t="n">
        <f aca="false">Таблица32[[#This Row],[Ishga vaqtida kelish nazoratchi]]+Таблица32[[#This Row],[Nazoratchi2]]</f>
        <v>0</v>
      </c>
      <c r="AG140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7000</v>
      </c>
      <c r="AH140" s="186" t="n">
        <f aca="false">Таблица32[[#This Row],[Ishga kelish bank klient3]]+Таблица32[[#This Row],[Gruppa bank klient 2]]</f>
        <v>14000</v>
      </c>
    </row>
    <row r="141" customFormat="false" ht="17.35" hidden="false" customHeight="false" outlineLevel="0" collapsed="false">
      <c r="A141" s="112" t="n">
        <v>139</v>
      </c>
      <c r="B141" s="133" t="s">
        <v>349</v>
      </c>
      <c r="C141" s="113" t="s">
        <v>214</v>
      </c>
      <c r="D141" s="114"/>
      <c r="E141" s="129" t="n">
        <v>500000</v>
      </c>
      <c r="F141" s="117" t="s">
        <v>210</v>
      </c>
      <c r="G141" s="174"/>
      <c r="H141" s="174"/>
      <c r="I141" s="184"/>
      <c r="J141" s="174"/>
      <c r="K141" s="174"/>
      <c r="L141" s="180" t="n">
        <v>0</v>
      </c>
      <c r="M141" s="180" t="n">
        <v>0</v>
      </c>
      <c r="N141" s="175" t="n">
        <v>0</v>
      </c>
      <c r="O141" s="175"/>
      <c r="P141" s="180" t="n">
        <v>0</v>
      </c>
      <c r="Q141" s="175" t="n">
        <v>0</v>
      </c>
      <c r="R141" s="175" t="n">
        <v>0</v>
      </c>
      <c r="S141" s="175" t="n">
        <v>0</v>
      </c>
      <c r="T141" s="175" t="n">
        <v>0</v>
      </c>
      <c r="U141" s="175" t="n">
        <v>0</v>
      </c>
      <c r="V141" s="117"/>
      <c r="W141" s="185" t="n">
        <f aca="false">Таблица32[[#This Row],[Столбец7]]*Таблица32[[#This Row],[Ishga kelish nazoratchi2]]%</f>
        <v>0</v>
      </c>
      <c r="X141" s="186" t="n">
        <f aca="false">Таблица32[[#This Row],[Столбец7]]*Таблица32[[#This Row],[Ishga vaqtida kelish ketish]]%</f>
        <v>0</v>
      </c>
      <c r="Y141" s="177" t="n">
        <f aca="false">Таблица32[[#This Row],[Столбец7]]*Таблица32[[#This Row],[Ishga kelish bank klient]]%</f>
        <v>0</v>
      </c>
      <c r="Z141" s="186" t="n">
        <f aca="false">Таблица32[[#This Row],[Столбец7]]*Таблица32[[#This Row],[Gruppa buxgalter]]%</f>
        <v>0</v>
      </c>
      <c r="AA141" s="186" t="n">
        <f aca="false">Таблица32[[#This Row],[Столбец7]]*Таблица32[[#This Row],[Gruppa bank klient ]]%</f>
        <v>0</v>
      </c>
      <c r="AB141" s="186" t="n">
        <f aca="false">Таблица32[[#This Row],[1c]]*Таблица32[[#This Row],[Столбец7]]/100</f>
        <v>0</v>
      </c>
      <c r="AC141" s="187" t="n">
        <f aca="false">SUM(Таблица32[[#This Row],[Didox]:[ мехнат]],Таблица32[[#This Row],[Avtokameral]])*Таблица32[[#This Row],[Столбец7]]/100</f>
        <v>0</v>
      </c>
      <c r="AD141" s="187" t="n">
        <f aca="false">SUM(Таблица32[[#This Row],[Pul oqimlari]:[Foyda va zarar]])*Таблица32[[#This Row],[Столбец7]]/100</f>
        <v>0</v>
      </c>
      <c r="AE141" s="186" t="n">
        <f aca="false">Таблица32[[#This Row],[Столбец7]]*Таблица32[[#This Row],[Nazoratchi]]%</f>
        <v>0</v>
      </c>
      <c r="AF141" s="186" t="n">
        <f aca="false">Таблица32[[#This Row],[Ishga vaqtida kelish nazoratchi]]+Таблица32[[#This Row],[Nazoratchi2]]</f>
        <v>0</v>
      </c>
      <c r="AG141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41" s="186" t="n">
        <f aca="false">Таблица32[[#This Row],[Ishga kelish bank klient3]]+Таблица32[[#This Row],[Gruppa bank klient 2]]</f>
        <v>0</v>
      </c>
    </row>
    <row r="142" customFormat="false" ht="17.35" hidden="false" customHeight="false" outlineLevel="0" collapsed="false">
      <c r="A142" s="112" t="n">
        <v>140</v>
      </c>
      <c r="B142" s="133" t="s">
        <v>350</v>
      </c>
      <c r="C142" s="113" t="s">
        <v>208</v>
      </c>
      <c r="D142" s="114"/>
      <c r="E142" s="129" t="n">
        <v>6000000</v>
      </c>
      <c r="F142" s="113" t="s">
        <v>210</v>
      </c>
      <c r="G142" s="174"/>
      <c r="H142" s="174"/>
      <c r="I142" s="184"/>
      <c r="J142" s="174" t="n">
        <v>1</v>
      </c>
      <c r="K142" s="174"/>
      <c r="L142" s="175" t="n">
        <v>0.25</v>
      </c>
      <c r="M142" s="175" t="n">
        <v>-0.25</v>
      </c>
      <c r="N142" s="175" t="n">
        <v>0.25</v>
      </c>
      <c r="O142" s="175"/>
      <c r="P142" s="175" t="n">
        <v>0.25</v>
      </c>
      <c r="Q142" s="175" t="n">
        <v>0</v>
      </c>
      <c r="R142" s="175" t="n">
        <v>0.2</v>
      </c>
      <c r="S142" s="175" t="n">
        <v>0</v>
      </c>
      <c r="T142" s="175" t="n">
        <v>0</v>
      </c>
      <c r="U142" s="175" t="n">
        <v>0</v>
      </c>
      <c r="V142" s="117" t="n">
        <v>0.5</v>
      </c>
      <c r="W142" s="185" t="n">
        <f aca="false">Таблица32[[#This Row],[Столбец7]]*Таблица32[[#This Row],[Ishga kelish nazoratchi2]]%</f>
        <v>0</v>
      </c>
      <c r="X142" s="186" t="n">
        <f aca="false">Таблица32[[#This Row],[Столбец7]]*Таблица32[[#This Row],[Ishga vaqtida kelish ketish]]%</f>
        <v>0</v>
      </c>
      <c r="Y142" s="177" t="n">
        <f aca="false">Таблица32[[#This Row],[Столбец7]]*Таблица32[[#This Row],[Ishga kelish bank klient]]%</f>
        <v>0</v>
      </c>
      <c r="Z142" s="186" t="n">
        <f aca="false">Таблица32[[#This Row],[Столбец7]]*Таблица32[[#This Row],[Gruppa buxgalter]]%</f>
        <v>60000</v>
      </c>
      <c r="AA142" s="186" t="n">
        <f aca="false">Таблица32[[#This Row],[Столбец7]]*Таблица32[[#This Row],[Gruppa bank klient ]]%</f>
        <v>0</v>
      </c>
      <c r="AB142" s="186" t="n">
        <f aca="false">Таблица32[[#This Row],[1c]]*Таблица32[[#This Row],[Столбец7]]/100</f>
        <v>0</v>
      </c>
      <c r="AC142" s="187" t="n">
        <f aca="false">SUM(Таблица32[[#This Row],[Didox]:[ мехнат]],Таблица32[[#This Row],[Avtokameral]])*Таблица32[[#This Row],[Столбец7]]/100</f>
        <v>30000</v>
      </c>
      <c r="AD142" s="187" t="n">
        <f aca="false">SUM(Таблица32[[#This Row],[Pul oqimlari]:[Foyda va zarar]])*Таблица32[[#This Row],[Столбец7]]/100</f>
        <v>12000</v>
      </c>
      <c r="AE142" s="186" t="n">
        <f aca="false">Таблица32[[#This Row],[Столбец7]]*Таблица32[[#This Row],[Nazoratchi]]%</f>
        <v>30000</v>
      </c>
      <c r="AF142" s="186" t="n">
        <f aca="false">Таблица32[[#This Row],[Ishga vaqtida kelish nazoratchi]]+Таблица32[[#This Row],[Nazoratchi2]]</f>
        <v>30000</v>
      </c>
      <c r="AG142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102000</v>
      </c>
      <c r="AH142" s="186" t="n">
        <f aca="false">Таблица32[[#This Row],[Ishga kelish bank klient3]]+Таблица32[[#This Row],[Gruppa bank klient 2]]</f>
        <v>0</v>
      </c>
    </row>
    <row r="143" customFormat="false" ht="17.35" hidden="false" customHeight="false" outlineLevel="0" collapsed="false">
      <c r="A143" s="112" t="n">
        <v>141</v>
      </c>
      <c r="B143" s="133" t="s">
        <v>351</v>
      </c>
      <c r="C143" s="120" t="s">
        <v>222</v>
      </c>
      <c r="D143" s="114"/>
      <c r="E143" s="129" t="n">
        <v>750000</v>
      </c>
      <c r="F143" s="113" t="s">
        <v>213</v>
      </c>
      <c r="G143" s="174" t="n">
        <v>-0.05</v>
      </c>
      <c r="H143" s="174"/>
      <c r="I143" s="184"/>
      <c r="J143" s="174" t="n">
        <v>1</v>
      </c>
      <c r="K143" s="174"/>
      <c r="L143" s="180" t="n">
        <v>0.25</v>
      </c>
      <c r="M143" s="180" t="n">
        <v>0.25</v>
      </c>
      <c r="N143" s="180"/>
      <c r="O143" s="180"/>
      <c r="P143" s="180" t="n">
        <v>0.25</v>
      </c>
      <c r="Q143" s="175" t="n">
        <v>0</v>
      </c>
      <c r="R143" s="175" t="n">
        <v>0.2</v>
      </c>
      <c r="S143" s="175" t="n">
        <v>-0.2</v>
      </c>
      <c r="T143" s="175" t="n">
        <v>0</v>
      </c>
      <c r="U143" s="175" t="n">
        <v>0</v>
      </c>
      <c r="V143" s="117" t="n">
        <v>0.5</v>
      </c>
      <c r="W143" s="185" t="n">
        <f aca="false">Таблица32[[#This Row],[Столбец7]]*Таблица32[[#This Row],[Ishga kelish nazoratchi2]]%</f>
        <v>0</v>
      </c>
      <c r="X143" s="186" t="n">
        <f aca="false">Таблица32[[#This Row],[Столбец7]]*Таблица32[[#This Row],[Ishga vaqtida kelish ketish]]%</f>
        <v>-375</v>
      </c>
      <c r="Y143" s="177" t="n">
        <f aca="false">Таблица32[[#This Row],[Столбец7]]*Таблица32[[#This Row],[Ishga kelish bank klient]]%</f>
        <v>0</v>
      </c>
      <c r="Z143" s="186" t="n">
        <f aca="false">Таблица32[[#This Row],[Столбец7]]*Таблица32[[#This Row],[Gruppa buxgalter]]%</f>
        <v>7500</v>
      </c>
      <c r="AA143" s="186" t="n">
        <f aca="false">Таблица32[[#This Row],[Столбец7]]*Таблица32[[#This Row],[Gruppa bank klient ]]%</f>
        <v>0</v>
      </c>
      <c r="AB143" s="186" t="n">
        <f aca="false">Таблица32[[#This Row],[1c]]*Таблица32[[#This Row],[Столбец7]]/100</f>
        <v>0</v>
      </c>
      <c r="AC143" s="187" t="n">
        <f aca="false">SUM(Таблица32[[#This Row],[Didox]:[ мехнат]],Таблица32[[#This Row],[Avtokameral]])*Таблица32[[#This Row],[Столбец7]]/100</f>
        <v>5625</v>
      </c>
      <c r="AD143" s="187" t="n">
        <f aca="false">SUM(Таблица32[[#This Row],[Pul oqimlari]:[Foyda va zarar]])*Таблица32[[#This Row],[Столбец7]]/100</f>
        <v>0</v>
      </c>
      <c r="AE143" s="186" t="n">
        <f aca="false">Таблица32[[#This Row],[Столбец7]]*Таблица32[[#This Row],[Nazoratchi]]%</f>
        <v>3750</v>
      </c>
      <c r="AF143" s="186" t="n">
        <f aca="false">Таблица32[[#This Row],[Ishga vaqtida kelish nazoratchi]]+Таблица32[[#This Row],[Nazoratchi2]]</f>
        <v>3750</v>
      </c>
      <c r="AG143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12750</v>
      </c>
      <c r="AH143" s="186" t="n">
        <f aca="false">Таблица32[[#This Row],[Ishga kelish bank klient3]]+Таблица32[[#This Row],[Gruppa bank klient 2]]</f>
        <v>0</v>
      </c>
    </row>
    <row r="144" customFormat="false" ht="17.35" hidden="false" customHeight="false" outlineLevel="0" collapsed="false">
      <c r="A144" s="112" t="n">
        <v>142</v>
      </c>
      <c r="B144" s="133" t="s">
        <v>352</v>
      </c>
      <c r="C144" s="120" t="s">
        <v>221</v>
      </c>
      <c r="D144" s="114" t="s">
        <v>238</v>
      </c>
      <c r="E144" s="129" t="n">
        <v>1000000</v>
      </c>
      <c r="F144" s="113" t="s">
        <v>210</v>
      </c>
      <c r="G144" s="174"/>
      <c r="H144" s="174" t="n">
        <v>1</v>
      </c>
      <c r="I144" s="179"/>
      <c r="J144" s="174" t="n">
        <v>1</v>
      </c>
      <c r="K144" s="174" t="n">
        <v>1</v>
      </c>
      <c r="L144" s="180" t="n">
        <v>0.25</v>
      </c>
      <c r="M144" s="180" t="n">
        <v>0.25</v>
      </c>
      <c r="N144" s="180"/>
      <c r="O144" s="180"/>
      <c r="P144" s="180" t="n">
        <v>0.25</v>
      </c>
      <c r="Q144" s="175" t="n">
        <v>-0.2</v>
      </c>
      <c r="R144" s="180" t="n">
        <v>0.2</v>
      </c>
      <c r="S144" s="175" t="n">
        <v>-0.2</v>
      </c>
      <c r="T144" s="175" t="n">
        <v>-0.2</v>
      </c>
      <c r="U144" s="175" t="n">
        <v>-0.2</v>
      </c>
      <c r="V144" s="117" t="n">
        <v>0.5</v>
      </c>
      <c r="W144" s="185" t="n">
        <f aca="false">Таблица32[[#This Row],[Столбец7]]*Таблица32[[#This Row],[Ishga kelish nazoratchi2]]%</f>
        <v>0</v>
      </c>
      <c r="X144" s="186" t="n">
        <f aca="false">Таблица32[[#This Row],[Столбец7]]*Таблица32[[#This Row],[Ishga vaqtida kelish ketish]]%</f>
        <v>0</v>
      </c>
      <c r="Y144" s="177" t="n">
        <f aca="false">Таблица32[[#This Row],[Столбец7]]*Таблица32[[#This Row],[Ishga kelish bank klient]]%</f>
        <v>10000</v>
      </c>
      <c r="Z144" s="186" t="n">
        <f aca="false">Таблица32[[#This Row],[Столбец7]]*Таблица32[[#This Row],[Gruppa buxgalter]]%</f>
        <v>10000</v>
      </c>
      <c r="AA144" s="186" t="n">
        <f aca="false">Таблица32[[#This Row],[Столбец7]]*Таблица32[[#This Row],[Gruppa bank klient ]]%</f>
        <v>10000</v>
      </c>
      <c r="AB144" s="186" t="n">
        <f aca="false">Таблица32[[#This Row],[1c]]*Таблица32[[#This Row],[Столбец7]]/100</f>
        <v>0</v>
      </c>
      <c r="AC144" s="187" t="n">
        <f aca="false">SUM(Таблица32[[#This Row],[Didox]:[ мехнат]],Таблица32[[#This Row],[Avtokameral]])*Таблица32[[#This Row],[Столбец7]]/100</f>
        <v>7500</v>
      </c>
      <c r="AD144" s="187" t="n">
        <f aca="false">SUM(Таблица32[[#This Row],[Pul oqimlari]:[Foyda va zarar]])*Таблица32[[#This Row],[Столбец7]]/100</f>
        <v>-6000</v>
      </c>
      <c r="AE144" s="186" t="n">
        <f aca="false">Таблица32[[#This Row],[Столбец7]]*Таблица32[[#This Row],[Nazoratchi]]%</f>
        <v>5000</v>
      </c>
      <c r="AF144" s="186" t="n">
        <f aca="false">Таблица32[[#This Row],[Ishga vaqtida kelish nazoratchi]]+Таблица32[[#This Row],[Nazoratchi2]]</f>
        <v>5000</v>
      </c>
      <c r="AG144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11500</v>
      </c>
      <c r="AH144" s="186" t="n">
        <f aca="false">Таблица32[[#This Row],[Ishga kelish bank klient3]]+Таблица32[[#This Row],[Gruppa bank klient 2]]</f>
        <v>20000</v>
      </c>
    </row>
    <row r="145" customFormat="false" ht="17.35" hidden="false" customHeight="false" outlineLevel="0" collapsed="false">
      <c r="A145" s="112" t="n">
        <v>143</v>
      </c>
      <c r="B145" s="133" t="s">
        <v>353</v>
      </c>
      <c r="C145" s="120" t="s">
        <v>221</v>
      </c>
      <c r="D145" s="114" t="s">
        <v>224</v>
      </c>
      <c r="E145" s="129" t="n">
        <v>500000</v>
      </c>
      <c r="F145" s="117" t="s">
        <v>210</v>
      </c>
      <c r="G145" s="174"/>
      <c r="H145" s="174" t="n">
        <v>1</v>
      </c>
      <c r="I145" s="179"/>
      <c r="J145" s="174" t="n">
        <v>1</v>
      </c>
      <c r="K145" s="174" t="n">
        <v>1</v>
      </c>
      <c r="L145" s="180" t="n">
        <v>0.25</v>
      </c>
      <c r="M145" s="180" t="n">
        <v>0.25</v>
      </c>
      <c r="N145" s="180"/>
      <c r="O145" s="180"/>
      <c r="P145" s="180" t="n">
        <v>0.25</v>
      </c>
      <c r="Q145" s="175" t="n">
        <v>0</v>
      </c>
      <c r="R145" s="175" t="n">
        <v>0</v>
      </c>
      <c r="S145" s="175" t="n">
        <v>0</v>
      </c>
      <c r="T145" s="175" t="n">
        <v>0</v>
      </c>
      <c r="U145" s="175" t="n">
        <v>0</v>
      </c>
      <c r="V145" s="117" t="n">
        <v>0.5</v>
      </c>
      <c r="W145" s="176" t="n">
        <f aca="false">Таблица32[[#This Row],[Столбец7]]*Таблица32[[#This Row],[Ishga kelish nazoratchi2]]%</f>
        <v>0</v>
      </c>
      <c r="X145" s="177" t="n">
        <f aca="false">Таблица32[[#This Row],[Столбец7]]*Таблица32[[#This Row],[Ishga vaqtida kelish ketish]]%</f>
        <v>0</v>
      </c>
      <c r="Y145" s="177" t="n">
        <f aca="false">Таблица32[[#This Row],[Столбец7]]*Таблица32[[#This Row],[Ishga kelish bank klient]]%</f>
        <v>5000</v>
      </c>
      <c r="Z145" s="177" t="n">
        <f aca="false">Таблица32[[#This Row],[Столбец7]]*Таблица32[[#This Row],[Gruppa buxgalter]]%</f>
        <v>5000</v>
      </c>
      <c r="AA145" s="177" t="n">
        <f aca="false">Таблица32[[#This Row],[Столбец7]]*Таблица32[[#This Row],[Gruppa bank klient ]]%</f>
        <v>5000</v>
      </c>
      <c r="AB145" s="177" t="n">
        <f aca="false">Таблица32[[#This Row],[1c]]*Таблица32[[#This Row],[Столбец7]]/100</f>
        <v>0</v>
      </c>
      <c r="AC145" s="178" t="n">
        <f aca="false">SUM(Таблица32[[#This Row],[Didox]:[ мехнат]],Таблица32[[#This Row],[Avtokameral]])*Таблица32[[#This Row],[Столбец7]]/100</f>
        <v>3750</v>
      </c>
      <c r="AD145" s="178" t="n">
        <f aca="false">SUM(Таблица32[[#This Row],[Pul oqimlari]:[Foyda va zarar]])*Таблица32[[#This Row],[Столбец7]]/100</f>
        <v>0</v>
      </c>
      <c r="AE145" s="177" t="n">
        <f aca="false">Таблица32[[#This Row],[Столбец7]]*Таблица32[[#This Row],[Nazoratchi]]%</f>
        <v>2500</v>
      </c>
      <c r="AF145" s="177" t="n">
        <f aca="false">Таблица32[[#This Row],[Ishga vaqtida kelish nazoratchi]]+Таблица32[[#This Row],[Nazoratchi2]]</f>
        <v>2500</v>
      </c>
      <c r="AG145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145" s="177" t="n">
        <f aca="false">Таблица32[[#This Row],[Ishga kelish bank klient3]]+Таблица32[[#This Row],[Gruppa bank klient 2]]</f>
        <v>10000</v>
      </c>
    </row>
    <row r="146" customFormat="false" ht="17.35" hidden="false" customHeight="false" outlineLevel="0" collapsed="false">
      <c r="A146" s="112" t="n">
        <v>144</v>
      </c>
      <c r="B146" s="133" t="s">
        <v>354</v>
      </c>
      <c r="C146" s="140" t="s">
        <v>212</v>
      </c>
      <c r="D146" s="114" t="s">
        <v>238</v>
      </c>
      <c r="E146" s="134" t="n">
        <v>1000000</v>
      </c>
      <c r="F146" s="138" t="s">
        <v>213</v>
      </c>
      <c r="G146" s="174"/>
      <c r="H146" s="174" t="n">
        <v>1</v>
      </c>
      <c r="I146" s="179"/>
      <c r="J146" s="174" t="n">
        <v>1</v>
      </c>
      <c r="K146" s="174" t="n">
        <v>1</v>
      </c>
      <c r="L146" s="180" t="n">
        <v>0.25</v>
      </c>
      <c r="M146" s="175" t="n">
        <v>0.25</v>
      </c>
      <c r="N146" s="175"/>
      <c r="O146" s="180"/>
      <c r="P146" s="180" t="n">
        <v>0.25</v>
      </c>
      <c r="Q146" s="175" t="n">
        <v>-0.2</v>
      </c>
      <c r="R146" s="175" t="n">
        <v>0.2</v>
      </c>
      <c r="S146" s="175" t="n">
        <v>-0.2</v>
      </c>
      <c r="T146" s="175" t="n">
        <v>-0.2</v>
      </c>
      <c r="U146" s="175" t="n">
        <v>-0.2</v>
      </c>
      <c r="V146" s="117" t="n">
        <v>0.5</v>
      </c>
      <c r="W146" s="176" t="n">
        <f aca="false">Таблица32[[#This Row],[Столбец7]]*Таблица32[[#This Row],[Ishga kelish nazoratchi2]]%</f>
        <v>0</v>
      </c>
      <c r="X146" s="177" t="n">
        <f aca="false">Таблица32[[#This Row],[Столбец7]]*Таблица32[[#This Row],[Ishga vaqtida kelish ketish]]%</f>
        <v>0</v>
      </c>
      <c r="Y146" s="177" t="n">
        <f aca="false">Таблица32[[#This Row],[Столбец7]]*Таблица32[[#This Row],[Ishga kelish bank klient]]%</f>
        <v>10000</v>
      </c>
      <c r="Z146" s="177" t="n">
        <f aca="false">Таблица32[[#This Row],[Столбец7]]*Таблица32[[#This Row],[Gruppa buxgalter]]%</f>
        <v>10000</v>
      </c>
      <c r="AA146" s="177" t="n">
        <f aca="false">Таблица32[[#This Row],[Столбец7]]*Таблица32[[#This Row],[Gruppa bank klient ]]%</f>
        <v>10000</v>
      </c>
      <c r="AB146" s="177" t="n">
        <f aca="false">Таблица32[[#This Row],[1c]]*Таблица32[[#This Row],[Столбец7]]/100</f>
        <v>0</v>
      </c>
      <c r="AC146" s="178" t="n">
        <f aca="false">SUM(Таблица32[[#This Row],[Didox]:[ мехнат]],Таблица32[[#This Row],[Avtokameral]])*Таблица32[[#This Row],[Столбец7]]/100</f>
        <v>7500</v>
      </c>
      <c r="AD146" s="178" t="n">
        <f aca="false">SUM(Таблица32[[#This Row],[Pul oqimlari]:[Foyda va zarar]])*Таблица32[[#This Row],[Столбец7]]/100</f>
        <v>-6000</v>
      </c>
      <c r="AE146" s="177" t="n">
        <f aca="false">Таблица32[[#This Row],[Столбец7]]*Таблица32[[#This Row],[Nazoratchi]]%</f>
        <v>5000</v>
      </c>
      <c r="AF146" s="177" t="n">
        <f aca="false">Таблица32[[#This Row],[Ishga vaqtida kelish nazoratchi]]+Таблица32[[#This Row],[Nazoratchi2]]</f>
        <v>5000</v>
      </c>
      <c r="AG146" s="17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11500</v>
      </c>
      <c r="AH146" s="177" t="n">
        <f aca="false">Таблица32[[#This Row],[Ishga kelish bank klient3]]+Таблица32[[#This Row],[Gruppa bank klient 2]]</f>
        <v>20000</v>
      </c>
    </row>
    <row r="147" customFormat="false" ht="17.35" hidden="false" customHeight="false" outlineLevel="0" collapsed="false">
      <c r="A147" s="112" t="n">
        <v>145</v>
      </c>
      <c r="B147" s="133" t="s">
        <v>355</v>
      </c>
      <c r="C147" s="136" t="s">
        <v>211</v>
      </c>
      <c r="D147" s="114" t="s">
        <v>238</v>
      </c>
      <c r="E147" s="134" t="n">
        <v>1000000</v>
      </c>
      <c r="F147" s="117" t="s">
        <v>210</v>
      </c>
      <c r="G147" s="174"/>
      <c r="H147" s="174" t="n">
        <v>1</v>
      </c>
      <c r="I147" s="179"/>
      <c r="J147" s="174" t="n">
        <v>1</v>
      </c>
      <c r="K147" s="174" t="n">
        <v>1</v>
      </c>
      <c r="L147" s="180" t="n">
        <v>0.25</v>
      </c>
      <c r="M147" s="175" t="n">
        <v>0.25</v>
      </c>
      <c r="N147" s="180"/>
      <c r="O147" s="180"/>
      <c r="P147" s="180" t="n">
        <v>0.25</v>
      </c>
      <c r="Q147" s="175" t="n">
        <v>-0.2</v>
      </c>
      <c r="R147" s="175" t="n">
        <v>-0.2</v>
      </c>
      <c r="S147" s="175" t="n">
        <v>-0.2</v>
      </c>
      <c r="T147" s="175" t="n">
        <v>-0.2</v>
      </c>
      <c r="U147" s="175" t="n">
        <v>-0.2</v>
      </c>
      <c r="V147" s="117" t="n">
        <v>0.5</v>
      </c>
      <c r="W147" s="185" t="n">
        <f aca="false">Таблица32[[#This Row],[Столбец7]]*Таблица32[[#This Row],[Ishga kelish nazoratchi2]]%</f>
        <v>0</v>
      </c>
      <c r="X147" s="186" t="n">
        <f aca="false">Таблица32[[#This Row],[Столбец7]]*Таблица32[[#This Row],[Ishga vaqtida kelish ketish]]%</f>
        <v>0</v>
      </c>
      <c r="Y147" s="177" t="n">
        <f aca="false">Таблица32[[#This Row],[Столбец7]]*Таблица32[[#This Row],[Ishga kelish bank klient]]%</f>
        <v>10000</v>
      </c>
      <c r="Z147" s="186" t="n">
        <f aca="false">Таблица32[[#This Row],[Столбец7]]*Таблица32[[#This Row],[Gruppa buxgalter]]%</f>
        <v>10000</v>
      </c>
      <c r="AA147" s="186" t="n">
        <f aca="false">Таблица32[[#This Row],[Столбец7]]*Таблица32[[#This Row],[Gruppa bank klient ]]%</f>
        <v>10000</v>
      </c>
      <c r="AB147" s="186" t="n">
        <f aca="false">Таблица32[[#This Row],[1c]]*Таблица32[[#This Row],[Столбец7]]/100</f>
        <v>0</v>
      </c>
      <c r="AC147" s="187" t="n">
        <f aca="false">SUM(Таблица32[[#This Row],[Didox]:[ мехнат]],Таблица32[[#This Row],[Avtokameral]])*Таблица32[[#This Row],[Столбец7]]/100</f>
        <v>7500</v>
      </c>
      <c r="AD147" s="187" t="n">
        <f aca="false">SUM(Таблица32[[#This Row],[Pul oqimlari]:[Foyda va zarar]])*Таблица32[[#This Row],[Столбец7]]/100</f>
        <v>-10000</v>
      </c>
      <c r="AE147" s="186" t="n">
        <f aca="false">Таблица32[[#This Row],[Столбец7]]*Таблица32[[#This Row],[Nazoratchi]]%</f>
        <v>5000</v>
      </c>
      <c r="AF147" s="186" t="n">
        <f aca="false">Таблица32[[#This Row],[Ishga vaqtida kelish nazoratchi]]+Таблица32[[#This Row],[Nazoratchi2]]</f>
        <v>5000</v>
      </c>
      <c r="AG147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7500</v>
      </c>
      <c r="AH147" s="186" t="n">
        <f aca="false">Таблица32[[#This Row],[Ishga kelish bank klient3]]+Таблица32[[#This Row],[Gruppa bank klient 2]]</f>
        <v>20000</v>
      </c>
    </row>
    <row r="148" customFormat="false" ht="17.35" hidden="false" customHeight="false" outlineLevel="0" collapsed="false">
      <c r="A148" s="112" t="n">
        <v>146</v>
      </c>
      <c r="B148" s="133" t="s">
        <v>356</v>
      </c>
      <c r="C148" s="136" t="s">
        <v>211</v>
      </c>
      <c r="D148" s="133" t="s">
        <v>224</v>
      </c>
      <c r="E148" s="137" t="n">
        <v>0</v>
      </c>
      <c r="F148" s="117" t="s">
        <v>210</v>
      </c>
      <c r="G148" s="174"/>
      <c r="H148" s="174" t="n">
        <v>1</v>
      </c>
      <c r="I148" s="179"/>
      <c r="J148" s="174" t="n">
        <v>1</v>
      </c>
      <c r="K148" s="174" t="n">
        <v>1</v>
      </c>
      <c r="L148" s="175" t="n">
        <v>0</v>
      </c>
      <c r="M148" s="175" t="n">
        <v>0</v>
      </c>
      <c r="N148" s="175"/>
      <c r="O148" s="175"/>
      <c r="P148" s="175" t="n">
        <v>0</v>
      </c>
      <c r="Q148" s="175" t="n">
        <v>-0.2</v>
      </c>
      <c r="R148" s="175" t="n">
        <v>-0.2</v>
      </c>
      <c r="S148" s="175" t="n">
        <v>-0.2</v>
      </c>
      <c r="T148" s="175" t="n">
        <v>-0.2</v>
      </c>
      <c r="U148" s="175" t="n">
        <v>-0.2</v>
      </c>
      <c r="V148" s="117" t="n">
        <v>0.5</v>
      </c>
      <c r="W148" s="185" t="n">
        <f aca="false">Таблица32[[#This Row],[Столбец7]]*Таблица32[[#This Row],[Ishga kelish nazoratchi2]]%</f>
        <v>0</v>
      </c>
      <c r="X148" s="186" t="n">
        <f aca="false">Таблица32[[#This Row],[Столбец7]]*Таблица32[[#This Row],[Ishga vaqtida kelish ketish]]%</f>
        <v>0</v>
      </c>
      <c r="Y148" s="177" t="n">
        <f aca="false">Таблица32[[#This Row],[Столбец7]]*Таблица32[[#This Row],[Ishga kelish bank klient]]%</f>
        <v>0</v>
      </c>
      <c r="Z148" s="186" t="n">
        <f aca="false">Таблица32[[#This Row],[Столбец7]]*Таблица32[[#This Row],[Gruppa buxgalter]]%</f>
        <v>0</v>
      </c>
      <c r="AA148" s="186" t="n">
        <f aca="false">Таблица32[[#This Row],[Столбец7]]*Таблица32[[#This Row],[Gruppa bank klient ]]%</f>
        <v>0</v>
      </c>
      <c r="AB148" s="186" t="n">
        <f aca="false">Таблица32[[#This Row],[1c]]*Таблица32[[#This Row],[Столбец7]]/100</f>
        <v>0</v>
      </c>
      <c r="AC148" s="187" t="n">
        <f aca="false">SUM(Таблица32[[#This Row],[Didox]:[ мехнат]],Таблица32[[#This Row],[Avtokameral]])*Таблица32[[#This Row],[Столбец7]]/100</f>
        <v>0</v>
      </c>
      <c r="AD148" s="187" t="n">
        <f aca="false">SUM(Таблица32[[#This Row],[Pul oqimlari]:[Foyda va zarar]])*Таблица32[[#This Row],[Столбец7]]/100</f>
        <v>0</v>
      </c>
      <c r="AE148" s="186" t="n">
        <f aca="false">Таблица32[[#This Row],[Столбец7]]*Таблица32[[#This Row],[Nazoratchi]]%</f>
        <v>0</v>
      </c>
      <c r="AF148" s="186" t="n">
        <f aca="false">Таблица32[[#This Row],[Ishga vaqtida kelish nazoratchi]]+Таблица32[[#This Row],[Nazoratchi2]]</f>
        <v>0</v>
      </c>
      <c r="AG148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48" s="186" t="n">
        <f aca="false">Таблица32[[#This Row],[Ishga kelish bank klient3]]+Таблица32[[#This Row],[Gruppa bank klient 2]]</f>
        <v>0</v>
      </c>
    </row>
    <row r="149" customFormat="false" ht="17.35" hidden="false" customHeight="false" outlineLevel="0" collapsed="false">
      <c r="A149" s="112" t="n">
        <v>147</v>
      </c>
      <c r="B149" s="133" t="s">
        <v>357</v>
      </c>
      <c r="C149" s="136" t="s">
        <v>213</v>
      </c>
      <c r="D149" s="133" t="s">
        <v>239</v>
      </c>
      <c r="E149" s="137" t="n">
        <v>500000</v>
      </c>
      <c r="F149" s="138" t="s">
        <v>210</v>
      </c>
      <c r="G149" s="174" t="n">
        <v>-0.8</v>
      </c>
      <c r="H149" s="174" t="n">
        <v>1</v>
      </c>
      <c r="I149" s="179"/>
      <c r="J149" s="174" t="n">
        <v>1</v>
      </c>
      <c r="K149" s="174" t="n">
        <v>1</v>
      </c>
      <c r="L149" s="175" t="n">
        <v>0.25</v>
      </c>
      <c r="M149" s="175" t="n">
        <v>0.25</v>
      </c>
      <c r="N149" s="175" t="n">
        <v>0.25</v>
      </c>
      <c r="O149" s="175" t="n">
        <v>1</v>
      </c>
      <c r="P149" s="175" t="n">
        <v>0.25</v>
      </c>
      <c r="Q149" s="175" t="n">
        <v>0.2</v>
      </c>
      <c r="R149" s="175" t="n">
        <v>0.2</v>
      </c>
      <c r="S149" s="175" t="n">
        <v>0.2</v>
      </c>
      <c r="T149" s="175" t="n">
        <v>0.2</v>
      </c>
      <c r="U149" s="175" t="n">
        <v>0.2</v>
      </c>
      <c r="V149" s="117" t="n">
        <v>0.5</v>
      </c>
      <c r="W149" s="185" t="n">
        <f aca="false">Таблица32[[#This Row],[Столбец7]]*Таблица32[[#This Row],[Ishga kelish nazoratchi2]]%</f>
        <v>0</v>
      </c>
      <c r="X149" s="186" t="n">
        <f aca="false">Таблица32[[#This Row],[Столбец7]]*Таблица32[[#This Row],[Ishga vaqtida kelish ketish]]%</f>
        <v>-4000</v>
      </c>
      <c r="Y149" s="177" t="n">
        <f aca="false">Таблица32[[#This Row],[Столбец7]]*Таблица32[[#This Row],[Ishga kelish bank klient]]%</f>
        <v>5000</v>
      </c>
      <c r="Z149" s="186" t="n">
        <f aca="false">Таблица32[[#This Row],[Столбец7]]*Таблица32[[#This Row],[Gruppa buxgalter]]%</f>
        <v>5000</v>
      </c>
      <c r="AA149" s="186" t="n">
        <f aca="false">Таблица32[[#This Row],[Столбец7]]*Таблица32[[#This Row],[Gruppa bank klient ]]%</f>
        <v>5000</v>
      </c>
      <c r="AB149" s="186" t="n">
        <f aca="false">Таблица32[[#This Row],[1c]]*Таблица32[[#This Row],[Столбец7]]/100</f>
        <v>5000</v>
      </c>
      <c r="AC149" s="187" t="n">
        <f aca="false">SUM(Таблица32[[#This Row],[Didox]:[ мехнат]],Таблица32[[#This Row],[Avtokameral]])*Таблица32[[#This Row],[Столбец7]]/100</f>
        <v>5000</v>
      </c>
      <c r="AD149" s="187" t="n">
        <f aca="false">SUM(Таблица32[[#This Row],[Pul oqimlari]:[Foyda va zarar]])*Таблица32[[#This Row],[Столбец7]]/100</f>
        <v>5000</v>
      </c>
      <c r="AE149" s="186" t="n">
        <f aca="false">Таблица32[[#This Row],[Столбец7]]*Таблица32[[#This Row],[Nazoratchi]]%</f>
        <v>2500</v>
      </c>
      <c r="AF149" s="186" t="n">
        <f aca="false">Таблица32[[#This Row],[Ishga vaqtida kelish nazoratchi]]+Таблица32[[#This Row],[Nazoratchi2]]</f>
        <v>2500</v>
      </c>
      <c r="AG149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16000</v>
      </c>
      <c r="AH149" s="186" t="n">
        <f aca="false">Таблица32[[#This Row],[Ishga kelish bank klient3]]+Таблица32[[#This Row],[Gruppa bank klient 2]]</f>
        <v>10000</v>
      </c>
    </row>
    <row r="150" customFormat="false" ht="17.35" hidden="false" customHeight="false" outlineLevel="0" collapsed="false">
      <c r="A150" s="112" t="n">
        <v>148</v>
      </c>
      <c r="B150" s="133" t="s">
        <v>358</v>
      </c>
      <c r="C150" s="113" t="s">
        <v>223</v>
      </c>
      <c r="D150" s="133" t="s">
        <v>224</v>
      </c>
      <c r="E150" s="134" t="n">
        <v>3000000</v>
      </c>
      <c r="F150" s="113" t="s">
        <v>210</v>
      </c>
      <c r="G150" s="174" t="n">
        <v>-0.8</v>
      </c>
      <c r="H150" s="174" t="n">
        <v>1</v>
      </c>
      <c r="I150" s="184"/>
      <c r="J150" s="174" t="n">
        <v>-0.5</v>
      </c>
      <c r="K150" s="174" t="n">
        <v>1</v>
      </c>
      <c r="L150" s="180" t="n">
        <v>0.25</v>
      </c>
      <c r="M150" s="180" t="n">
        <v>0.25</v>
      </c>
      <c r="N150" s="180" t="n">
        <v>0.25</v>
      </c>
      <c r="O150" s="180" t="n">
        <v>1</v>
      </c>
      <c r="P150" s="180" t="n">
        <v>0.25</v>
      </c>
      <c r="Q150" s="180" t="n">
        <v>-0.2</v>
      </c>
      <c r="R150" s="180" t="n">
        <v>0.2</v>
      </c>
      <c r="S150" s="180" t="n">
        <v>0.2</v>
      </c>
      <c r="T150" s="180" t="n">
        <v>0.2</v>
      </c>
      <c r="U150" s="180" t="n">
        <v>0.2</v>
      </c>
      <c r="V150" s="174" t="n">
        <v>-0.5</v>
      </c>
      <c r="W150" s="185" t="n">
        <f aca="false">Таблица32[[#This Row],[Столбец7]]*Таблица32[[#This Row],[Ishga kelish nazoratchi2]]%</f>
        <v>0</v>
      </c>
      <c r="X150" s="186" t="n">
        <f aca="false">Таблица32[[#This Row],[Столбец7]]*Таблица32[[#This Row],[Ishga vaqtida kelish ketish]]%</f>
        <v>-24000</v>
      </c>
      <c r="Y150" s="177" t="n">
        <f aca="false">Таблица32[[#This Row],[Столбец7]]*Таблица32[[#This Row],[Ishga kelish bank klient]]%</f>
        <v>30000</v>
      </c>
      <c r="Z150" s="186" t="n">
        <f aca="false">Таблица32[[#This Row],[Столбец7]]*Таблица32[[#This Row],[Gruppa buxgalter]]%</f>
        <v>-15000</v>
      </c>
      <c r="AA150" s="186" t="n">
        <f aca="false">Таблица32[[#This Row],[Столбец7]]*Таблица32[[#This Row],[Gruppa bank klient ]]%</f>
        <v>30000</v>
      </c>
      <c r="AB150" s="186" t="n">
        <f aca="false">Таблица32[[#This Row],[1c]]*Таблица32[[#This Row],[Столбец7]]/100</f>
        <v>30000</v>
      </c>
      <c r="AC150" s="187" t="n">
        <f aca="false">SUM(Таблица32[[#This Row],[Didox]:[ мехнат]],Таблица32[[#This Row],[Avtokameral]])*Таблица32[[#This Row],[Столбец7]]/100</f>
        <v>30000</v>
      </c>
      <c r="AD150" s="187" t="n">
        <f aca="false">SUM(Таблица32[[#This Row],[Pul oqimlari]:[Foyda va zarar]])*Таблица32[[#This Row],[Столбец7]]/100</f>
        <v>18000</v>
      </c>
      <c r="AE150" s="186" t="n">
        <f aca="false">Таблица32[[#This Row],[Столбец7]]*Таблица32[[#This Row],[Nazoratchi]]%</f>
        <v>-15000</v>
      </c>
      <c r="AF150" s="186" t="n">
        <f aca="false">Таблица32[[#This Row],[Ishga vaqtida kelish nazoratchi]]+Таблица32[[#This Row],[Nazoratchi2]]</f>
        <v>-15000</v>
      </c>
      <c r="AG150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39000</v>
      </c>
      <c r="AH150" s="186" t="n">
        <f aca="false">Таблица32[[#This Row],[Ishga kelish bank klient3]]+Таблица32[[#This Row],[Gruppa bank klient 2]]</f>
        <v>60000</v>
      </c>
    </row>
    <row r="151" customFormat="false" ht="17.35" hidden="false" customHeight="false" outlineLevel="0" collapsed="false">
      <c r="A151" s="112" t="n">
        <v>149</v>
      </c>
      <c r="B151" s="133" t="s">
        <v>359</v>
      </c>
      <c r="C151" s="136" t="s">
        <v>222</v>
      </c>
      <c r="D151" s="133" t="s">
        <v>238</v>
      </c>
      <c r="E151" s="137" t="n">
        <v>5000000</v>
      </c>
      <c r="F151" s="138" t="s">
        <v>213</v>
      </c>
      <c r="G151" s="174" t="n">
        <v>-0.05</v>
      </c>
      <c r="H151" s="174" t="n">
        <v>1</v>
      </c>
      <c r="I151" s="184"/>
      <c r="J151" s="174" t="n">
        <v>1</v>
      </c>
      <c r="K151" s="174" t="n">
        <v>1</v>
      </c>
      <c r="L151" s="175" t="n">
        <v>0</v>
      </c>
      <c r="M151" s="175" t="n">
        <v>0.25</v>
      </c>
      <c r="N151" s="175"/>
      <c r="O151" s="180"/>
      <c r="P151" s="175" t="n">
        <v>-0.25</v>
      </c>
      <c r="Q151" s="180" t="n">
        <v>0.2</v>
      </c>
      <c r="R151" s="180" t="n">
        <v>0.2</v>
      </c>
      <c r="S151" s="180" t="n">
        <v>0.2</v>
      </c>
      <c r="T151" s="180" t="n">
        <v>0.2</v>
      </c>
      <c r="U151" s="180" t="n">
        <v>0.2</v>
      </c>
      <c r="V151" s="117" t="n">
        <v>0.5</v>
      </c>
      <c r="W151" s="185" t="n">
        <f aca="false">Таблица32[[#This Row],[Столбец7]]*Таблица32[[#This Row],[Ishga kelish nazoratchi2]]%</f>
        <v>0</v>
      </c>
      <c r="X151" s="186" t="n">
        <f aca="false">Таблица32[[#This Row],[Столбец7]]*Таблица32[[#This Row],[Ishga vaqtida kelish ketish]]%</f>
        <v>-2500</v>
      </c>
      <c r="Y151" s="177" t="n">
        <f aca="false">Таблица32[[#This Row],[Столбец7]]*Таблица32[[#This Row],[Ishga kelish bank klient]]%</f>
        <v>50000</v>
      </c>
      <c r="Z151" s="186" t="n">
        <f aca="false">Таблица32[[#This Row],[Столбец7]]*Таблица32[[#This Row],[Gruppa buxgalter]]%</f>
        <v>50000</v>
      </c>
      <c r="AA151" s="186" t="n">
        <f aca="false">Таблица32[[#This Row],[Столбец7]]*Таблица32[[#This Row],[Gruppa bank klient ]]%</f>
        <v>50000</v>
      </c>
      <c r="AB151" s="186" t="n">
        <f aca="false">Таблица32[[#This Row],[1c]]*Таблица32[[#This Row],[Столбец7]]/100</f>
        <v>0</v>
      </c>
      <c r="AC151" s="187" t="n">
        <f aca="false">SUM(Таблица32[[#This Row],[Didox]:[ мехнат]],Таблица32[[#This Row],[Avtokameral]])*Таблица32[[#This Row],[Столбец7]]/100</f>
        <v>0</v>
      </c>
      <c r="AD151" s="187" t="n">
        <f aca="false">SUM(Таблица32[[#This Row],[Pul oqimlari]:[Foyda va zarar]])*Таблица32[[#This Row],[Столбец7]]/100</f>
        <v>50000</v>
      </c>
      <c r="AE151" s="186" t="n">
        <f aca="false">Таблица32[[#This Row],[Столбец7]]*Таблица32[[#This Row],[Nazoratchi]]%</f>
        <v>25000</v>
      </c>
      <c r="AF151" s="186" t="n">
        <f aca="false">Таблица32[[#This Row],[Ishga vaqtida kelish nazoratchi]]+Таблица32[[#This Row],[Nazoratchi2]]</f>
        <v>25000</v>
      </c>
      <c r="AG151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97500</v>
      </c>
      <c r="AH151" s="186" t="n">
        <f aca="false">Таблица32[[#This Row],[Ishga kelish bank klient3]]+Таблица32[[#This Row],[Gruppa bank klient 2]]</f>
        <v>100000</v>
      </c>
    </row>
    <row r="152" customFormat="false" ht="17.35" hidden="false" customHeight="false" outlineLevel="0" collapsed="false">
      <c r="A152" s="112" t="n">
        <v>150</v>
      </c>
      <c r="B152" s="133" t="s">
        <v>360</v>
      </c>
      <c r="C152" s="136" t="s">
        <v>222</v>
      </c>
      <c r="D152" s="133" t="s">
        <v>238</v>
      </c>
      <c r="E152" s="137" t="n">
        <v>0</v>
      </c>
      <c r="F152" s="138" t="s">
        <v>213</v>
      </c>
      <c r="G152" s="174" t="n">
        <v>-0.05</v>
      </c>
      <c r="H152" s="174" t="n">
        <v>1</v>
      </c>
      <c r="I152" s="184"/>
      <c r="J152" s="174" t="n">
        <v>1</v>
      </c>
      <c r="K152" s="174" t="n">
        <v>1</v>
      </c>
      <c r="L152" s="175" t="n">
        <v>-0.25</v>
      </c>
      <c r="M152" s="175" t="n">
        <v>0.25</v>
      </c>
      <c r="N152" s="175"/>
      <c r="O152" s="175"/>
      <c r="P152" s="175" t="n">
        <v>0.25</v>
      </c>
      <c r="Q152" s="175" t="n">
        <v>0</v>
      </c>
      <c r="R152" s="175" t="n">
        <v>0</v>
      </c>
      <c r="S152" s="175" t="n">
        <v>0</v>
      </c>
      <c r="T152" s="175" t="n">
        <v>0</v>
      </c>
      <c r="U152" s="175" t="n">
        <v>0</v>
      </c>
      <c r="V152" s="117" t="n">
        <v>0.5</v>
      </c>
      <c r="W152" s="185" t="n">
        <f aca="false">Таблица32[[#This Row],[Столбец7]]*Таблица32[[#This Row],[Ishga kelish nazoratchi2]]%</f>
        <v>0</v>
      </c>
      <c r="X152" s="186" t="n">
        <f aca="false">Таблица32[[#This Row],[Столбец7]]*Таблица32[[#This Row],[Ishga vaqtida kelish ketish]]%</f>
        <v>0</v>
      </c>
      <c r="Y152" s="177" t="n">
        <f aca="false">Таблица32[[#This Row],[Столбец7]]*Таблица32[[#This Row],[Ishga kelish bank klient]]%</f>
        <v>0</v>
      </c>
      <c r="Z152" s="186" t="n">
        <f aca="false">Таблица32[[#This Row],[Столбец7]]*Таблица32[[#This Row],[Gruppa buxgalter]]%</f>
        <v>0</v>
      </c>
      <c r="AA152" s="186" t="n">
        <f aca="false">Таблица32[[#This Row],[Столбец7]]*Таблица32[[#This Row],[Gruppa bank klient ]]%</f>
        <v>0</v>
      </c>
      <c r="AB152" s="186" t="n">
        <f aca="false">Таблица32[[#This Row],[1c]]*Таблица32[[#This Row],[Столбец7]]/100</f>
        <v>0</v>
      </c>
      <c r="AC152" s="187" t="n">
        <f aca="false">SUM(Таблица32[[#This Row],[Didox]:[ мехнат]],Таблица32[[#This Row],[Avtokameral]])*Таблица32[[#This Row],[Столбец7]]/100</f>
        <v>0</v>
      </c>
      <c r="AD152" s="187" t="n">
        <f aca="false">SUM(Таблица32[[#This Row],[Pul oqimlari]:[Foyda va zarar]])*Таблица32[[#This Row],[Столбец7]]/100</f>
        <v>0</v>
      </c>
      <c r="AE152" s="186" t="n">
        <f aca="false">Таблица32[[#This Row],[Столбец7]]*Таблица32[[#This Row],[Nazoratchi]]%</f>
        <v>0</v>
      </c>
      <c r="AF152" s="186" t="n">
        <f aca="false">Таблица32[[#This Row],[Ishga vaqtida kelish nazoratchi]]+Таблица32[[#This Row],[Nazoratchi2]]</f>
        <v>0</v>
      </c>
      <c r="AG152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52" s="186" t="n">
        <f aca="false">Таблица32[[#This Row],[Ishga kelish bank klient3]]+Таблица32[[#This Row],[Gruppa bank klient 2]]</f>
        <v>0</v>
      </c>
    </row>
    <row r="153" customFormat="false" ht="17.35" hidden="false" customHeight="false" outlineLevel="0" collapsed="false">
      <c r="A153" s="112" t="n">
        <v>151</v>
      </c>
      <c r="B153" s="133" t="s">
        <v>361</v>
      </c>
      <c r="C153" s="113" t="s">
        <v>208</v>
      </c>
      <c r="D153" s="114" t="s">
        <v>238</v>
      </c>
      <c r="E153" s="130" t="n">
        <v>500000</v>
      </c>
      <c r="F153" s="117" t="s">
        <v>210</v>
      </c>
      <c r="G153" s="174"/>
      <c r="H153" s="174" t="n">
        <v>1</v>
      </c>
      <c r="I153" s="184"/>
      <c r="J153" s="174" t="n">
        <v>1</v>
      </c>
      <c r="K153" s="174" t="n">
        <v>1</v>
      </c>
      <c r="L153" s="180" t="n">
        <v>0.25</v>
      </c>
      <c r="M153" s="180" t="n">
        <v>0.25</v>
      </c>
      <c r="N153" s="180" t="n">
        <v>0.25</v>
      </c>
      <c r="O153" s="180"/>
      <c r="P153" s="180" t="n">
        <v>0.25</v>
      </c>
      <c r="Q153" s="180" t="n">
        <v>0</v>
      </c>
      <c r="R153" s="180" t="n">
        <v>0.2</v>
      </c>
      <c r="S153" s="180" t="n">
        <v>0.2</v>
      </c>
      <c r="T153" s="180" t="n">
        <v>0.2</v>
      </c>
      <c r="U153" s="180" t="n">
        <v>0.2</v>
      </c>
      <c r="V153" s="117" t="n">
        <v>0.5</v>
      </c>
      <c r="W153" s="185" t="n">
        <f aca="false">Таблица32[[#This Row],[Столбец7]]*Таблица32[[#This Row],[Ishga kelish nazoratchi2]]%</f>
        <v>0</v>
      </c>
      <c r="X153" s="186" t="n">
        <f aca="false">Таблица32[[#This Row],[Столбец7]]*Таблица32[[#This Row],[Ishga vaqtida kelish ketish]]%</f>
        <v>0</v>
      </c>
      <c r="Y153" s="177" t="n">
        <f aca="false">Таблица32[[#This Row],[Столбец7]]*Таблица32[[#This Row],[Ishga kelish bank klient]]%</f>
        <v>5000</v>
      </c>
      <c r="Z153" s="186" t="n">
        <f aca="false">Таблица32[[#This Row],[Столбец7]]*Таблица32[[#This Row],[Gruppa buxgalter]]%</f>
        <v>5000</v>
      </c>
      <c r="AA153" s="186" t="n">
        <f aca="false">Таблица32[[#This Row],[Столбец7]]*Таблица32[[#This Row],[Gruppa bank klient ]]%</f>
        <v>5000</v>
      </c>
      <c r="AB153" s="186" t="n">
        <f aca="false">Таблица32[[#This Row],[1c]]*Таблица32[[#This Row],[Столбец7]]/100</f>
        <v>0</v>
      </c>
      <c r="AC153" s="187" t="n">
        <f aca="false">SUM(Таблица32[[#This Row],[Didox]:[ мехнат]],Таблица32[[#This Row],[Avtokameral]])*Таблица32[[#This Row],[Столбец7]]/100</f>
        <v>5000</v>
      </c>
      <c r="AD153" s="187" t="n">
        <f aca="false">SUM(Таблица32[[#This Row],[Pul oqimlari]:[Foyda va zarar]])*Таблица32[[#This Row],[Столбец7]]/100</f>
        <v>4000</v>
      </c>
      <c r="AE153" s="186" t="n">
        <f aca="false">Таблица32[[#This Row],[Столбец7]]*Таблица32[[#This Row],[Nazoratchi]]%</f>
        <v>2500</v>
      </c>
      <c r="AF153" s="186" t="n">
        <f aca="false">Таблица32[[#This Row],[Ishga vaqtida kelish nazoratchi]]+Таблица32[[#This Row],[Nazoratchi2]]</f>
        <v>2500</v>
      </c>
      <c r="AG153" s="186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14000</v>
      </c>
      <c r="AH153" s="186" t="n">
        <f aca="false">Таблица32[[#This Row],[Ishga kelish bank klient3]]+Таблица32[[#This Row],[Gruppa bank klient 2]]</f>
        <v>10000</v>
      </c>
    </row>
    <row r="154" customFormat="false" ht="17.35" hidden="false" customHeight="false" outlineLevel="0" collapsed="false">
      <c r="A154" s="112" t="n">
        <v>152</v>
      </c>
      <c r="B154" s="133" t="s">
        <v>362</v>
      </c>
      <c r="C154" s="114" t="s">
        <v>221</v>
      </c>
      <c r="D154" s="133"/>
      <c r="E154" s="137" t="n">
        <v>500000</v>
      </c>
      <c r="F154" s="113" t="s">
        <v>210</v>
      </c>
      <c r="G154" s="174"/>
      <c r="H154" s="174"/>
      <c r="I154" s="184"/>
      <c r="J154" s="174" t="n">
        <v>1</v>
      </c>
      <c r="K154" s="174"/>
      <c r="L154" s="180" t="n">
        <v>0.25</v>
      </c>
      <c r="M154" s="180" t="n">
        <v>0.25</v>
      </c>
      <c r="N154" s="180"/>
      <c r="O154" s="180"/>
      <c r="P154" s="180" t="n">
        <v>0.25</v>
      </c>
      <c r="Q154" s="175" t="n">
        <v>0</v>
      </c>
      <c r="R154" s="175" t="n">
        <v>0</v>
      </c>
      <c r="S154" s="175" t="n">
        <v>0</v>
      </c>
      <c r="T154" s="175" t="n">
        <v>0</v>
      </c>
      <c r="U154" s="175" t="n">
        <v>0</v>
      </c>
      <c r="V154" s="117" t="n">
        <v>0.5</v>
      </c>
      <c r="W154" s="185" t="n">
        <f aca="false">Таблица32[[#This Row],[Столбец7]]*Таблица32[[#This Row],[Ishga kelish nazoratchi2]]%</f>
        <v>0</v>
      </c>
      <c r="X154" s="188" t="n">
        <f aca="false">Таблица32[[#This Row],[Столбец7]]*Таблица32[[#This Row],[Ishga vaqtida kelish ketish]]%</f>
        <v>0</v>
      </c>
      <c r="Y154" s="177" t="n">
        <f aca="false">Таблица32[[#This Row],[Столбец7]]*Таблица32[[#This Row],[Ishga kelish bank klient]]%</f>
        <v>0</v>
      </c>
      <c r="Z154" s="188" t="n">
        <f aca="false">Таблица32[[#This Row],[Столбец7]]*Таблица32[[#This Row],[Gruppa buxgalter]]%</f>
        <v>5000</v>
      </c>
      <c r="AA154" s="188" t="n">
        <f aca="false">Таблица32[[#This Row],[Столбец7]]*Таблица32[[#This Row],[Gruppa bank klient ]]%</f>
        <v>0</v>
      </c>
      <c r="AB154" s="188" t="n">
        <f aca="false">Таблица32[[#This Row],[1c]]*Таблица32[[#This Row],[Столбец7]]/100</f>
        <v>0</v>
      </c>
      <c r="AC154" s="187" t="n">
        <f aca="false">SUM(Таблица32[[#This Row],[Didox]:[ мехнат]],Таблица32[[#This Row],[Avtokameral]])*Таблица32[[#This Row],[Столбец7]]/100</f>
        <v>3750</v>
      </c>
      <c r="AD154" s="187" t="n">
        <f aca="false">SUM(Таблица32[[#This Row],[Pul oqimlari]:[Foyda va zarar]])*Таблица32[[#This Row],[Столбец7]]/100</f>
        <v>0</v>
      </c>
      <c r="AE154" s="188" t="n">
        <f aca="false">Таблица32[[#This Row],[Столбец7]]*Таблица32[[#This Row],[Nazoratchi]]%</f>
        <v>2500</v>
      </c>
      <c r="AF154" s="186" t="n">
        <f aca="false">Таблица32[[#This Row],[Ishga vaqtida kelish nazoratchi]]+Таблица32[[#This Row],[Nazoratchi2]]</f>
        <v>2500</v>
      </c>
      <c r="AG15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154" s="189" t="n">
        <f aca="false">Таблица32[[#This Row],[Ishga kelish bank klient3]]+Таблица32[[#This Row],[Gruppa bank klient 2]]</f>
        <v>0</v>
      </c>
    </row>
    <row r="155" customFormat="false" ht="17.35" hidden="false" customHeight="false" outlineLevel="0" collapsed="false">
      <c r="A155" s="112" t="n">
        <v>153</v>
      </c>
      <c r="B155" s="114" t="s">
        <v>363</v>
      </c>
      <c r="C155" s="114" t="s">
        <v>221</v>
      </c>
      <c r="D155" s="114" t="s">
        <v>224</v>
      </c>
      <c r="E155" s="130" t="n">
        <v>1000000</v>
      </c>
      <c r="F155" s="113" t="s">
        <v>210</v>
      </c>
      <c r="G155" s="174"/>
      <c r="H155" s="174" t="n">
        <v>1</v>
      </c>
      <c r="I155" s="184"/>
      <c r="J155" s="174" t="n">
        <v>1</v>
      </c>
      <c r="K155" s="174" t="n">
        <v>1</v>
      </c>
      <c r="L155" s="180" t="n">
        <v>0.25</v>
      </c>
      <c r="M155" s="180" t="n">
        <v>0.25</v>
      </c>
      <c r="N155" s="180" t="n">
        <v>0.25</v>
      </c>
      <c r="O155" s="180"/>
      <c r="P155" s="180" t="n">
        <v>-0.25</v>
      </c>
      <c r="Q155" s="175" t="n">
        <v>0.2</v>
      </c>
      <c r="R155" s="180" t="n">
        <v>0.2</v>
      </c>
      <c r="S155" s="175" t="n">
        <v>0.2</v>
      </c>
      <c r="T155" s="175" t="n">
        <v>-0.2</v>
      </c>
      <c r="U155" s="175" t="n">
        <v>-0.2</v>
      </c>
      <c r="V155" s="117" t="n">
        <v>0.5</v>
      </c>
      <c r="W155" s="185" t="n">
        <f aca="false">Таблица32[[#This Row],[Столбец7]]*Таблица32[[#This Row],[Ishga kelish nazoratchi2]]%</f>
        <v>0</v>
      </c>
      <c r="X155" s="188" t="n">
        <f aca="false">Таблица32[[#This Row],[Столбец7]]*Таблица32[[#This Row],[Ishga vaqtida kelish ketish]]%</f>
        <v>0</v>
      </c>
      <c r="Y155" s="177" t="n">
        <f aca="false">Таблица32[[#This Row],[Столбец7]]*Таблица32[[#This Row],[Ishga kelish bank klient]]%</f>
        <v>10000</v>
      </c>
      <c r="Z155" s="188" t="n">
        <f aca="false">Таблица32[[#This Row],[Столбец7]]*Таблица32[[#This Row],[Gruppa buxgalter]]%</f>
        <v>10000</v>
      </c>
      <c r="AA155" s="188" t="n">
        <f aca="false">Таблица32[[#This Row],[Столбец7]]*Таблица32[[#This Row],[Gruppa bank klient ]]%</f>
        <v>10000</v>
      </c>
      <c r="AB155" s="188" t="n">
        <f aca="false">Таблица32[[#This Row],[1c]]*Таблица32[[#This Row],[Столбец7]]/100</f>
        <v>0</v>
      </c>
      <c r="AC155" s="187" t="n">
        <f aca="false">SUM(Таблица32[[#This Row],[Didox]:[ мехнат]],Таблица32[[#This Row],[Avtokameral]])*Таблица32[[#This Row],[Столбец7]]/100</f>
        <v>5000</v>
      </c>
      <c r="AD155" s="187" t="n">
        <f aca="false">SUM(Таблица32[[#This Row],[Pul oqimlari]:[Foyda va zarar]])*Таблица32[[#This Row],[Столбец7]]/100</f>
        <v>2000</v>
      </c>
      <c r="AE155" s="188" t="n">
        <f aca="false">Таблица32[[#This Row],[Столбец7]]*Таблица32[[#This Row],[Nazoratchi]]%</f>
        <v>5000</v>
      </c>
      <c r="AF155" s="186" t="n">
        <f aca="false">Таблица32[[#This Row],[Ishga vaqtida kelish nazoratchi]]+Таблица32[[#This Row],[Nazoratchi2]]</f>
        <v>5000</v>
      </c>
      <c r="AG15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17000</v>
      </c>
      <c r="AH155" s="189" t="n">
        <f aca="false">Таблица32[[#This Row],[Ishga kelish bank klient3]]+Таблица32[[#This Row],[Gruppa bank klient 2]]</f>
        <v>20000</v>
      </c>
    </row>
    <row r="156" customFormat="false" ht="17.35" hidden="false" customHeight="false" outlineLevel="0" collapsed="false">
      <c r="A156" s="112" t="n">
        <v>154</v>
      </c>
      <c r="B156" s="114" t="s">
        <v>364</v>
      </c>
      <c r="C156" s="114" t="s">
        <v>226</v>
      </c>
      <c r="D156" s="114" t="s">
        <v>224</v>
      </c>
      <c r="E156" s="129" t="n">
        <v>700000</v>
      </c>
      <c r="F156" s="113" t="s">
        <v>213</v>
      </c>
      <c r="G156" s="174"/>
      <c r="H156" s="174" t="n">
        <v>1</v>
      </c>
      <c r="I156" s="184"/>
      <c r="J156" s="174" t="n">
        <v>1</v>
      </c>
      <c r="K156" s="174" t="n">
        <v>1</v>
      </c>
      <c r="L156" s="180" t="n">
        <v>0.25</v>
      </c>
      <c r="M156" s="180" t="n">
        <v>0.25</v>
      </c>
      <c r="N156" s="175"/>
      <c r="O156" s="175" t="n">
        <v>1</v>
      </c>
      <c r="P156" s="180" t="n">
        <v>0.25</v>
      </c>
      <c r="Q156" s="180" t="n">
        <v>0.2</v>
      </c>
      <c r="R156" s="180" t="n">
        <v>0.2</v>
      </c>
      <c r="S156" s="180" t="n">
        <v>0.2</v>
      </c>
      <c r="T156" s="180" t="n">
        <v>0.2</v>
      </c>
      <c r="U156" s="180" t="n">
        <v>0.2</v>
      </c>
      <c r="V156" s="117" t="n">
        <v>0.5</v>
      </c>
      <c r="W156" s="185" t="n">
        <f aca="false">Таблица32[[#This Row],[Столбец7]]*Таблица32[[#This Row],[Ishga kelish nazoratchi2]]%</f>
        <v>0</v>
      </c>
      <c r="X156" s="188" t="n">
        <f aca="false">Таблица32[[#This Row],[Столбец7]]*Таблица32[[#This Row],[Ishga vaqtida kelish ketish]]%</f>
        <v>0</v>
      </c>
      <c r="Y156" s="177" t="n">
        <f aca="false">Таблица32[[#This Row],[Столбец7]]*Таблица32[[#This Row],[Ishga kelish bank klient]]%</f>
        <v>7000</v>
      </c>
      <c r="Z156" s="188" t="n">
        <f aca="false">Таблица32[[#This Row],[Столбец7]]*Таблица32[[#This Row],[Gruppa buxgalter]]%</f>
        <v>7000</v>
      </c>
      <c r="AA156" s="188" t="n">
        <f aca="false">Таблица32[[#This Row],[Столбец7]]*Таблица32[[#This Row],[Gruppa bank klient ]]%</f>
        <v>7000</v>
      </c>
      <c r="AB156" s="188" t="n">
        <f aca="false">Таблица32[[#This Row],[1c]]*Таблица32[[#This Row],[Столбец7]]/100</f>
        <v>7000</v>
      </c>
      <c r="AC156" s="187" t="n">
        <f aca="false">SUM(Таблица32[[#This Row],[Didox]:[ мехнат]],Таблица32[[#This Row],[Avtokameral]])*Таблица32[[#This Row],[Столбец7]]/100</f>
        <v>5250</v>
      </c>
      <c r="AD156" s="187" t="n">
        <f aca="false">SUM(Таблица32[[#This Row],[Pul oqimlari]:[Foyda va zarar]])*Таблица32[[#This Row],[Столбец7]]/100</f>
        <v>7000</v>
      </c>
      <c r="AE156" s="188" t="n">
        <f aca="false">Таблица32[[#This Row],[Столбец7]]*Таблица32[[#This Row],[Nazoratchi]]%</f>
        <v>3500</v>
      </c>
      <c r="AF156" s="188" t="n">
        <f aca="false">Таблица32[[#This Row],[Ishga vaqtida kelish nazoratchi]]+Таблица32[[#This Row],[Nazoratchi2]]</f>
        <v>3500</v>
      </c>
      <c r="AG15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26250</v>
      </c>
      <c r="AH156" s="189" t="n">
        <f aca="false">Таблица32[[#This Row],[Ishga kelish bank klient3]]+Таблица32[[#This Row],[Gruppa bank klient 2]]</f>
        <v>14000</v>
      </c>
    </row>
    <row r="157" customFormat="false" ht="17.35" hidden="false" customHeight="false" outlineLevel="0" collapsed="false">
      <c r="A157" s="112" t="n">
        <v>155</v>
      </c>
      <c r="B157" s="140" t="s">
        <v>365</v>
      </c>
      <c r="C157" s="140" t="s">
        <v>217</v>
      </c>
      <c r="D157" s="120" t="s">
        <v>224</v>
      </c>
      <c r="E157" s="135" t="n">
        <v>1000000</v>
      </c>
      <c r="F157" s="136" t="s">
        <v>210</v>
      </c>
      <c r="G157" s="174" t="n">
        <v>0.9</v>
      </c>
      <c r="H157" s="174" t="n">
        <v>1</v>
      </c>
      <c r="I157" s="184"/>
      <c r="J157" s="174" t="n">
        <v>1</v>
      </c>
      <c r="K157" s="174" t="n">
        <v>1</v>
      </c>
      <c r="L157" s="180" t="n">
        <v>-0.25</v>
      </c>
      <c r="M157" s="180" t="n">
        <v>0.25</v>
      </c>
      <c r="N157" s="180" t="n">
        <v>0.25</v>
      </c>
      <c r="O157" s="175"/>
      <c r="P157" s="180" t="n">
        <v>-0.25</v>
      </c>
      <c r="Q157" s="180" t="n">
        <v>0.2</v>
      </c>
      <c r="R157" s="180" t="n">
        <v>0.2</v>
      </c>
      <c r="S157" s="180" t="n">
        <v>0.2</v>
      </c>
      <c r="T157" s="180" t="n">
        <v>0.2</v>
      </c>
      <c r="U157" s="180" t="n">
        <v>0.2</v>
      </c>
      <c r="V157" s="117" t="n">
        <v>0.5</v>
      </c>
      <c r="W157" s="185" t="n">
        <f aca="false">Таблица32[[#This Row],[Столбец7]]*Таблица32[[#This Row],[Ishga kelish nazoratchi2]]%</f>
        <v>0</v>
      </c>
      <c r="X157" s="188" t="n">
        <f aca="false">Таблица32[[#This Row],[Столбец7]]*Таблица32[[#This Row],[Ishga vaqtida kelish ketish]]%</f>
        <v>9000</v>
      </c>
      <c r="Y157" s="177" t="n">
        <f aca="false">Таблица32[[#This Row],[Столбец7]]*Таблица32[[#This Row],[Ishga kelish bank klient]]%</f>
        <v>10000</v>
      </c>
      <c r="Z157" s="188" t="n">
        <f aca="false">Таблица32[[#This Row],[Столбец7]]*Таблица32[[#This Row],[Gruppa buxgalter]]%</f>
        <v>10000</v>
      </c>
      <c r="AA157" s="188" t="n">
        <f aca="false">Таблица32[[#This Row],[Столбец7]]*Таблица32[[#This Row],[Gruppa bank klient ]]%</f>
        <v>10000</v>
      </c>
      <c r="AB157" s="188" t="n">
        <f aca="false">Таблица32[[#This Row],[1c]]*Таблица32[[#This Row],[Столбец7]]/100</f>
        <v>0</v>
      </c>
      <c r="AC157" s="187" t="n">
        <f aca="false">SUM(Таблица32[[#This Row],[Didox]:[ мехнат]],Таблица32[[#This Row],[Avtokameral]])*Таблица32[[#This Row],[Столбец7]]/100</f>
        <v>0</v>
      </c>
      <c r="AD157" s="187" t="n">
        <f aca="false">SUM(Таблица32[[#This Row],[Pul oqimlari]:[Foyda va zarar]])*Таблица32[[#This Row],[Столбец7]]/100</f>
        <v>10000</v>
      </c>
      <c r="AE157" s="188" t="n">
        <f aca="false">Таблица32[[#This Row],[Столбец7]]*Таблица32[[#This Row],[Nazoratchi]]%</f>
        <v>5000</v>
      </c>
      <c r="AF157" s="188" t="n">
        <f aca="false">Таблица32[[#This Row],[Ishga vaqtida kelish nazoratchi]]+Таблица32[[#This Row],[Nazoratchi2]]</f>
        <v>5000</v>
      </c>
      <c r="AG15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29000</v>
      </c>
      <c r="AH157" s="189" t="n">
        <f aca="false">Таблица32[[#This Row],[Ishga kelish bank klient3]]+Таблица32[[#This Row],[Gruppa bank klient 2]]</f>
        <v>20000</v>
      </c>
    </row>
    <row r="158" customFormat="false" ht="17.35" hidden="false" customHeight="false" outlineLevel="0" collapsed="false">
      <c r="A158" s="112" t="n">
        <v>156</v>
      </c>
      <c r="B158" s="133" t="s">
        <v>366</v>
      </c>
      <c r="C158" s="136" t="s">
        <v>210</v>
      </c>
      <c r="D158" s="133" t="s">
        <v>224</v>
      </c>
      <c r="E158" s="137" t="n">
        <v>4000000</v>
      </c>
      <c r="F158" s="138" t="s">
        <v>213</v>
      </c>
      <c r="G158" s="174" t="n">
        <v>0.05</v>
      </c>
      <c r="H158" s="174" t="n">
        <v>1</v>
      </c>
      <c r="I158" s="184"/>
      <c r="J158" s="174" t="n">
        <v>-0.5</v>
      </c>
      <c r="K158" s="174" t="n">
        <v>1</v>
      </c>
      <c r="L158" s="180" t="n">
        <v>0.25</v>
      </c>
      <c r="M158" s="180" t="n">
        <v>0.25</v>
      </c>
      <c r="N158" s="180" t="n">
        <v>0.25</v>
      </c>
      <c r="O158" s="180"/>
      <c r="P158" s="180" t="n">
        <v>0.25</v>
      </c>
      <c r="Q158" s="180" t="n">
        <v>-0.2</v>
      </c>
      <c r="R158" s="180" t="n">
        <v>0.2</v>
      </c>
      <c r="S158" s="180" t="n">
        <v>0.2</v>
      </c>
      <c r="T158" s="180" t="n">
        <v>0</v>
      </c>
      <c r="U158" s="180" t="n">
        <v>0</v>
      </c>
      <c r="V158" s="117" t="n">
        <v>-0.5</v>
      </c>
      <c r="W158" s="185" t="n">
        <f aca="false">Таблица32[[#This Row],[Столбец7]]*Таблица32[[#This Row],[Ishga kelish nazoratchi2]]%</f>
        <v>0</v>
      </c>
      <c r="X158" s="188" t="n">
        <f aca="false">Таблица32[[#This Row],[Столбец7]]*Таблица32[[#This Row],[Ishga vaqtida kelish ketish]]%</f>
        <v>2000</v>
      </c>
      <c r="Y158" s="177" t="n">
        <f aca="false">Таблица32[[#This Row],[Столбец7]]*Таблица32[[#This Row],[Ishga kelish bank klient]]%</f>
        <v>40000</v>
      </c>
      <c r="Z158" s="188" t="n">
        <f aca="false">Таблица32[[#This Row],[Столбец7]]*Таблица32[[#This Row],[Gruppa buxgalter]]%</f>
        <v>-20000</v>
      </c>
      <c r="AA158" s="188" t="n">
        <f aca="false">Таблица32[[#This Row],[Столбец7]]*Таблица32[[#This Row],[Gruppa bank klient ]]%</f>
        <v>40000</v>
      </c>
      <c r="AB158" s="188" t="n">
        <f aca="false">Таблица32[[#This Row],[1c]]*Таблица32[[#This Row],[Столбец7]]/100</f>
        <v>0</v>
      </c>
      <c r="AC158" s="187" t="n">
        <f aca="false">SUM(Таблица32[[#This Row],[Didox]:[ мехнат]],Таблица32[[#This Row],[Avtokameral]])*Таблица32[[#This Row],[Столбец7]]/100</f>
        <v>40000</v>
      </c>
      <c r="AD158" s="187" t="n">
        <f aca="false">SUM(Таблица32[[#This Row],[Pul oqimlari]:[Foyda va zarar]])*Таблица32[[#This Row],[Столбец7]]/100</f>
        <v>8000</v>
      </c>
      <c r="AE158" s="188" t="n">
        <f aca="false">Таблица32[[#This Row],[Столбец7]]*Таблица32[[#This Row],[Nazoratchi]]%</f>
        <v>-20000</v>
      </c>
      <c r="AF158" s="188" t="n">
        <f aca="false">Таблица32[[#This Row],[Ishga vaqtida kelish nazoratchi]]+Таблица32[[#This Row],[Nazoratchi2]]</f>
        <v>-20000</v>
      </c>
      <c r="AG15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30000</v>
      </c>
      <c r="AH158" s="189" t="n">
        <f aca="false">Таблица32[[#This Row],[Ishga kelish bank klient3]]+Таблица32[[#This Row],[Gruppa bank klient 2]]</f>
        <v>80000</v>
      </c>
    </row>
    <row r="159" customFormat="false" ht="17.35" hidden="false" customHeight="false" outlineLevel="0" collapsed="false">
      <c r="A159" s="112" t="n">
        <v>157</v>
      </c>
      <c r="B159" s="133" t="s">
        <v>367</v>
      </c>
      <c r="C159" s="136" t="s">
        <v>218</v>
      </c>
      <c r="D159" s="133" t="s">
        <v>238</v>
      </c>
      <c r="E159" s="134" t="n">
        <v>5000000</v>
      </c>
      <c r="F159" s="138" t="s">
        <v>210</v>
      </c>
      <c r="G159" s="174" t="n">
        <v>-0.35</v>
      </c>
      <c r="H159" s="174" t="n">
        <v>1</v>
      </c>
      <c r="I159" s="184"/>
      <c r="J159" s="174" t="n">
        <v>1</v>
      </c>
      <c r="K159" s="174" t="n">
        <v>1</v>
      </c>
      <c r="L159" s="180" t="n">
        <v>-0.25</v>
      </c>
      <c r="M159" s="180" t="n">
        <v>0.25</v>
      </c>
      <c r="N159" s="180"/>
      <c r="O159" s="180" t="n">
        <v>1</v>
      </c>
      <c r="P159" s="180" t="n">
        <v>0.25</v>
      </c>
      <c r="Q159" s="180" t="n">
        <v>0.2</v>
      </c>
      <c r="R159" s="180" t="n">
        <v>0.2</v>
      </c>
      <c r="S159" s="180" t="n">
        <v>0.2</v>
      </c>
      <c r="T159" s="180" t="n">
        <v>0.2</v>
      </c>
      <c r="U159" s="180" t="n">
        <v>0.2</v>
      </c>
      <c r="V159" s="117" t="n">
        <v>0.5</v>
      </c>
      <c r="W159" s="185" t="n">
        <f aca="false">Таблица32[[#This Row],[Столбец7]]*Таблица32[[#This Row],[Ishga kelish nazoratchi2]]%</f>
        <v>0</v>
      </c>
      <c r="X159" s="188" t="n">
        <f aca="false">Таблица32[[#This Row],[Столбец7]]*Таблица32[[#This Row],[Ishga vaqtida kelish ketish]]%</f>
        <v>-17500</v>
      </c>
      <c r="Y159" s="177" t="n">
        <f aca="false">Таблица32[[#This Row],[Столбец7]]*Таблица32[[#This Row],[Ishga kelish bank klient]]%</f>
        <v>50000</v>
      </c>
      <c r="Z159" s="188" t="n">
        <f aca="false">Таблица32[[#This Row],[Столбец7]]*Таблица32[[#This Row],[Gruppa buxgalter]]%</f>
        <v>50000</v>
      </c>
      <c r="AA159" s="188" t="n">
        <f aca="false">Таблица32[[#This Row],[Столбец7]]*Таблица32[[#This Row],[Gruppa bank klient ]]%</f>
        <v>50000</v>
      </c>
      <c r="AB159" s="188" t="n">
        <f aca="false">Таблица32[[#This Row],[1c]]*Таблица32[[#This Row],[Столбец7]]/100</f>
        <v>50000</v>
      </c>
      <c r="AC159" s="187" t="n">
        <f aca="false">SUM(Таблица32[[#This Row],[Didox]:[ мехнат]],Таблица32[[#This Row],[Avtokameral]])*Таблица32[[#This Row],[Столбец7]]/100</f>
        <v>12500</v>
      </c>
      <c r="AD159" s="187" t="n">
        <f aca="false">SUM(Таблица32[[#This Row],[Pul oqimlari]:[Foyda va zarar]])*Таблица32[[#This Row],[Столбец7]]/100</f>
        <v>50000</v>
      </c>
      <c r="AE159" s="188" t="n">
        <f aca="false">Таблица32[[#This Row],[Столбец7]]*Таблица32[[#This Row],[Nazoratchi]]%</f>
        <v>25000</v>
      </c>
      <c r="AF159" s="188" t="n">
        <f aca="false">Таблица32[[#This Row],[Ishga vaqtida kelish nazoratchi]]+Таблица32[[#This Row],[Nazoratchi2]]</f>
        <v>25000</v>
      </c>
      <c r="AG15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145000</v>
      </c>
      <c r="AH159" s="189" t="n">
        <f aca="false">Таблица32[[#This Row],[Ishga kelish bank klient3]]+Таблица32[[#This Row],[Gruppa bank klient 2]]</f>
        <v>100000</v>
      </c>
    </row>
    <row r="160" customFormat="false" ht="17.35" hidden="false" customHeight="false" outlineLevel="0" collapsed="false">
      <c r="A160" s="112" t="n">
        <v>158</v>
      </c>
      <c r="B160" s="133" t="s">
        <v>368</v>
      </c>
      <c r="C160" s="114" t="s">
        <v>225</v>
      </c>
      <c r="D160" s="133"/>
      <c r="E160" s="137" t="n">
        <v>3000000</v>
      </c>
      <c r="F160" s="138" t="s">
        <v>210</v>
      </c>
      <c r="G160" s="174"/>
      <c r="H160" s="174"/>
      <c r="I160" s="184"/>
      <c r="J160" s="174" t="n">
        <v>1</v>
      </c>
      <c r="K160" s="174"/>
      <c r="L160" s="180" t="n">
        <v>0</v>
      </c>
      <c r="M160" s="180" t="n">
        <v>0.25</v>
      </c>
      <c r="N160" s="175"/>
      <c r="O160" s="175"/>
      <c r="P160" s="180" t="n">
        <v>0.25</v>
      </c>
      <c r="Q160" s="180" t="n">
        <v>0</v>
      </c>
      <c r="R160" s="180" t="n">
        <v>0</v>
      </c>
      <c r="S160" s="180" t="n">
        <v>0</v>
      </c>
      <c r="T160" s="180" t="n">
        <v>0</v>
      </c>
      <c r="U160" s="180" t="n">
        <v>0</v>
      </c>
      <c r="V160" s="117" t="n">
        <v>0.5</v>
      </c>
      <c r="W160" s="185" t="n">
        <f aca="false">Таблица32[[#This Row],[Столбец7]]*Таблица32[[#This Row],[Ishga kelish nazoratchi2]]%</f>
        <v>0</v>
      </c>
      <c r="X160" s="188" t="n">
        <f aca="false">Таблица32[[#This Row],[Столбец7]]*Таблица32[[#This Row],[Ishga vaqtida kelish ketish]]%</f>
        <v>0</v>
      </c>
      <c r="Y160" s="177" t="n">
        <f aca="false">Таблица32[[#This Row],[Столбец7]]*Таблица32[[#This Row],[Ishga kelish bank klient]]%</f>
        <v>0</v>
      </c>
      <c r="Z160" s="188" t="n">
        <f aca="false">Таблица32[[#This Row],[Столбец7]]*Таблица32[[#This Row],[Gruppa buxgalter]]%</f>
        <v>30000</v>
      </c>
      <c r="AA160" s="188" t="n">
        <f aca="false">Таблица32[[#This Row],[Столбец7]]*Таблица32[[#This Row],[Gruppa bank klient ]]%</f>
        <v>0</v>
      </c>
      <c r="AB160" s="188" t="n">
        <f aca="false">Таблица32[[#This Row],[1c]]*Таблица32[[#This Row],[Столбец7]]/100</f>
        <v>0</v>
      </c>
      <c r="AC160" s="187" t="n">
        <f aca="false">SUM(Таблица32[[#This Row],[Didox]:[ мехнат]],Таблица32[[#This Row],[Avtokameral]])*Таблица32[[#This Row],[Столбец7]]/100</f>
        <v>15000</v>
      </c>
      <c r="AD160" s="187" t="n">
        <f aca="false">SUM(Таблица32[[#This Row],[Pul oqimlari]:[Foyda va zarar]])*Таблица32[[#This Row],[Столбец7]]/100</f>
        <v>0</v>
      </c>
      <c r="AE160" s="188" t="n">
        <f aca="false">Таблица32[[#This Row],[Столбец7]]*Таблица32[[#This Row],[Nazoratchi]]%</f>
        <v>15000</v>
      </c>
      <c r="AF160" s="188" t="n">
        <f aca="false">Таблица32[[#This Row],[Ishga vaqtida kelish nazoratchi]]+Таблица32[[#This Row],[Nazoratchi2]]</f>
        <v>15000</v>
      </c>
      <c r="AG16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45000</v>
      </c>
      <c r="AH160" s="189" t="n">
        <f aca="false">Таблица32[[#This Row],[Ishga kelish bank klient3]]+Таблица32[[#This Row],[Gruppa bank klient 2]]</f>
        <v>0</v>
      </c>
    </row>
    <row r="161" customFormat="false" ht="17.35" hidden="false" customHeight="false" outlineLevel="0" collapsed="false">
      <c r="A161" s="112" t="n">
        <v>159</v>
      </c>
      <c r="B161" s="133" t="s">
        <v>369</v>
      </c>
      <c r="C161" s="114" t="s">
        <v>225</v>
      </c>
      <c r="D161" s="133"/>
      <c r="E161" s="137" t="n">
        <v>3000000</v>
      </c>
      <c r="F161" s="138" t="s">
        <v>210</v>
      </c>
      <c r="G161" s="174"/>
      <c r="H161" s="174"/>
      <c r="I161" s="184"/>
      <c r="J161" s="174" t="n">
        <v>1</v>
      </c>
      <c r="K161" s="174"/>
      <c r="L161" s="180" t="n">
        <v>0</v>
      </c>
      <c r="M161" s="180" t="n">
        <v>0.25</v>
      </c>
      <c r="N161" s="180"/>
      <c r="O161" s="180"/>
      <c r="P161" s="180" t="n">
        <v>0.25</v>
      </c>
      <c r="Q161" s="180" t="n">
        <v>0.2</v>
      </c>
      <c r="R161" s="180" t="n">
        <v>-0.2</v>
      </c>
      <c r="S161" s="180" t="n">
        <v>0.2</v>
      </c>
      <c r="T161" s="180" t="n">
        <v>0.2</v>
      </c>
      <c r="U161" s="180" t="n">
        <v>0.2</v>
      </c>
      <c r="V161" s="117" t="n">
        <v>0.5</v>
      </c>
      <c r="W161" s="185" t="n">
        <f aca="false">Таблица32[[#This Row],[Столбец7]]*Таблица32[[#This Row],[Ishga kelish nazoratchi2]]%</f>
        <v>0</v>
      </c>
      <c r="X161" s="188" t="n">
        <f aca="false">Таблица32[[#This Row],[Столбец7]]*Таблица32[[#This Row],[Ishga vaqtida kelish ketish]]%</f>
        <v>0</v>
      </c>
      <c r="Y161" s="177" t="n">
        <f aca="false">Таблица32[[#This Row],[Столбец7]]*Таблица32[[#This Row],[Ishga kelish bank klient]]%</f>
        <v>0</v>
      </c>
      <c r="Z161" s="188" t="n">
        <f aca="false">Таблица32[[#This Row],[Столбец7]]*Таблица32[[#This Row],[Gruppa buxgalter]]%</f>
        <v>30000</v>
      </c>
      <c r="AA161" s="188" t="n">
        <f aca="false">Таблица32[[#This Row],[Столбец7]]*Таблица32[[#This Row],[Gruppa bank klient ]]%</f>
        <v>0</v>
      </c>
      <c r="AB161" s="188" t="n">
        <f aca="false">Таблица32[[#This Row],[1c]]*Таблица32[[#This Row],[Столбец7]]/100</f>
        <v>0</v>
      </c>
      <c r="AC161" s="187" t="n">
        <f aca="false">SUM(Таблица32[[#This Row],[Didox]:[ мехнат]],Таблица32[[#This Row],[Avtokameral]])*Таблица32[[#This Row],[Столбец7]]/100</f>
        <v>15000</v>
      </c>
      <c r="AD161" s="187" t="n">
        <f aca="false">SUM(Таблица32[[#This Row],[Pul oqimlari]:[Foyda va zarar]])*Таблица32[[#This Row],[Столбец7]]/100</f>
        <v>18000</v>
      </c>
      <c r="AE161" s="188" t="n">
        <f aca="false">Таблица32[[#This Row],[Столбец7]]*Таблица32[[#This Row],[Nazoratchi]]%</f>
        <v>15000</v>
      </c>
      <c r="AF161" s="188" t="n">
        <f aca="false">Таблица32[[#This Row],[Ishga vaqtida kelish nazoratchi]]+Таблица32[[#This Row],[Nazoratchi2]]</f>
        <v>15000</v>
      </c>
      <c r="AG16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63000</v>
      </c>
      <c r="AH161" s="189" t="n">
        <f aca="false">Таблица32[[#This Row],[Ishga kelish bank klient3]]+Таблица32[[#This Row],[Gruppa bank klient 2]]</f>
        <v>0</v>
      </c>
    </row>
    <row r="162" customFormat="false" ht="17.35" hidden="false" customHeight="false" outlineLevel="0" collapsed="false">
      <c r="A162" s="112" t="n">
        <v>160</v>
      </c>
      <c r="B162" s="140" t="s">
        <v>157</v>
      </c>
      <c r="C162" s="140" t="s">
        <v>217</v>
      </c>
      <c r="D162" s="140" t="s">
        <v>224</v>
      </c>
      <c r="E162" s="135" t="n">
        <v>2000000</v>
      </c>
      <c r="F162" s="136" t="s">
        <v>210</v>
      </c>
      <c r="G162" s="174" t="n">
        <v>0.9</v>
      </c>
      <c r="H162" s="174" t="n">
        <v>1</v>
      </c>
      <c r="I162" s="184"/>
      <c r="J162" s="174" t="n">
        <v>1</v>
      </c>
      <c r="K162" s="174" t="n">
        <v>1</v>
      </c>
      <c r="L162" s="180" t="n">
        <v>0.25</v>
      </c>
      <c r="M162" s="180" t="n">
        <v>0.25</v>
      </c>
      <c r="N162" s="180" t="n">
        <v>0.25</v>
      </c>
      <c r="O162" s="175"/>
      <c r="P162" s="180" t="n">
        <v>0.25</v>
      </c>
      <c r="Q162" s="180" t="n">
        <v>0.2</v>
      </c>
      <c r="R162" s="180" t="n">
        <v>0.2</v>
      </c>
      <c r="S162" s="180" t="n">
        <v>0.2</v>
      </c>
      <c r="T162" s="180" t="n">
        <v>0.2</v>
      </c>
      <c r="U162" s="180" t="n">
        <v>0.2</v>
      </c>
      <c r="V162" s="117" t="n">
        <v>0.5</v>
      </c>
      <c r="W162" s="185" t="n">
        <f aca="false">Таблица32[[#This Row],[Столбец7]]*Таблица32[[#This Row],[Ishga kelish nazoratchi2]]%</f>
        <v>0</v>
      </c>
      <c r="X162" s="188" t="n">
        <f aca="false">Таблица32[[#This Row],[Столбец7]]*Таблица32[[#This Row],[Ishga vaqtida kelish ketish]]%</f>
        <v>18000</v>
      </c>
      <c r="Y162" s="186" t="n">
        <f aca="false">Таблица32[[#This Row],[Столбец7]]*Таблица32[[#This Row],[Ishga kelish bank klient]]%</f>
        <v>20000</v>
      </c>
      <c r="Z162" s="188" t="n">
        <f aca="false">Таблица32[[#This Row],[Столбец7]]*Таблица32[[#This Row],[Gruppa buxgalter]]%</f>
        <v>20000</v>
      </c>
      <c r="AA162" s="188" t="n">
        <f aca="false">Таблица32[[#This Row],[Столбец7]]*Таблица32[[#This Row],[Gruppa bank klient ]]%</f>
        <v>20000</v>
      </c>
      <c r="AB162" s="188" t="n">
        <f aca="false">Таблица32[[#This Row],[1c]]*Таблица32[[#This Row],[Столбец7]]/100</f>
        <v>0</v>
      </c>
      <c r="AC162" s="187" t="n">
        <f aca="false">SUM(Таблица32[[#This Row],[Didox]:[ мехнат]],Таблица32[[#This Row],[Avtokameral]])*Таблица32[[#This Row],[Столбец7]]/100</f>
        <v>20000</v>
      </c>
      <c r="AD162" s="187" t="n">
        <f aca="false">SUM(Таблица32[[#This Row],[Pul oqimlari]:[Foyda va zarar]])*Таблица32[[#This Row],[Столбец7]]/100</f>
        <v>20000</v>
      </c>
      <c r="AE162" s="188" t="n">
        <f aca="false">Таблица32[[#This Row],[Столбец7]]*Таблица32[[#This Row],[Nazoratchi]]%</f>
        <v>10000</v>
      </c>
      <c r="AF162" s="188" t="n">
        <f aca="false">Таблица32[[#This Row],[Ishga vaqtida kelish nazoratchi]]+Таблица32[[#This Row],[Nazoratchi2]]</f>
        <v>10000</v>
      </c>
      <c r="AG16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78000</v>
      </c>
      <c r="AH162" s="188" t="n">
        <f aca="false">Таблица32[[#This Row],[Ishga kelish bank klient3]]+Таблица32[[#This Row],[Gruppa bank klient 2]]</f>
        <v>40000</v>
      </c>
    </row>
    <row r="163" customFormat="false" ht="17.35" hidden="false" customHeight="false" outlineLevel="0" collapsed="false">
      <c r="A163" s="112" t="n">
        <v>161</v>
      </c>
      <c r="B163" s="133" t="s">
        <v>370</v>
      </c>
      <c r="C163" s="136" t="s">
        <v>226</v>
      </c>
      <c r="D163" s="133"/>
      <c r="E163" s="134" t="n">
        <v>500000</v>
      </c>
      <c r="F163" s="113" t="s">
        <v>213</v>
      </c>
      <c r="G163" s="174"/>
      <c r="H163" s="174"/>
      <c r="I163" s="184"/>
      <c r="J163" s="174" t="n">
        <v>1</v>
      </c>
      <c r="K163" s="174"/>
      <c r="L163" s="175" t="n">
        <v>0.25</v>
      </c>
      <c r="M163" s="175" t="n">
        <v>0.25</v>
      </c>
      <c r="N163" s="175"/>
      <c r="O163" s="175"/>
      <c r="P163" s="175" t="n">
        <v>0.25</v>
      </c>
      <c r="Q163" s="175" t="n">
        <v>0</v>
      </c>
      <c r="R163" s="175" t="n">
        <v>0.2</v>
      </c>
      <c r="S163" s="175" t="n">
        <v>0</v>
      </c>
      <c r="T163" s="175" t="n">
        <v>0</v>
      </c>
      <c r="U163" s="175" t="n">
        <v>0</v>
      </c>
      <c r="V163" s="117" t="n">
        <v>0.5</v>
      </c>
      <c r="W163" s="185" t="n">
        <f aca="false">Таблица32[[#This Row],[Столбец7]]*Таблица32[[#This Row],[Ishga kelish nazoratchi2]]%</f>
        <v>0</v>
      </c>
      <c r="X163" s="188" t="n">
        <f aca="false">Таблица32[[#This Row],[Столбец7]]*Таблица32[[#This Row],[Ishga vaqtida kelish ketish]]%</f>
        <v>0</v>
      </c>
      <c r="Y163" s="186" t="n">
        <f aca="false">Таблица32[[#This Row],[Столбец7]]*Таблица32[[#This Row],[Ishga kelish bank klient]]%</f>
        <v>0</v>
      </c>
      <c r="Z163" s="188" t="n">
        <f aca="false">Таблица32[[#This Row],[Столбец7]]*Таблица32[[#This Row],[Gruppa buxgalter]]%</f>
        <v>5000</v>
      </c>
      <c r="AA163" s="188" t="n">
        <f aca="false">Таблица32[[#This Row],[Столбец7]]*Таблица32[[#This Row],[Gruppa bank klient ]]%</f>
        <v>0</v>
      </c>
      <c r="AB163" s="188" t="n">
        <f aca="false">Таблица32[[#This Row],[1c]]*Таблица32[[#This Row],[Столбец7]]/100</f>
        <v>0</v>
      </c>
      <c r="AC163" s="187" t="n">
        <f aca="false">SUM(Таблица32[[#This Row],[Didox]:[ мехнат]],Таблица32[[#This Row],[Avtokameral]])*Таблица32[[#This Row],[Столбец7]]/100</f>
        <v>3750</v>
      </c>
      <c r="AD163" s="187" t="n">
        <f aca="false">SUM(Таблица32[[#This Row],[Pul oqimlari]:[Foyda va zarar]])*Таблица32[[#This Row],[Столбец7]]/100</f>
        <v>1000</v>
      </c>
      <c r="AE163" s="188" t="n">
        <f aca="false">Таблица32[[#This Row],[Столбец7]]*Таблица32[[#This Row],[Nazoratchi]]%</f>
        <v>2500</v>
      </c>
      <c r="AF163" s="188" t="n">
        <f aca="false">Таблица32[[#This Row],[Ishga vaqtida kelish nazoratchi]]+Таблица32[[#This Row],[Nazoratchi2]]</f>
        <v>2500</v>
      </c>
      <c r="AG16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9750</v>
      </c>
      <c r="AH163" s="188" t="n">
        <f aca="false">Таблица32[[#This Row],[Ishga kelish bank klient3]]+Таблица32[[#This Row],[Gruppa bank klient 2]]</f>
        <v>0</v>
      </c>
    </row>
    <row r="164" customFormat="false" ht="17.35" hidden="false" customHeight="false" outlineLevel="0" collapsed="false">
      <c r="A164" s="112" t="n">
        <v>162</v>
      </c>
      <c r="B164" s="133" t="s">
        <v>371</v>
      </c>
      <c r="C164" s="136" t="s">
        <v>208</v>
      </c>
      <c r="D164" s="133" t="s">
        <v>238</v>
      </c>
      <c r="E164" s="134" t="n">
        <v>1500000</v>
      </c>
      <c r="F164" s="138" t="s">
        <v>210</v>
      </c>
      <c r="G164" s="174"/>
      <c r="H164" s="174" t="n">
        <v>1</v>
      </c>
      <c r="I164" s="184"/>
      <c r="J164" s="174" t="n">
        <v>1</v>
      </c>
      <c r="K164" s="174" t="n">
        <v>1</v>
      </c>
      <c r="L164" s="175" t="n">
        <v>-0.25</v>
      </c>
      <c r="M164" s="175" t="n">
        <v>0.25</v>
      </c>
      <c r="N164" s="175"/>
      <c r="O164" s="175"/>
      <c r="P164" s="175" t="n">
        <v>-0.25</v>
      </c>
      <c r="Q164" s="175" t="n">
        <v>0</v>
      </c>
      <c r="R164" s="175" t="n">
        <v>0</v>
      </c>
      <c r="S164" s="175" t="n">
        <v>0.2</v>
      </c>
      <c r="T164" s="175" t="n">
        <v>0.2</v>
      </c>
      <c r="U164" s="175" t="n">
        <v>0</v>
      </c>
      <c r="V164" s="117" t="n">
        <v>0.5</v>
      </c>
      <c r="W164" s="185" t="n">
        <f aca="false">Таблица32[[#This Row],[Столбец7]]*Таблица32[[#This Row],[Ishga kelish nazoratchi2]]%</f>
        <v>0</v>
      </c>
      <c r="X164" s="188" t="n">
        <f aca="false">Таблица32[[#This Row],[Столбец7]]*Таблица32[[#This Row],[Ishga vaqtida kelish ketish]]%</f>
        <v>0</v>
      </c>
      <c r="Y164" s="186" t="n">
        <f aca="false">Таблица32[[#This Row],[Столбец7]]*Таблица32[[#This Row],[Ishga kelish bank klient]]%</f>
        <v>15000</v>
      </c>
      <c r="Z164" s="188" t="n">
        <f aca="false">Таблица32[[#This Row],[Столбец7]]*Таблица32[[#This Row],[Gruppa buxgalter]]%</f>
        <v>15000</v>
      </c>
      <c r="AA164" s="188" t="n">
        <f aca="false">Таблица32[[#This Row],[Столбец7]]*Таблица32[[#This Row],[Gruppa bank klient ]]%</f>
        <v>15000</v>
      </c>
      <c r="AB164" s="188" t="n">
        <f aca="false">Таблица32[[#This Row],[1c]]*Таблица32[[#This Row],[Столбец7]]/100</f>
        <v>0</v>
      </c>
      <c r="AC164" s="187" t="n">
        <f aca="false">SUM(Таблица32[[#This Row],[Didox]:[ мехнат]],Таблица32[[#This Row],[Avtokameral]])*Таблица32[[#This Row],[Столбец7]]/100</f>
        <v>-3750</v>
      </c>
      <c r="AD164" s="187" t="n">
        <f aca="false">SUM(Таблица32[[#This Row],[Pul oqimlari]:[Foyda va zarar]])*Таблица32[[#This Row],[Столбец7]]/100</f>
        <v>6000</v>
      </c>
      <c r="AE164" s="188" t="n">
        <f aca="false">Таблица32[[#This Row],[Столбец7]]*Таблица32[[#This Row],[Nazoratchi]]%</f>
        <v>7500</v>
      </c>
      <c r="AF164" s="188" t="n">
        <f aca="false">Таблица32[[#This Row],[Ishga vaqtida kelish nazoratchi]]+Таблица32[[#This Row],[Nazoratchi2]]</f>
        <v>7500</v>
      </c>
      <c r="AG16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17250</v>
      </c>
      <c r="AH164" s="188" t="n">
        <f aca="false">Таблица32[[#This Row],[Ishga kelish bank klient3]]+Таблица32[[#This Row],[Gruppa bank klient 2]]</f>
        <v>30000</v>
      </c>
    </row>
    <row r="165" customFormat="false" ht="17.35" hidden="false" customHeight="false" outlineLevel="0" collapsed="false">
      <c r="A165" s="112" t="n">
        <v>163</v>
      </c>
      <c r="B165" s="141" t="s">
        <v>372</v>
      </c>
      <c r="C165" s="114" t="s">
        <v>230</v>
      </c>
      <c r="D165" s="141" t="s">
        <v>238</v>
      </c>
      <c r="E165" s="142" t="n">
        <v>1000000</v>
      </c>
      <c r="F165" s="113" t="s">
        <v>213</v>
      </c>
      <c r="G165" s="174" t="n">
        <v>-6</v>
      </c>
      <c r="H165" s="174" t="n">
        <v>1</v>
      </c>
      <c r="I165" s="184"/>
      <c r="J165" s="174" t="n">
        <v>1</v>
      </c>
      <c r="K165" s="174" t="n">
        <v>1</v>
      </c>
      <c r="L165" s="180" t="n">
        <v>0.25</v>
      </c>
      <c r="M165" s="180" t="n">
        <v>0.25</v>
      </c>
      <c r="N165" s="175" t="n">
        <v>0.25</v>
      </c>
      <c r="O165" s="180"/>
      <c r="P165" s="180" t="n">
        <v>0.25</v>
      </c>
      <c r="Q165" s="180" t="n">
        <v>-0.2</v>
      </c>
      <c r="R165" s="180" t="n">
        <v>0.2</v>
      </c>
      <c r="S165" s="180" t="n">
        <v>0.2</v>
      </c>
      <c r="T165" s="180" t="n">
        <v>-0.2</v>
      </c>
      <c r="U165" s="180" t="n">
        <v>-0.2</v>
      </c>
      <c r="V165" s="117" t="n">
        <v>0.5</v>
      </c>
      <c r="W165" s="185" t="n">
        <f aca="false">Таблица32[[#This Row],[Столбец7]]*Таблица32[[#This Row],[Ishga kelish nazoratchi2]]%</f>
        <v>0</v>
      </c>
      <c r="X165" s="188" t="n">
        <f aca="false">Таблица32[[#This Row],[Столбец7]]*Таблица32[[#This Row],[Ishga vaqtida kelish ketish]]%</f>
        <v>-60000</v>
      </c>
      <c r="Y165" s="186" t="n">
        <f aca="false">Таблица32[[#This Row],[Столбец7]]*Таблица32[[#This Row],[Ishga kelish bank klient]]%</f>
        <v>10000</v>
      </c>
      <c r="Z165" s="188" t="n">
        <f aca="false">Таблица32[[#This Row],[Столбец7]]*Таблица32[[#This Row],[Gruppa buxgalter]]%</f>
        <v>10000</v>
      </c>
      <c r="AA165" s="188" t="n">
        <f aca="false">Таблица32[[#This Row],[Столбец7]]*Таблица32[[#This Row],[Gruppa bank klient ]]%</f>
        <v>10000</v>
      </c>
      <c r="AB165" s="188" t="n">
        <f aca="false">Таблица32[[#This Row],[1c]]*Таблица32[[#This Row],[Столбец7]]/100</f>
        <v>0</v>
      </c>
      <c r="AC165" s="187" t="n">
        <f aca="false">SUM(Таблица32[[#This Row],[Didox]:[ мехнат]],Таблица32[[#This Row],[Avtokameral]])*Таблица32[[#This Row],[Столбец7]]/100</f>
        <v>10000</v>
      </c>
      <c r="AD165" s="187" t="n">
        <f aca="false">SUM(Таблица32[[#This Row],[Pul oqimlari]:[Foyda va zarar]])*Таблица32[[#This Row],[Столбец7]]/100</f>
        <v>-2000</v>
      </c>
      <c r="AE165" s="188" t="n">
        <f aca="false">Таблица32[[#This Row],[Столбец7]]*Таблица32[[#This Row],[Nazoratchi]]%</f>
        <v>5000</v>
      </c>
      <c r="AF165" s="188" t="n">
        <f aca="false">Таблица32[[#This Row],[Ishga vaqtida kelish nazoratchi]]+Таблица32[[#This Row],[Nazoratchi2]]</f>
        <v>5000</v>
      </c>
      <c r="AG16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-42000</v>
      </c>
      <c r="AH165" s="188" t="n">
        <f aca="false">Таблица32[[#This Row],[Ishga kelish bank klient3]]+Таблица32[[#This Row],[Gruppa bank klient 2]]</f>
        <v>20000</v>
      </c>
    </row>
    <row r="166" customFormat="false" ht="17.35" hidden="false" customHeight="false" outlineLevel="0" collapsed="false">
      <c r="A166" s="112" t="n">
        <v>164</v>
      </c>
      <c r="B166" s="141" t="s">
        <v>373</v>
      </c>
      <c r="C166" s="143" t="s">
        <v>210</v>
      </c>
      <c r="D166" s="141"/>
      <c r="E166" s="144" t="n">
        <v>300000</v>
      </c>
      <c r="F166" s="116" t="s">
        <v>213</v>
      </c>
      <c r="G166" s="174" t="n">
        <v>0.05</v>
      </c>
      <c r="H166" s="174"/>
      <c r="I166" s="184"/>
      <c r="J166" s="174" t="n">
        <v>1</v>
      </c>
      <c r="K166" s="174"/>
      <c r="L166" s="180" t="n">
        <v>0</v>
      </c>
      <c r="M166" s="180" t="n">
        <v>0</v>
      </c>
      <c r="N166" s="180" t="n">
        <v>0</v>
      </c>
      <c r="O166" s="180"/>
      <c r="P166" s="180" t="n">
        <v>0</v>
      </c>
      <c r="Q166" s="175" t="n">
        <v>0</v>
      </c>
      <c r="R166" s="175" t="n">
        <v>0</v>
      </c>
      <c r="S166" s="175" t="n">
        <v>0</v>
      </c>
      <c r="T166" s="175" t="n">
        <v>0</v>
      </c>
      <c r="U166" s="175" t="n">
        <v>0</v>
      </c>
      <c r="V166" s="174" t="n">
        <v>0.5</v>
      </c>
      <c r="W166" s="185" t="n">
        <f aca="false">Таблица32[[#This Row],[Столбец7]]*Таблица32[[#This Row],[Ishga kelish nazoratchi2]]%</f>
        <v>0</v>
      </c>
      <c r="X166" s="188" t="n">
        <f aca="false">Таблица32[[#This Row],[Столбец7]]*Таблица32[[#This Row],[Ishga vaqtida kelish ketish]]%</f>
        <v>150</v>
      </c>
      <c r="Y166" s="186" t="n">
        <f aca="false">Таблица32[[#This Row],[Столбец7]]*Таблица32[[#This Row],[Ishga kelish bank klient]]%</f>
        <v>0</v>
      </c>
      <c r="Z166" s="188" t="n">
        <f aca="false">Таблица32[[#This Row],[Столбец7]]*Таблица32[[#This Row],[Gruppa buxgalter]]%</f>
        <v>3000</v>
      </c>
      <c r="AA166" s="188" t="n">
        <f aca="false">Таблица32[[#This Row],[Столбец7]]*Таблица32[[#This Row],[Gruppa bank klient ]]%</f>
        <v>0</v>
      </c>
      <c r="AB166" s="188" t="n">
        <f aca="false">Таблица32[[#This Row],[1c]]*Таблица32[[#This Row],[Столбец7]]/100</f>
        <v>0</v>
      </c>
      <c r="AC166" s="187" t="n">
        <f aca="false">SUM(Таблица32[[#This Row],[Didox]:[ мехнат]],Таблица32[[#This Row],[Avtokameral]])*Таблица32[[#This Row],[Столбец7]]/100</f>
        <v>0</v>
      </c>
      <c r="AD166" s="187" t="n">
        <f aca="false">SUM(Таблица32[[#This Row],[Pul oqimlari]:[Foyda va zarar]])*Таблица32[[#This Row],[Столбец7]]/100</f>
        <v>0</v>
      </c>
      <c r="AE166" s="188" t="n">
        <f aca="false">Таблица32[[#This Row],[Столбец7]]*Таблица32[[#This Row],[Nazoratchi]]%</f>
        <v>1500</v>
      </c>
      <c r="AF166" s="188" t="n">
        <f aca="false">Таблица32[[#This Row],[Ishga vaqtida kelish nazoratchi]]+Таблица32[[#This Row],[Nazoratchi2]]</f>
        <v>1500</v>
      </c>
      <c r="AG16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3150</v>
      </c>
      <c r="AH166" s="188" t="n">
        <f aca="false">Таблица32[[#This Row],[Ishga kelish bank klient3]]+Таблица32[[#This Row],[Gruppa bank klient 2]]</f>
        <v>0</v>
      </c>
    </row>
    <row r="167" customFormat="false" ht="17.35" hidden="false" customHeight="false" outlineLevel="0" collapsed="false">
      <c r="A167" s="112" t="n">
        <v>165</v>
      </c>
      <c r="B167" s="141" t="s">
        <v>374</v>
      </c>
      <c r="C167" s="143" t="s">
        <v>216</v>
      </c>
      <c r="D167" s="141" t="s">
        <v>239</v>
      </c>
      <c r="E167" s="145" t="n">
        <v>7000000</v>
      </c>
      <c r="F167" s="116" t="s">
        <v>210</v>
      </c>
      <c r="G167" s="174" t="n">
        <v>-0.25</v>
      </c>
      <c r="H167" s="174" t="n">
        <v>1</v>
      </c>
      <c r="I167" s="184"/>
      <c r="J167" s="174" t="n">
        <v>1</v>
      </c>
      <c r="K167" s="174" t="n">
        <v>1</v>
      </c>
      <c r="L167" s="180" t="n">
        <v>0</v>
      </c>
      <c r="M167" s="180" t="n">
        <v>0</v>
      </c>
      <c r="N167" s="180" t="n">
        <v>0</v>
      </c>
      <c r="O167" s="180"/>
      <c r="P167" s="180" t="n">
        <v>0</v>
      </c>
      <c r="Q167" s="175" t="n">
        <v>0</v>
      </c>
      <c r="R167" s="175" t="n">
        <v>0</v>
      </c>
      <c r="S167" s="175" t="n">
        <v>0</v>
      </c>
      <c r="T167" s="175" t="n">
        <v>0</v>
      </c>
      <c r="U167" s="175" t="n">
        <v>0</v>
      </c>
      <c r="V167" s="117" t="n">
        <v>0.5</v>
      </c>
      <c r="W167" s="185" t="n">
        <f aca="false">Таблица32[[#This Row],[Столбец7]]*Таблица32[[#This Row],[Ishga kelish nazoratchi2]]%</f>
        <v>0</v>
      </c>
      <c r="X167" s="188" t="n">
        <f aca="false">Таблица32[[#This Row],[Столбец7]]*Таблица32[[#This Row],[Ishga vaqtida kelish ketish]]%</f>
        <v>-17500</v>
      </c>
      <c r="Y167" s="186" t="n">
        <f aca="false">Таблица32[[#This Row],[Столбец7]]*Таблица32[[#This Row],[Ishga kelish bank klient]]%</f>
        <v>70000</v>
      </c>
      <c r="Z167" s="188" t="n">
        <f aca="false">Таблица32[[#This Row],[Столбец7]]*Таблица32[[#This Row],[Gruppa buxgalter]]%</f>
        <v>70000</v>
      </c>
      <c r="AA167" s="188" t="n">
        <f aca="false">Таблица32[[#This Row],[Столбец7]]*Таблица32[[#This Row],[Gruppa bank klient ]]%</f>
        <v>70000</v>
      </c>
      <c r="AB167" s="188" t="n">
        <f aca="false">Таблица32[[#This Row],[1c]]*Таблица32[[#This Row],[Столбец7]]/100</f>
        <v>0</v>
      </c>
      <c r="AC167" s="187" t="n">
        <f aca="false">SUM(Таблица32[[#This Row],[Didox]:[ мехнат]],Таблица32[[#This Row],[Avtokameral]])*Таблица32[[#This Row],[Столбец7]]/100</f>
        <v>0</v>
      </c>
      <c r="AD167" s="187" t="n">
        <f aca="false">SUM(Таблица32[[#This Row],[Pul oqimlari]:[Foyda va zarar]])*Таблица32[[#This Row],[Столбец7]]/100</f>
        <v>0</v>
      </c>
      <c r="AE167" s="188" t="n">
        <f aca="false">Таблица32[[#This Row],[Столбец7]]*Таблица32[[#This Row],[Nazoratchi]]%</f>
        <v>35000</v>
      </c>
      <c r="AF167" s="188" t="n">
        <f aca="false">Таблица32[[#This Row],[Ishga vaqtida kelish nazoratchi]]+Таблица32[[#This Row],[Nazoratchi2]]</f>
        <v>35000</v>
      </c>
      <c r="AG16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52500</v>
      </c>
      <c r="AH167" s="188" t="n">
        <f aca="false">Таблица32[[#This Row],[Ishga kelish bank klient3]]+Таблица32[[#This Row],[Gruppa bank klient 2]]</f>
        <v>140000</v>
      </c>
    </row>
    <row r="168" customFormat="false" ht="17.35" hidden="false" customHeight="false" outlineLevel="0" collapsed="false">
      <c r="A168" s="112" t="n">
        <v>166</v>
      </c>
      <c r="B168" s="141" t="s">
        <v>375</v>
      </c>
      <c r="C168" s="143" t="s">
        <v>225</v>
      </c>
      <c r="D168" s="141"/>
      <c r="E168" s="144" t="n">
        <v>5000000</v>
      </c>
      <c r="F168" s="116" t="s">
        <v>210</v>
      </c>
      <c r="G168" s="174"/>
      <c r="H168" s="174"/>
      <c r="I168" s="184"/>
      <c r="J168" s="174" t="n">
        <v>0</v>
      </c>
      <c r="K168" s="174"/>
      <c r="L168" s="180" t="n">
        <v>0</v>
      </c>
      <c r="M168" s="180" t="n">
        <v>0</v>
      </c>
      <c r="N168" s="180" t="n">
        <v>0</v>
      </c>
      <c r="O168" s="180"/>
      <c r="P168" s="180" t="n">
        <v>0</v>
      </c>
      <c r="Q168" s="180" t="n">
        <v>0</v>
      </c>
      <c r="R168" s="180" t="n">
        <v>0</v>
      </c>
      <c r="S168" s="180" t="n">
        <v>0</v>
      </c>
      <c r="T168" s="180" t="n">
        <v>0</v>
      </c>
      <c r="U168" s="180" t="n">
        <v>0</v>
      </c>
      <c r="V168" s="117" t="n">
        <v>0</v>
      </c>
      <c r="W168" s="185" t="n">
        <f aca="false">Таблица32[[#This Row],[Столбец7]]*Таблица32[[#This Row],[Ishga kelish nazoratchi2]]%</f>
        <v>0</v>
      </c>
      <c r="X168" s="188" t="n">
        <f aca="false">Таблица32[[#This Row],[Столбец7]]*Таблица32[[#This Row],[Ishga vaqtida kelish ketish]]%</f>
        <v>0</v>
      </c>
      <c r="Y168" s="186" t="n">
        <f aca="false">Таблица32[[#This Row],[Столбец7]]*Таблица32[[#This Row],[Ishga kelish bank klient]]%</f>
        <v>0</v>
      </c>
      <c r="Z168" s="188" t="n">
        <f aca="false">Таблица32[[#This Row],[Столбец7]]*Таблица32[[#This Row],[Gruppa buxgalter]]%</f>
        <v>0</v>
      </c>
      <c r="AA168" s="188" t="n">
        <f aca="false">Таблица32[[#This Row],[Столбец7]]*Таблица32[[#This Row],[Gruppa bank klient ]]%</f>
        <v>0</v>
      </c>
      <c r="AB168" s="188" t="n">
        <f aca="false">Таблица32[[#This Row],[1c]]*Таблица32[[#This Row],[Столбец7]]/100</f>
        <v>0</v>
      </c>
      <c r="AC168" s="187" t="n">
        <f aca="false">SUM(Таблица32[[#This Row],[Didox]:[ мехнат]],Таблица32[[#This Row],[Avtokameral]])*Таблица32[[#This Row],[Столбец7]]/100</f>
        <v>0</v>
      </c>
      <c r="AD168" s="187" t="n">
        <f aca="false">SUM(Таблица32[[#This Row],[Pul oqimlari]:[Foyda va zarar]])*Таблица32[[#This Row],[Столбец7]]/100</f>
        <v>0</v>
      </c>
      <c r="AE168" s="188" t="n">
        <f aca="false">Таблица32[[#This Row],[Столбец7]]*Таблица32[[#This Row],[Nazoratchi]]%</f>
        <v>0</v>
      </c>
      <c r="AF168" s="188" t="n">
        <f aca="false">Таблица32[[#This Row],[Ishga vaqtida kelish nazoratchi]]+Таблица32[[#This Row],[Nazoratchi2]]</f>
        <v>0</v>
      </c>
      <c r="AG16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68" s="188" t="n">
        <f aca="false">Таблица32[[#This Row],[Ishga kelish bank klient3]]+Таблица32[[#This Row],[Gruppa bank klient 2]]</f>
        <v>0</v>
      </c>
    </row>
    <row r="169" customFormat="false" ht="17.35" hidden="false" customHeight="false" outlineLevel="0" collapsed="false">
      <c r="A169" s="112" t="n">
        <v>167</v>
      </c>
      <c r="B169" s="141" t="s">
        <v>376</v>
      </c>
      <c r="C169" s="143" t="s">
        <v>225</v>
      </c>
      <c r="D169" s="141"/>
      <c r="E169" s="144" t="n">
        <v>15000000</v>
      </c>
      <c r="F169" s="116" t="s">
        <v>210</v>
      </c>
      <c r="G169" s="174"/>
      <c r="H169" s="174"/>
      <c r="I169" s="184"/>
      <c r="J169" s="174" t="n">
        <v>0</v>
      </c>
      <c r="K169" s="174"/>
      <c r="L169" s="180" t="n">
        <v>0</v>
      </c>
      <c r="M169" s="180" t="n">
        <v>0</v>
      </c>
      <c r="N169" s="180" t="n">
        <v>0</v>
      </c>
      <c r="O169" s="180"/>
      <c r="P169" s="180" t="n">
        <v>0</v>
      </c>
      <c r="Q169" s="180" t="n">
        <v>0</v>
      </c>
      <c r="R169" s="180" t="n">
        <v>0</v>
      </c>
      <c r="S169" s="180" t="n">
        <v>0</v>
      </c>
      <c r="T169" s="180" t="n">
        <v>0</v>
      </c>
      <c r="U169" s="180" t="n">
        <v>0</v>
      </c>
      <c r="V169" s="117" t="n">
        <v>0</v>
      </c>
      <c r="W169" s="185" t="n">
        <f aca="false">Таблица32[[#This Row],[Столбец7]]*Таблица32[[#This Row],[Ishga kelish nazoratchi2]]%</f>
        <v>0</v>
      </c>
      <c r="X169" s="188" t="n">
        <f aca="false">Таблица32[[#This Row],[Столбец7]]*Таблица32[[#This Row],[Ishga vaqtida kelish ketish]]%</f>
        <v>0</v>
      </c>
      <c r="Y169" s="186" t="n">
        <f aca="false">Таблица32[[#This Row],[Столбец7]]*Таблица32[[#This Row],[Ishga kelish bank klient]]%</f>
        <v>0</v>
      </c>
      <c r="Z169" s="188" t="n">
        <f aca="false">Таблица32[[#This Row],[Столбец7]]*Таблица32[[#This Row],[Gruppa buxgalter]]%</f>
        <v>0</v>
      </c>
      <c r="AA169" s="188" t="n">
        <f aca="false">Таблица32[[#This Row],[Столбец7]]*Таблица32[[#This Row],[Gruppa bank klient ]]%</f>
        <v>0</v>
      </c>
      <c r="AB169" s="188" t="n">
        <f aca="false">Таблица32[[#This Row],[1c]]*Таблица32[[#This Row],[Столбец7]]/100</f>
        <v>0</v>
      </c>
      <c r="AC169" s="187" t="n">
        <f aca="false">SUM(Таблица32[[#This Row],[Didox]:[ мехнат]],Таблица32[[#This Row],[Avtokameral]])*Таблица32[[#This Row],[Столбец7]]/100</f>
        <v>0</v>
      </c>
      <c r="AD169" s="187" t="n">
        <f aca="false">SUM(Таблица32[[#This Row],[Pul oqimlari]:[Foyda va zarar]])*Таблица32[[#This Row],[Столбец7]]/100</f>
        <v>0</v>
      </c>
      <c r="AE169" s="188" t="n">
        <f aca="false">Таблица32[[#This Row],[Столбец7]]*Таблица32[[#This Row],[Nazoratchi]]%</f>
        <v>0</v>
      </c>
      <c r="AF169" s="188" t="n">
        <f aca="false">Таблица32[[#This Row],[Ishga vaqtida kelish nazoratchi]]+Таблица32[[#This Row],[Nazoratchi2]]</f>
        <v>0</v>
      </c>
      <c r="AG16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69" s="188" t="n">
        <f aca="false">Таблица32[[#This Row],[Ishga kelish bank klient3]]+Таблица32[[#This Row],[Gruppa bank klient 2]]</f>
        <v>0</v>
      </c>
    </row>
    <row r="170" customFormat="false" ht="17.35" hidden="false" customHeight="false" outlineLevel="0" collapsed="false">
      <c r="A170" s="112" t="n">
        <v>168</v>
      </c>
      <c r="B170" s="141" t="s">
        <v>377</v>
      </c>
      <c r="C170" s="143" t="s">
        <v>225</v>
      </c>
      <c r="D170" s="141"/>
      <c r="E170" s="144" t="n">
        <v>5000000</v>
      </c>
      <c r="F170" s="116" t="s">
        <v>210</v>
      </c>
      <c r="G170" s="174"/>
      <c r="H170" s="174"/>
      <c r="I170" s="184"/>
      <c r="J170" s="174" t="n">
        <v>0</v>
      </c>
      <c r="K170" s="174"/>
      <c r="L170" s="180" t="n">
        <v>0</v>
      </c>
      <c r="M170" s="180" t="n">
        <v>0</v>
      </c>
      <c r="N170" s="180" t="n">
        <v>0</v>
      </c>
      <c r="O170" s="180"/>
      <c r="P170" s="180" t="n">
        <v>0</v>
      </c>
      <c r="Q170" s="180" t="n">
        <v>0</v>
      </c>
      <c r="R170" s="180" t="n">
        <v>0</v>
      </c>
      <c r="S170" s="180" t="n">
        <v>0</v>
      </c>
      <c r="T170" s="180" t="n">
        <v>0</v>
      </c>
      <c r="U170" s="180" t="n">
        <v>0</v>
      </c>
      <c r="V170" s="174" t="n">
        <v>0</v>
      </c>
      <c r="W170" s="185" t="n">
        <f aca="false">Таблица32[[#This Row],[Столбец7]]*Таблица32[[#This Row],[Ishga kelish nazoratchi2]]%</f>
        <v>0</v>
      </c>
      <c r="X170" s="188" t="n">
        <f aca="false">Таблица32[[#This Row],[Столбец7]]*Таблица32[[#This Row],[Ishga vaqtida kelish ketish]]%</f>
        <v>0</v>
      </c>
      <c r="Y170" s="186" t="n">
        <f aca="false">Таблица32[[#This Row],[Столбец7]]*Таблица32[[#This Row],[Ishga kelish bank klient]]%</f>
        <v>0</v>
      </c>
      <c r="Z170" s="188" t="n">
        <f aca="false">Таблица32[[#This Row],[Столбец7]]*Таблица32[[#This Row],[Gruppa buxgalter]]%</f>
        <v>0</v>
      </c>
      <c r="AA170" s="188" t="n">
        <f aca="false">Таблица32[[#This Row],[Столбец7]]*Таблица32[[#This Row],[Gruppa bank klient ]]%</f>
        <v>0</v>
      </c>
      <c r="AB170" s="188" t="n">
        <f aca="false">Таблица32[[#This Row],[1c]]*Таблица32[[#This Row],[Столбец7]]/100</f>
        <v>0</v>
      </c>
      <c r="AC170" s="187" t="n">
        <f aca="false">SUM(Таблица32[[#This Row],[Didox]:[ мехнат]],Таблица32[[#This Row],[Avtokameral]])*Таблица32[[#This Row],[Столбец7]]/100</f>
        <v>0</v>
      </c>
      <c r="AD170" s="187" t="n">
        <f aca="false">SUM(Таблица32[[#This Row],[Pul oqimlari]:[Foyda va zarar]])*Таблица32[[#This Row],[Столбец7]]/100</f>
        <v>0</v>
      </c>
      <c r="AE170" s="188" t="n">
        <f aca="false">Таблица32[[#This Row],[Столбец7]]*Таблица32[[#This Row],[Nazoratchi]]%</f>
        <v>0</v>
      </c>
      <c r="AF170" s="188" t="n">
        <f aca="false">Таблица32[[#This Row],[Ishga vaqtida kelish nazoratchi]]+Таблица32[[#This Row],[Nazoratchi2]]</f>
        <v>0</v>
      </c>
      <c r="AG17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70" s="188" t="n">
        <f aca="false">Таблица32[[#This Row],[Ishga kelish bank klient3]]+Таблица32[[#This Row],[Gruppa bank klient 2]]</f>
        <v>0</v>
      </c>
    </row>
    <row r="171" customFormat="false" ht="17.35" hidden="false" customHeight="false" outlineLevel="0" collapsed="false">
      <c r="A171" s="112" t="n">
        <v>169</v>
      </c>
      <c r="B171" s="141" t="s">
        <v>378</v>
      </c>
      <c r="C171" s="114" t="s">
        <v>230</v>
      </c>
      <c r="D171" s="141"/>
      <c r="E171" s="142" t="n">
        <v>500000</v>
      </c>
      <c r="F171" s="113" t="s">
        <v>213</v>
      </c>
      <c r="G171" s="174" t="n">
        <v>-6</v>
      </c>
      <c r="H171" s="174"/>
      <c r="I171" s="184"/>
      <c r="J171" s="174" t="n">
        <v>1</v>
      </c>
      <c r="K171" s="174"/>
      <c r="L171" s="180" t="n">
        <v>0</v>
      </c>
      <c r="M171" s="180" t="n">
        <v>0</v>
      </c>
      <c r="N171" s="180" t="n">
        <v>0</v>
      </c>
      <c r="O171" s="180"/>
      <c r="P171" s="180" t="n">
        <v>0</v>
      </c>
      <c r="Q171" s="180" t="n">
        <v>0</v>
      </c>
      <c r="R171" s="180" t="n">
        <v>0</v>
      </c>
      <c r="S171" s="180" t="n">
        <v>0</v>
      </c>
      <c r="T171" s="180" t="n">
        <v>0</v>
      </c>
      <c r="U171" s="180" t="n">
        <v>0</v>
      </c>
      <c r="V171" s="117" t="n">
        <v>0.5</v>
      </c>
      <c r="W171" s="185" t="n">
        <f aca="false">Таблица32[[#This Row],[Столбец7]]*Таблица32[[#This Row],[Ishga kelish nazoratchi2]]%</f>
        <v>0</v>
      </c>
      <c r="X171" s="188" t="n">
        <f aca="false">Таблица32[[#This Row],[Столбец7]]*Таблица32[[#This Row],[Ishga vaqtida kelish ketish]]%</f>
        <v>-30000</v>
      </c>
      <c r="Y171" s="186" t="n">
        <f aca="false">Таблица32[[#This Row],[Столбец7]]*Таблица32[[#This Row],[Ishga kelish bank klient]]%</f>
        <v>0</v>
      </c>
      <c r="Z171" s="188" t="n">
        <f aca="false">Таблица32[[#This Row],[Столбец7]]*Таблица32[[#This Row],[Gruppa buxgalter]]%</f>
        <v>5000</v>
      </c>
      <c r="AA171" s="188" t="n">
        <f aca="false">Таблица32[[#This Row],[Столбец7]]*Таблица32[[#This Row],[Gruppa bank klient ]]%</f>
        <v>0</v>
      </c>
      <c r="AB171" s="188" t="n">
        <f aca="false">Таблица32[[#This Row],[1c]]*Таблица32[[#This Row],[Столбец7]]/100</f>
        <v>0</v>
      </c>
      <c r="AC171" s="187" t="n">
        <f aca="false">SUM(Таблица32[[#This Row],[Didox]:[ мехнат]],Таблица32[[#This Row],[Avtokameral]])*Таблица32[[#This Row],[Столбец7]]/100</f>
        <v>0</v>
      </c>
      <c r="AD171" s="187" t="n">
        <f aca="false">SUM(Таблица32[[#This Row],[Pul oqimlari]:[Foyda va zarar]])*Таблица32[[#This Row],[Столбец7]]/100</f>
        <v>0</v>
      </c>
      <c r="AE171" s="188" t="n">
        <f aca="false">Таблица32[[#This Row],[Столбец7]]*Таблица32[[#This Row],[Nazoratchi]]%</f>
        <v>2500</v>
      </c>
      <c r="AF171" s="188" t="n">
        <f aca="false">Таблица32[[#This Row],[Ishga vaqtida kelish nazoratchi]]+Таблица32[[#This Row],[Nazoratchi2]]</f>
        <v>2500</v>
      </c>
      <c r="AG17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-25000</v>
      </c>
      <c r="AH171" s="188" t="n">
        <f aca="false">Таблица32[[#This Row],[Ishga kelish bank klient3]]+Таблица32[[#This Row],[Gruppa bank klient 2]]</f>
        <v>0</v>
      </c>
    </row>
    <row r="172" customFormat="false" ht="17.35" hidden="false" customHeight="false" outlineLevel="0" collapsed="false">
      <c r="A172" s="112" t="n">
        <v>170</v>
      </c>
      <c r="B172" s="141" t="s">
        <v>379</v>
      </c>
      <c r="C172" s="143" t="s">
        <v>225</v>
      </c>
      <c r="D172" s="141"/>
      <c r="E172" s="142" t="n">
        <v>0</v>
      </c>
      <c r="F172" s="116" t="s">
        <v>210</v>
      </c>
      <c r="G172" s="174"/>
      <c r="H172" s="174"/>
      <c r="I172" s="184"/>
      <c r="J172" s="174" t="n">
        <v>0</v>
      </c>
      <c r="K172" s="174"/>
      <c r="L172" s="180" t="n">
        <v>0</v>
      </c>
      <c r="M172" s="180" t="n">
        <v>0</v>
      </c>
      <c r="N172" s="180" t="n">
        <v>0</v>
      </c>
      <c r="O172" s="180"/>
      <c r="P172" s="180" t="n">
        <v>0</v>
      </c>
      <c r="Q172" s="180" t="n">
        <v>0</v>
      </c>
      <c r="R172" s="180" t="n">
        <v>0</v>
      </c>
      <c r="S172" s="180" t="n">
        <v>0</v>
      </c>
      <c r="T172" s="180" t="n">
        <v>0</v>
      </c>
      <c r="U172" s="180" t="n">
        <v>0</v>
      </c>
      <c r="V172" s="117" t="n">
        <v>0</v>
      </c>
      <c r="W172" s="185" t="n">
        <f aca="false">Таблица32[[#This Row],[Столбец7]]*Таблица32[[#This Row],[Ishga kelish nazoratchi2]]%</f>
        <v>0</v>
      </c>
      <c r="X172" s="188" t="n">
        <f aca="false">Таблица32[[#This Row],[Столбец7]]*Таблица32[[#This Row],[Ishga vaqtida kelish ketish]]%</f>
        <v>0</v>
      </c>
      <c r="Y172" s="186" t="n">
        <f aca="false">Таблица32[[#This Row],[Столбец7]]*Таблица32[[#This Row],[Ishga kelish bank klient]]%</f>
        <v>0</v>
      </c>
      <c r="Z172" s="188" t="n">
        <f aca="false">Таблица32[[#This Row],[Столбец7]]*Таблица32[[#This Row],[Gruppa buxgalter]]%</f>
        <v>0</v>
      </c>
      <c r="AA172" s="188" t="n">
        <f aca="false">Таблица32[[#This Row],[Столбец7]]*Таблица32[[#This Row],[Gruppa bank klient ]]%</f>
        <v>0</v>
      </c>
      <c r="AB172" s="188" t="n">
        <f aca="false">Таблица32[[#This Row],[1c]]*Таблица32[[#This Row],[Столбец7]]/100</f>
        <v>0</v>
      </c>
      <c r="AC172" s="187" t="n">
        <f aca="false">SUM(Таблица32[[#This Row],[Didox]:[ мехнат]],Таблица32[[#This Row],[Avtokameral]])*Таблица32[[#This Row],[Столбец7]]/100</f>
        <v>0</v>
      </c>
      <c r="AD172" s="187" t="n">
        <f aca="false">SUM(Таблица32[[#This Row],[Pul oqimlari]:[Foyda va zarar]])*Таблица32[[#This Row],[Столбец7]]/100</f>
        <v>0</v>
      </c>
      <c r="AE172" s="188" t="n">
        <f aca="false">Таблица32[[#This Row],[Столбец7]]*Таблица32[[#This Row],[Nazoratchi]]%</f>
        <v>0</v>
      </c>
      <c r="AF172" s="188" t="n">
        <f aca="false">Таблица32[[#This Row],[Ishga vaqtida kelish nazoratchi]]+Таблица32[[#This Row],[Nazoratchi2]]</f>
        <v>0</v>
      </c>
      <c r="AG17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72" s="188" t="n">
        <f aca="false">Таблица32[[#This Row],[Ishga kelish bank klient3]]+Таблица32[[#This Row],[Gruppa bank klient 2]]</f>
        <v>0</v>
      </c>
    </row>
    <row r="173" customFormat="false" ht="17.35" hidden="false" customHeight="false" outlineLevel="0" collapsed="false">
      <c r="A173" s="112" t="n">
        <v>171</v>
      </c>
      <c r="B173" s="141" t="s">
        <v>380</v>
      </c>
      <c r="C173" s="143" t="s">
        <v>208</v>
      </c>
      <c r="D173" s="141"/>
      <c r="E173" s="142" t="n">
        <v>600000</v>
      </c>
      <c r="F173" s="116" t="s">
        <v>210</v>
      </c>
      <c r="G173" s="174"/>
      <c r="H173" s="174"/>
      <c r="I173" s="184"/>
      <c r="J173" s="174" t="n">
        <v>1</v>
      </c>
      <c r="K173" s="174"/>
      <c r="L173" s="180" t="n">
        <v>0.25</v>
      </c>
      <c r="M173" s="180" t="n">
        <v>0.25</v>
      </c>
      <c r="N173" s="175"/>
      <c r="O173" s="180"/>
      <c r="P173" s="180" t="n">
        <v>0.25</v>
      </c>
      <c r="Q173" s="180" t="n">
        <v>0</v>
      </c>
      <c r="R173" s="180" t="n">
        <v>0.2</v>
      </c>
      <c r="S173" s="180" t="n">
        <v>0</v>
      </c>
      <c r="T173" s="180" t="n">
        <v>0</v>
      </c>
      <c r="U173" s="180" t="n">
        <v>0</v>
      </c>
      <c r="V173" s="117" t="n">
        <v>0.5</v>
      </c>
      <c r="W173" s="185" t="n">
        <f aca="false">Таблица32[[#This Row],[Столбец7]]*Таблица32[[#This Row],[Ishga kelish nazoratchi2]]%</f>
        <v>0</v>
      </c>
      <c r="X173" s="188" t="n">
        <f aca="false">Таблица32[[#This Row],[Столбец7]]*Таблица32[[#This Row],[Ishga vaqtida kelish ketish]]%</f>
        <v>0</v>
      </c>
      <c r="Y173" s="186" t="n">
        <f aca="false">Таблица32[[#This Row],[Столбец7]]*Таблица32[[#This Row],[Ishga kelish bank klient]]%</f>
        <v>0</v>
      </c>
      <c r="Z173" s="188" t="n">
        <f aca="false">Таблица32[[#This Row],[Столбец7]]*Таблица32[[#This Row],[Gruppa buxgalter]]%</f>
        <v>6000</v>
      </c>
      <c r="AA173" s="188" t="n">
        <f aca="false">Таблица32[[#This Row],[Столбец7]]*Таблица32[[#This Row],[Gruppa bank klient ]]%</f>
        <v>0</v>
      </c>
      <c r="AB173" s="188" t="n">
        <f aca="false">Таблица32[[#This Row],[1c]]*Таблица32[[#This Row],[Столбец7]]/100</f>
        <v>0</v>
      </c>
      <c r="AC173" s="187" t="n">
        <f aca="false">SUM(Таблица32[[#This Row],[Didox]:[ мехнат]],Таблица32[[#This Row],[Avtokameral]])*Таблица32[[#This Row],[Столбец7]]/100</f>
        <v>4500</v>
      </c>
      <c r="AD173" s="187" t="n">
        <f aca="false">SUM(Таблица32[[#This Row],[Pul oqimlari]:[Foyda va zarar]])*Таблица32[[#This Row],[Столбец7]]/100</f>
        <v>1200</v>
      </c>
      <c r="AE173" s="188" t="n">
        <f aca="false">Таблица32[[#This Row],[Столбец7]]*Таблица32[[#This Row],[Nazoratchi]]%</f>
        <v>3000</v>
      </c>
      <c r="AF173" s="188" t="n">
        <f aca="false">Таблица32[[#This Row],[Ishga vaqtida kelish nazoratchi]]+Таблица32[[#This Row],[Nazoratchi2]]</f>
        <v>3000</v>
      </c>
      <c r="AG17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11700</v>
      </c>
      <c r="AH173" s="188" t="n">
        <f aca="false">Таблица32[[#This Row],[Ishga kelish bank klient3]]+Таблица32[[#This Row],[Gruppa bank klient 2]]</f>
        <v>0</v>
      </c>
    </row>
    <row r="174" customFormat="false" ht="17.35" hidden="false" customHeight="false" outlineLevel="0" collapsed="false">
      <c r="A174" s="112" t="n">
        <v>172</v>
      </c>
      <c r="B174" s="141" t="s">
        <v>381</v>
      </c>
      <c r="C174" s="143" t="s">
        <v>208</v>
      </c>
      <c r="D174" s="141" t="s">
        <v>224</v>
      </c>
      <c r="E174" s="142" t="n">
        <v>2000000</v>
      </c>
      <c r="F174" s="116" t="s">
        <v>210</v>
      </c>
      <c r="G174" s="174"/>
      <c r="H174" s="174" t="n">
        <v>1</v>
      </c>
      <c r="I174" s="184"/>
      <c r="J174" s="174" t="n">
        <v>1</v>
      </c>
      <c r="K174" s="174" t="n">
        <v>1</v>
      </c>
      <c r="L174" s="175" t="n">
        <v>0.25</v>
      </c>
      <c r="M174" s="175" t="n">
        <v>0.25</v>
      </c>
      <c r="N174" s="175" t="n">
        <v>0.25</v>
      </c>
      <c r="O174" s="175"/>
      <c r="P174" s="175" t="n">
        <v>0.25</v>
      </c>
      <c r="Q174" s="175" t="n">
        <v>0</v>
      </c>
      <c r="R174" s="175" t="n">
        <v>-0.2</v>
      </c>
      <c r="S174" s="175" t="n">
        <v>0</v>
      </c>
      <c r="T174" s="175" t="n">
        <v>-0.2</v>
      </c>
      <c r="U174" s="175" t="n">
        <v>0</v>
      </c>
      <c r="V174" s="117" t="n">
        <v>0.5</v>
      </c>
      <c r="W174" s="185" t="n">
        <f aca="false">Таблица32[[#This Row],[Столбец7]]*Таблица32[[#This Row],[Ishga kelish nazoratchi2]]%</f>
        <v>0</v>
      </c>
      <c r="X174" s="188" t="n">
        <f aca="false">Таблица32[[#This Row],[Столбец7]]*Таблица32[[#This Row],[Ishga vaqtida kelish ketish]]%</f>
        <v>0</v>
      </c>
      <c r="Y174" s="186" t="n">
        <f aca="false">Таблица32[[#This Row],[Столбец7]]*Таблица32[[#This Row],[Ishga kelish bank klient]]%</f>
        <v>20000</v>
      </c>
      <c r="Z174" s="188" t="n">
        <f aca="false">Таблица32[[#This Row],[Столбец7]]*Таблица32[[#This Row],[Gruppa buxgalter]]%</f>
        <v>20000</v>
      </c>
      <c r="AA174" s="188" t="n">
        <f aca="false">Таблица32[[#This Row],[Столбец7]]*Таблица32[[#This Row],[Gruppa bank klient ]]%</f>
        <v>20000</v>
      </c>
      <c r="AB174" s="188" t="n">
        <f aca="false">Таблица32[[#This Row],[1c]]*Таблица32[[#This Row],[Столбец7]]/100</f>
        <v>0</v>
      </c>
      <c r="AC174" s="187" t="n">
        <f aca="false">SUM(Таблица32[[#This Row],[Didox]:[ мехнат]],Таблица32[[#This Row],[Avtokameral]])*Таблица32[[#This Row],[Столбец7]]/100</f>
        <v>20000</v>
      </c>
      <c r="AD174" s="187" t="n">
        <f aca="false">SUM(Таблица32[[#This Row],[Pul oqimlari]:[Foyda va zarar]])*Таблица32[[#This Row],[Столбец7]]/100</f>
        <v>-8000</v>
      </c>
      <c r="AE174" s="188" t="n">
        <f aca="false">Таблица32[[#This Row],[Столбец7]]*Таблица32[[#This Row],[Nazoratchi]]%</f>
        <v>10000</v>
      </c>
      <c r="AF174" s="188" t="n">
        <f aca="false">Таблица32[[#This Row],[Ishga vaqtida kelish nazoratchi]]+Таблица32[[#This Row],[Nazoratchi2]]</f>
        <v>10000</v>
      </c>
      <c r="AG17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32000</v>
      </c>
      <c r="AH174" s="188" t="n">
        <f aca="false">Таблица32[[#This Row],[Ishga kelish bank klient3]]+Таблица32[[#This Row],[Gruppa bank klient 2]]</f>
        <v>40000</v>
      </c>
    </row>
    <row r="175" customFormat="false" ht="17.35" hidden="false" customHeight="false" outlineLevel="0" collapsed="false">
      <c r="A175" s="112" t="n">
        <v>173</v>
      </c>
      <c r="B175" s="141" t="s">
        <v>545</v>
      </c>
      <c r="C175" s="143" t="s">
        <v>226</v>
      </c>
      <c r="D175" s="141"/>
      <c r="E175" s="142" t="n">
        <v>500000</v>
      </c>
      <c r="F175" s="116" t="s">
        <v>213</v>
      </c>
      <c r="G175" s="174"/>
      <c r="H175" s="184"/>
      <c r="I175" s="184"/>
      <c r="J175" s="174" t="n">
        <v>1</v>
      </c>
      <c r="K175" s="174"/>
      <c r="L175" s="175" t="n">
        <v>0</v>
      </c>
      <c r="M175" s="175" t="n">
        <v>0.25</v>
      </c>
      <c r="N175" s="175"/>
      <c r="O175" s="175"/>
      <c r="P175" s="175" t="n">
        <v>0.25</v>
      </c>
      <c r="Q175" s="175" t="n">
        <v>0</v>
      </c>
      <c r="R175" s="175" t="n">
        <v>0</v>
      </c>
      <c r="S175" s="175" t="n">
        <v>0</v>
      </c>
      <c r="T175" s="175" t="n">
        <v>0</v>
      </c>
      <c r="U175" s="175" t="n">
        <v>0</v>
      </c>
      <c r="V175" s="117" t="n">
        <v>0.5</v>
      </c>
      <c r="W175" s="185" t="n">
        <f aca="false">Таблица32[[#This Row],[Столбец7]]*Таблица32[[#This Row],[Ishga kelish nazoratchi2]]%</f>
        <v>0</v>
      </c>
      <c r="X175" s="188" t="n">
        <f aca="false">Таблица32[[#This Row],[Столбец7]]*Таблица32[[#This Row],[Ishga vaqtida kelish ketish]]%</f>
        <v>0</v>
      </c>
      <c r="Y175" s="186" t="n">
        <f aca="false">Таблица32[[#This Row],[Столбец7]]*Таблица32[[#This Row],[Ishga kelish bank klient]]%</f>
        <v>0</v>
      </c>
      <c r="Z175" s="188" t="n">
        <f aca="false">Таблица32[[#This Row],[Столбец7]]*Таблица32[[#This Row],[Gruppa buxgalter]]%</f>
        <v>5000</v>
      </c>
      <c r="AA175" s="188" t="n">
        <f aca="false">Таблица32[[#This Row],[Столбец7]]*Таблица32[[#This Row],[Gruppa bank klient ]]%</f>
        <v>0</v>
      </c>
      <c r="AB175" s="188" t="n">
        <f aca="false">Таблица32[[#This Row],[1c]]*Таблица32[[#This Row],[Столбец7]]/100</f>
        <v>0</v>
      </c>
      <c r="AC175" s="187" t="n">
        <f aca="false">SUM(Таблица32[[#This Row],[Didox]:[ мехнат]],Таблица32[[#This Row],[Avtokameral]])*Таблица32[[#This Row],[Столбец7]]/100</f>
        <v>2500</v>
      </c>
      <c r="AD175" s="190" t="n">
        <f aca="false">SUM(Таблица32[[#This Row],[Pul oqimlari]:[Foyda va zarar]])*Таблица32[[#This Row],[Столбец7]]/100</f>
        <v>0</v>
      </c>
      <c r="AE175" s="191" t="n">
        <f aca="false">Таблица32[[#This Row],[Столбец7]]*Таблица32[[#This Row],[Nazoratchi]]%</f>
        <v>2500</v>
      </c>
      <c r="AF175" s="188" t="n">
        <f aca="false">Таблица32[[#This Row],[Ishga vaqtida kelish nazoratchi]]+Таблица32[[#This Row],[Nazoratchi2]]</f>
        <v>2500</v>
      </c>
      <c r="AG17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7500</v>
      </c>
      <c r="AH175" s="188" t="n">
        <f aca="false">Таблица32[[#This Row],[Ishga kelish bank klient3]]+Таблица32[[#This Row],[Gruppa bank klient 2]]</f>
        <v>0</v>
      </c>
    </row>
    <row r="176" customFormat="false" ht="17.35" hidden="false" customHeight="false" outlineLevel="0" collapsed="false">
      <c r="A176" s="112" t="n">
        <v>174</v>
      </c>
      <c r="B176" s="146" t="s">
        <v>382</v>
      </c>
      <c r="C176" s="147" t="s">
        <v>218</v>
      </c>
      <c r="D176" s="146" t="s">
        <v>238</v>
      </c>
      <c r="E176" s="148" t="n">
        <v>1000000</v>
      </c>
      <c r="F176" s="116" t="s">
        <v>210</v>
      </c>
      <c r="G176" s="174" t="n">
        <v>-0.35</v>
      </c>
      <c r="H176" s="174" t="n">
        <v>1</v>
      </c>
      <c r="I176" s="184"/>
      <c r="J176" s="174" t="n">
        <v>1</v>
      </c>
      <c r="K176" s="174" t="n">
        <v>1</v>
      </c>
      <c r="L176" s="175" t="n">
        <v>0.25</v>
      </c>
      <c r="M176" s="175" t="n">
        <v>-0.25</v>
      </c>
      <c r="N176" s="175"/>
      <c r="O176" s="175" t="n">
        <v>1</v>
      </c>
      <c r="P176" s="175" t="n">
        <v>0.25</v>
      </c>
      <c r="Q176" s="180" t="n">
        <v>0.2</v>
      </c>
      <c r="R176" s="180" t="n">
        <v>0.2</v>
      </c>
      <c r="S176" s="180" t="n">
        <v>0.2</v>
      </c>
      <c r="T176" s="180" t="n">
        <v>0.2</v>
      </c>
      <c r="U176" s="180" t="n">
        <v>0.2</v>
      </c>
      <c r="V176" s="117" t="n">
        <v>0.5</v>
      </c>
      <c r="W176" s="185" t="n">
        <f aca="false">Таблица32[[#This Row],[Столбец7]]*Таблица32[[#This Row],[Ishga kelish nazoratchi2]]%</f>
        <v>0</v>
      </c>
      <c r="X176" s="188" t="n">
        <f aca="false">Таблица32[[#This Row],[Столбец7]]*Таблица32[[#This Row],[Ishga vaqtida kelish ketish]]%</f>
        <v>-3500</v>
      </c>
      <c r="Y176" s="186" t="n">
        <f aca="false">Таблица32[[#This Row],[Столбец7]]*Таблица32[[#This Row],[Ishga kelish bank klient]]%</f>
        <v>10000</v>
      </c>
      <c r="Z176" s="188" t="n">
        <f aca="false">Таблица32[[#This Row],[Столбец7]]*Таблица32[[#This Row],[Gruppa buxgalter]]%</f>
        <v>10000</v>
      </c>
      <c r="AA176" s="188" t="n">
        <f aca="false">Таблица32[[#This Row],[Столбец7]]*Таблица32[[#This Row],[Gruppa bank klient ]]%</f>
        <v>10000</v>
      </c>
      <c r="AB176" s="188" t="n">
        <f aca="false">Таблица32[[#This Row],[1c]]*Таблица32[[#This Row],[Столбец7]]/100</f>
        <v>10000</v>
      </c>
      <c r="AC176" s="187" t="n">
        <f aca="false">SUM(Таблица32[[#This Row],[Didox]:[ мехнат]],Таблица32[[#This Row],[Avtokameral]])*Таблица32[[#This Row],[Столбец7]]/100</f>
        <v>2500</v>
      </c>
      <c r="AD176" s="190" t="n">
        <f aca="false">SUM(Таблица32[[#This Row],[Pul oqimlari]:[Foyda va zarar]])*Таблица32[[#This Row],[Столбец7]]/100</f>
        <v>10000</v>
      </c>
      <c r="AE176" s="191" t="n">
        <f aca="false">Таблица32[[#This Row],[Столбец7]]*Таблица32[[#This Row],[Nazoratchi]]%</f>
        <v>5000</v>
      </c>
      <c r="AF176" s="188" t="n">
        <f aca="false">Таблица32[[#This Row],[Ishga vaqtida kelish nazoratchi]]+Таблица32[[#This Row],[Nazoratchi2]]</f>
        <v>5000</v>
      </c>
      <c r="AG17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29000</v>
      </c>
      <c r="AH176" s="188" t="n">
        <f aca="false">Таблица32[[#This Row],[Ishga kelish bank klient3]]+Таблица32[[#This Row],[Gruppa bank klient 2]]</f>
        <v>20000</v>
      </c>
    </row>
    <row r="177" customFormat="false" ht="17.35" hidden="false" customHeight="false" outlineLevel="0" collapsed="false">
      <c r="A177" s="112" t="n">
        <v>175</v>
      </c>
      <c r="B177" s="146" t="s">
        <v>383</v>
      </c>
      <c r="C177" s="147" t="s">
        <v>218</v>
      </c>
      <c r="D177" s="146" t="s">
        <v>238</v>
      </c>
      <c r="E177" s="148" t="n">
        <v>1000000</v>
      </c>
      <c r="F177" s="116" t="s">
        <v>210</v>
      </c>
      <c r="G177" s="174" t="n">
        <v>-0.35</v>
      </c>
      <c r="H177" s="174" t="n">
        <v>1</v>
      </c>
      <c r="I177" s="184"/>
      <c r="J177" s="174" t="n">
        <v>1</v>
      </c>
      <c r="K177" s="174" t="n">
        <v>1</v>
      </c>
      <c r="L177" s="175" t="n">
        <v>0.25</v>
      </c>
      <c r="M177" s="175" t="n">
        <v>-0.25</v>
      </c>
      <c r="N177" s="175"/>
      <c r="O177" s="175" t="n">
        <v>1</v>
      </c>
      <c r="P177" s="175" t="n">
        <v>0.25</v>
      </c>
      <c r="Q177" s="180" t="n">
        <v>0.2</v>
      </c>
      <c r="R177" s="180" t="n">
        <v>0.2</v>
      </c>
      <c r="S177" s="180" t="n">
        <v>0.2</v>
      </c>
      <c r="T177" s="180" t="n">
        <v>0.2</v>
      </c>
      <c r="U177" s="180" t="n">
        <v>0.2</v>
      </c>
      <c r="V177" s="117" t="n">
        <v>0.5</v>
      </c>
      <c r="W177" s="185" t="n">
        <f aca="false">Таблица32[[#This Row],[Столбец7]]*Таблица32[[#This Row],[Ishga kelish nazoratchi2]]%</f>
        <v>0</v>
      </c>
      <c r="X177" s="188" t="n">
        <f aca="false">Таблица32[[#This Row],[Столбец7]]*Таблица32[[#This Row],[Ishga vaqtida kelish ketish]]%</f>
        <v>-3500</v>
      </c>
      <c r="Y177" s="186" t="n">
        <f aca="false">Таблица32[[#This Row],[Столбец7]]*Таблица32[[#This Row],[Ishga kelish bank klient]]%</f>
        <v>10000</v>
      </c>
      <c r="Z177" s="188" t="n">
        <f aca="false">Таблица32[[#This Row],[Столбец7]]*Таблица32[[#This Row],[Gruppa buxgalter]]%</f>
        <v>10000</v>
      </c>
      <c r="AA177" s="188" t="n">
        <f aca="false">Таблица32[[#This Row],[Столбец7]]*Таблица32[[#This Row],[Gruppa bank klient ]]%</f>
        <v>10000</v>
      </c>
      <c r="AB177" s="188" t="n">
        <f aca="false">Таблица32[[#This Row],[1c]]*Таблица32[[#This Row],[Столбец7]]/100</f>
        <v>10000</v>
      </c>
      <c r="AC177" s="187" t="n">
        <f aca="false">SUM(Таблица32[[#This Row],[Didox]:[ мехнат]],Таблица32[[#This Row],[Avtokameral]])*Таблица32[[#This Row],[Столбец7]]/100</f>
        <v>2500</v>
      </c>
      <c r="AD177" s="190" t="n">
        <f aca="false">SUM(Таблица32[[#This Row],[Pul oqimlari]:[Foyda va zarar]])*Таблица32[[#This Row],[Столбец7]]/100</f>
        <v>10000</v>
      </c>
      <c r="AE177" s="191" t="n">
        <f aca="false">Таблица32[[#This Row],[Столбец7]]*Таблица32[[#This Row],[Nazoratchi]]%</f>
        <v>5000</v>
      </c>
      <c r="AF177" s="188" t="n">
        <f aca="false">Таблица32[[#This Row],[Ishga vaqtida kelish nazoratchi]]+Таблица32[[#This Row],[Nazoratchi2]]</f>
        <v>5000</v>
      </c>
      <c r="AG17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29000</v>
      </c>
      <c r="AH177" s="188" t="n">
        <f aca="false">Таблица32[[#This Row],[Ishga kelish bank klient3]]+Таблица32[[#This Row],[Gruppa bank klient 2]]</f>
        <v>20000</v>
      </c>
    </row>
    <row r="178" customFormat="false" ht="17.35" hidden="false" customHeight="false" outlineLevel="0" collapsed="false">
      <c r="A178" s="112" t="n">
        <v>176</v>
      </c>
      <c r="B178" s="141" t="s">
        <v>384</v>
      </c>
      <c r="C178" s="143" t="s">
        <v>218</v>
      </c>
      <c r="D178" s="141" t="s">
        <v>238</v>
      </c>
      <c r="E178" s="142" t="n">
        <v>0</v>
      </c>
      <c r="F178" s="116" t="s">
        <v>210</v>
      </c>
      <c r="G178" s="174" t="n">
        <v>-0.35</v>
      </c>
      <c r="H178" s="174" t="n">
        <v>1</v>
      </c>
      <c r="I178" s="184"/>
      <c r="J178" s="174" t="n">
        <v>1</v>
      </c>
      <c r="K178" s="174" t="n">
        <v>1</v>
      </c>
      <c r="L178" s="175" t="n">
        <v>0.25</v>
      </c>
      <c r="M178" s="175" t="n">
        <v>-0.25</v>
      </c>
      <c r="N178" s="175"/>
      <c r="O178" s="175" t="n">
        <v>1</v>
      </c>
      <c r="P178" s="175" t="n">
        <v>0.25</v>
      </c>
      <c r="Q178" s="180" t="n">
        <v>0.2</v>
      </c>
      <c r="R178" s="180" t="n">
        <v>0.2</v>
      </c>
      <c r="S178" s="180" t="n">
        <v>0.2</v>
      </c>
      <c r="T178" s="180" t="n">
        <v>0.2</v>
      </c>
      <c r="U178" s="180" t="n">
        <v>0.2</v>
      </c>
      <c r="V178" s="117" t="n">
        <v>0.5</v>
      </c>
      <c r="W178" s="185" t="n">
        <f aca="false">Таблица32[[#This Row],[Столбец7]]*Таблица32[[#This Row],[Ishga kelish nazoratchi2]]%</f>
        <v>0</v>
      </c>
      <c r="X178" s="188" t="n">
        <f aca="false">Таблица32[[#This Row],[Столбец7]]*Таблица32[[#This Row],[Ishga vaqtida kelish ketish]]%</f>
        <v>0</v>
      </c>
      <c r="Y178" s="186" t="n">
        <f aca="false">Таблица32[[#This Row],[Столбец7]]*Таблица32[[#This Row],[Ishga kelish bank klient]]%</f>
        <v>0</v>
      </c>
      <c r="Z178" s="188" t="n">
        <f aca="false">Таблица32[[#This Row],[Столбец7]]*Таблица32[[#This Row],[Gruppa buxgalter]]%</f>
        <v>0</v>
      </c>
      <c r="AA178" s="188" t="n">
        <f aca="false">Таблица32[[#This Row],[Столбец7]]*Таблица32[[#This Row],[Gruppa bank klient ]]%</f>
        <v>0</v>
      </c>
      <c r="AB178" s="188" t="n">
        <f aca="false">Таблица32[[#This Row],[1c]]*Таблица32[[#This Row],[Столбец7]]/100</f>
        <v>0</v>
      </c>
      <c r="AC178" s="187" t="n">
        <f aca="false">SUM(Таблица32[[#This Row],[Didox]:[ мехнат]],Таблица32[[#This Row],[Avtokameral]])*Таблица32[[#This Row],[Столбец7]]/100</f>
        <v>0</v>
      </c>
      <c r="AD178" s="190" t="n">
        <f aca="false">SUM(Таблица32[[#This Row],[Pul oqimlari]:[Foyda va zarar]])*Таблица32[[#This Row],[Столбец7]]/100</f>
        <v>0</v>
      </c>
      <c r="AE178" s="191" t="n">
        <f aca="false">Таблица32[[#This Row],[Столбец7]]*Таблица32[[#This Row],[Nazoratchi]]%</f>
        <v>0</v>
      </c>
      <c r="AF178" s="188" t="n">
        <f aca="false">Таблица32[[#This Row],[Ishga vaqtida kelish nazoratchi]]+Таблица32[[#This Row],[Nazoratchi2]]</f>
        <v>0</v>
      </c>
      <c r="AG17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78" s="188" t="n">
        <f aca="false">Таблица32[[#This Row],[Ishga kelish bank klient3]]+Таблица32[[#This Row],[Gruppa bank klient 2]]</f>
        <v>0</v>
      </c>
    </row>
    <row r="179" customFormat="false" ht="17.35" hidden="false" customHeight="false" outlineLevel="0" collapsed="false">
      <c r="A179" s="112" t="n">
        <v>177</v>
      </c>
      <c r="B179" s="141" t="s">
        <v>385</v>
      </c>
      <c r="C179" s="113" t="s">
        <v>212</v>
      </c>
      <c r="D179" s="141"/>
      <c r="E179" s="142" t="n">
        <v>0</v>
      </c>
      <c r="F179" s="113" t="s">
        <v>213</v>
      </c>
      <c r="G179" s="174"/>
      <c r="H179" s="174"/>
      <c r="I179" s="184"/>
      <c r="J179" s="174" t="n">
        <v>1</v>
      </c>
      <c r="K179" s="174"/>
      <c r="L179" s="180" t="n">
        <v>0</v>
      </c>
      <c r="M179" s="180" t="n">
        <v>0</v>
      </c>
      <c r="N179" s="180" t="n">
        <v>0</v>
      </c>
      <c r="O179" s="180"/>
      <c r="P179" s="180" t="n">
        <v>0</v>
      </c>
      <c r="Q179" s="180" t="n">
        <v>0</v>
      </c>
      <c r="R179" s="180" t="n">
        <v>0</v>
      </c>
      <c r="S179" s="180" t="n">
        <v>0</v>
      </c>
      <c r="T179" s="180" t="n">
        <v>0</v>
      </c>
      <c r="U179" s="180" t="n">
        <v>0</v>
      </c>
      <c r="V179" s="117" t="n">
        <v>0.5</v>
      </c>
      <c r="W179" s="185" t="n">
        <f aca="false">Таблица32[[#This Row],[Столбец7]]*Таблица32[[#This Row],[Ishga kelish nazoratchi2]]%</f>
        <v>0</v>
      </c>
      <c r="X179" s="188" t="n">
        <f aca="false">Таблица32[[#This Row],[Столбец7]]*Таблица32[[#This Row],[Ishga vaqtida kelish ketish]]%</f>
        <v>0</v>
      </c>
      <c r="Y179" s="186" t="n">
        <f aca="false">Таблица32[[#This Row],[Столбец7]]*Таблица32[[#This Row],[Ishga kelish bank klient]]%</f>
        <v>0</v>
      </c>
      <c r="Z179" s="188" t="n">
        <f aca="false">Таблица32[[#This Row],[Столбец7]]*Таблица32[[#This Row],[Gruppa buxgalter]]%</f>
        <v>0</v>
      </c>
      <c r="AA179" s="188" t="n">
        <f aca="false">Таблица32[[#This Row],[Столбец7]]*Таблица32[[#This Row],[Gruppa bank klient ]]%</f>
        <v>0</v>
      </c>
      <c r="AB179" s="188" t="n">
        <f aca="false">Таблица32[[#This Row],[1c]]*Таблица32[[#This Row],[Столбец7]]/100</f>
        <v>0</v>
      </c>
      <c r="AC179" s="187" t="n">
        <f aca="false">SUM(Таблица32[[#This Row],[Didox]:[ мехнат]],Таблица32[[#This Row],[Avtokameral]])*Таблица32[[#This Row],[Столбец7]]/100</f>
        <v>0</v>
      </c>
      <c r="AD179" s="190" t="n">
        <f aca="false">SUM(Таблица32[[#This Row],[Pul oqimlari]:[Foyda va zarar]])*Таблица32[[#This Row],[Столбец7]]/100</f>
        <v>0</v>
      </c>
      <c r="AE179" s="191" t="n">
        <f aca="false">Таблица32[[#This Row],[Столбец7]]*Таблица32[[#This Row],[Nazoratchi]]%</f>
        <v>0</v>
      </c>
      <c r="AF179" s="188" t="n">
        <f aca="false">Таблица32[[#This Row],[Ishga vaqtida kelish nazoratchi]]+Таблица32[[#This Row],[Nazoratchi2]]</f>
        <v>0</v>
      </c>
      <c r="AG17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79" s="188" t="n">
        <f aca="false">Таблица32[[#This Row],[Ishga kelish bank klient3]]+Таблица32[[#This Row],[Gruppa bank klient 2]]</f>
        <v>0</v>
      </c>
    </row>
    <row r="180" customFormat="false" ht="17.35" hidden="false" customHeight="false" outlineLevel="0" collapsed="false">
      <c r="A180" s="112" t="n">
        <v>178</v>
      </c>
      <c r="B180" s="141" t="s">
        <v>386</v>
      </c>
      <c r="C180" s="143" t="s">
        <v>208</v>
      </c>
      <c r="D180" s="141" t="s">
        <v>224</v>
      </c>
      <c r="E180" s="142" t="n">
        <v>1000000</v>
      </c>
      <c r="F180" s="116" t="s">
        <v>210</v>
      </c>
      <c r="G180" s="174"/>
      <c r="H180" s="174" t="n">
        <v>1</v>
      </c>
      <c r="I180" s="184"/>
      <c r="J180" s="174" t="n">
        <v>1</v>
      </c>
      <c r="K180" s="174" t="n">
        <v>1</v>
      </c>
      <c r="L180" s="180" t="n">
        <v>0.25</v>
      </c>
      <c r="M180" s="180" t="n">
        <v>0.25</v>
      </c>
      <c r="N180" s="180"/>
      <c r="O180" s="180"/>
      <c r="P180" s="180" t="n">
        <v>0.25</v>
      </c>
      <c r="Q180" s="180" t="n">
        <v>0</v>
      </c>
      <c r="R180" s="180" t="n">
        <v>0</v>
      </c>
      <c r="S180" s="180" t="n">
        <v>0</v>
      </c>
      <c r="T180" s="180" t="n">
        <v>0</v>
      </c>
      <c r="U180" s="180" t="n">
        <v>0</v>
      </c>
      <c r="V180" s="117" t="n">
        <v>0.5</v>
      </c>
      <c r="W180" s="185" t="n">
        <f aca="false">Таблица32[[#This Row],[Столбец7]]*Таблица32[[#This Row],[Ishga kelish nazoratchi2]]%</f>
        <v>0</v>
      </c>
      <c r="X180" s="188" t="n">
        <f aca="false">Таблица32[[#This Row],[Столбец7]]*Таблица32[[#This Row],[Ishga vaqtida kelish ketish]]%</f>
        <v>0</v>
      </c>
      <c r="Y180" s="186" t="n">
        <f aca="false">Таблица32[[#This Row],[Столбец7]]*Таблица32[[#This Row],[Ishga kelish bank klient]]%</f>
        <v>10000</v>
      </c>
      <c r="Z180" s="188" t="n">
        <f aca="false">Таблица32[[#This Row],[Столбец7]]*Таблица32[[#This Row],[Gruppa buxgalter]]%</f>
        <v>10000</v>
      </c>
      <c r="AA180" s="188" t="n">
        <f aca="false">Таблица32[[#This Row],[Столбец7]]*Таблица32[[#This Row],[Gruppa bank klient ]]%</f>
        <v>10000</v>
      </c>
      <c r="AB180" s="188" t="n">
        <f aca="false">Таблица32[[#This Row],[1c]]*Таблица32[[#This Row],[Столбец7]]/100</f>
        <v>0</v>
      </c>
      <c r="AC180" s="187" t="n">
        <f aca="false">SUM(Таблица32[[#This Row],[Didox]:[ мехнат]],Таблица32[[#This Row],[Avtokameral]])*Таблица32[[#This Row],[Столбец7]]/100</f>
        <v>7500</v>
      </c>
      <c r="AD180" s="190" t="n">
        <f aca="false">SUM(Таблица32[[#This Row],[Pul oqimlari]:[Foyda va zarar]])*Таблица32[[#This Row],[Столбец7]]/100</f>
        <v>0</v>
      </c>
      <c r="AE180" s="191" t="n">
        <f aca="false">Таблица32[[#This Row],[Столбец7]]*Таблица32[[#This Row],[Nazoratchi]]%</f>
        <v>5000</v>
      </c>
      <c r="AF180" s="188" t="n">
        <f aca="false">Таблица32[[#This Row],[Ishga vaqtida kelish nazoratchi]]+Таблица32[[#This Row],[Nazoratchi2]]</f>
        <v>5000</v>
      </c>
      <c r="AG18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17500</v>
      </c>
      <c r="AH180" s="188" t="n">
        <f aca="false">Таблица32[[#This Row],[Ishga kelish bank klient3]]+Таблица32[[#This Row],[Gruppa bank klient 2]]</f>
        <v>20000</v>
      </c>
    </row>
    <row r="181" customFormat="false" ht="17.35" hidden="false" customHeight="false" outlineLevel="0" collapsed="false">
      <c r="A181" s="112" t="n">
        <v>179</v>
      </c>
      <c r="B181" s="141" t="s">
        <v>387</v>
      </c>
      <c r="C181" s="113" t="s">
        <v>223</v>
      </c>
      <c r="D181" s="141" t="s">
        <v>224</v>
      </c>
      <c r="E181" s="142" t="n">
        <v>0</v>
      </c>
      <c r="F181" s="113" t="s">
        <v>210</v>
      </c>
      <c r="G181" s="174" t="n">
        <v>-0.8</v>
      </c>
      <c r="H181" s="174" t="n">
        <v>1</v>
      </c>
      <c r="I181" s="184"/>
      <c r="J181" s="174" t="n">
        <v>1</v>
      </c>
      <c r="K181" s="174" t="n">
        <v>1</v>
      </c>
      <c r="L181" s="180" t="n">
        <v>0</v>
      </c>
      <c r="M181" s="180" t="n">
        <v>0</v>
      </c>
      <c r="N181" s="180" t="n">
        <v>0</v>
      </c>
      <c r="O181" s="180"/>
      <c r="P181" s="180" t="n">
        <v>0</v>
      </c>
      <c r="Q181" s="180" t="n">
        <v>0</v>
      </c>
      <c r="R181" s="180" t="n">
        <v>0</v>
      </c>
      <c r="S181" s="180" t="n">
        <v>0</v>
      </c>
      <c r="T181" s="180" t="n">
        <v>0</v>
      </c>
      <c r="U181" s="180" t="n">
        <v>0</v>
      </c>
      <c r="V181" s="174" t="n">
        <v>0.5</v>
      </c>
      <c r="W181" s="185" t="n">
        <f aca="false">Таблица32[[#This Row],[Столбец7]]*Таблица32[[#This Row],[Ishga kelish nazoratchi2]]%</f>
        <v>0</v>
      </c>
      <c r="X181" s="188" t="n">
        <f aca="false">Таблица32[[#This Row],[Столбец7]]*Таблица32[[#This Row],[Ishga vaqtida kelish ketish]]%</f>
        <v>0</v>
      </c>
      <c r="Y181" s="186" t="n">
        <f aca="false">Таблица32[[#This Row],[Столбец7]]*Таблица32[[#This Row],[Ishga kelish bank klient]]%</f>
        <v>0</v>
      </c>
      <c r="Z181" s="188" t="n">
        <f aca="false">Таблица32[[#This Row],[Столбец7]]*Таблица32[[#This Row],[Gruppa buxgalter]]%</f>
        <v>0</v>
      </c>
      <c r="AA181" s="188" t="n">
        <f aca="false">Таблица32[[#This Row],[Столбец7]]*Таблица32[[#This Row],[Gruppa bank klient ]]%</f>
        <v>0</v>
      </c>
      <c r="AB181" s="188" t="n">
        <f aca="false">Таблица32[[#This Row],[1c]]*Таблица32[[#This Row],[Столбец7]]/100</f>
        <v>0</v>
      </c>
      <c r="AC181" s="187" t="n">
        <f aca="false">SUM(Таблица32[[#This Row],[Didox]:[ мехнат]],Таблица32[[#This Row],[Avtokameral]])*Таблица32[[#This Row],[Столбец7]]/100</f>
        <v>0</v>
      </c>
      <c r="AD181" s="190" t="n">
        <f aca="false">SUM(Таблица32[[#This Row],[Pul oqimlari]:[Foyda va zarar]])*Таблица32[[#This Row],[Столбец7]]/100</f>
        <v>0</v>
      </c>
      <c r="AE181" s="191" t="n">
        <f aca="false">Таблица32[[#This Row],[Столбец7]]*Таблица32[[#This Row],[Nazoratchi]]%</f>
        <v>0</v>
      </c>
      <c r="AF181" s="188" t="n">
        <f aca="false">Таблица32[[#This Row],[Ishga vaqtida kelish nazoratchi]]+Таблица32[[#This Row],[Nazoratchi2]]</f>
        <v>0</v>
      </c>
      <c r="AG18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81" s="188" t="n">
        <f aca="false">Таблица32[[#This Row],[Ishga kelish bank klient3]]+Таблица32[[#This Row],[Gruppa bank klient 2]]</f>
        <v>0</v>
      </c>
    </row>
    <row r="182" customFormat="false" ht="17.35" hidden="false" customHeight="false" outlineLevel="0" collapsed="false">
      <c r="A182" s="112" t="n">
        <v>180</v>
      </c>
      <c r="B182" s="141" t="s">
        <v>388</v>
      </c>
      <c r="C182" s="143" t="s">
        <v>208</v>
      </c>
      <c r="D182" s="141" t="s">
        <v>224</v>
      </c>
      <c r="E182" s="142" t="n">
        <v>4000000</v>
      </c>
      <c r="F182" s="116" t="s">
        <v>210</v>
      </c>
      <c r="G182" s="174"/>
      <c r="H182" s="174" t="n">
        <v>1</v>
      </c>
      <c r="I182" s="184"/>
      <c r="J182" s="174" t="n">
        <v>-2</v>
      </c>
      <c r="K182" s="174" t="n">
        <v>-0.5</v>
      </c>
      <c r="L182" s="180" t="n">
        <v>-0.25</v>
      </c>
      <c r="M182" s="180" t="n">
        <v>0.25</v>
      </c>
      <c r="N182" s="180"/>
      <c r="O182" s="180"/>
      <c r="P182" s="180" t="n">
        <v>0.25</v>
      </c>
      <c r="Q182" s="180" t="n">
        <v>0</v>
      </c>
      <c r="R182" s="180" t="n">
        <v>0.2</v>
      </c>
      <c r="S182" s="180" t="n">
        <v>0</v>
      </c>
      <c r="T182" s="180" t="n">
        <v>0</v>
      </c>
      <c r="U182" s="180" t="n">
        <v>0</v>
      </c>
      <c r="V182" s="174" t="n">
        <v>-2</v>
      </c>
      <c r="W182" s="185" t="n">
        <f aca="false">Таблица32[[#This Row],[Столбец7]]*Таблица32[[#This Row],[Ishga kelish nazoratchi2]]%</f>
        <v>0</v>
      </c>
      <c r="X182" s="188" t="n">
        <f aca="false">Таблица32[[#This Row],[Столбец7]]*Таблица32[[#This Row],[Ishga vaqtida kelish ketish]]%</f>
        <v>0</v>
      </c>
      <c r="Y182" s="186" t="n">
        <f aca="false">Таблица32[[#This Row],[Столбец7]]*Таблица32[[#This Row],[Ishga kelish bank klient]]%</f>
        <v>40000</v>
      </c>
      <c r="Z182" s="188" t="n">
        <f aca="false">Таблица32[[#This Row],[Столбец7]]*Таблица32[[#This Row],[Gruppa buxgalter]]%</f>
        <v>-80000</v>
      </c>
      <c r="AA182" s="188" t="n">
        <f aca="false">Таблица32[[#This Row],[Столбец7]]*Таблица32[[#This Row],[Gruppa bank klient ]]%</f>
        <v>-20000</v>
      </c>
      <c r="AB182" s="188" t="n">
        <f aca="false">Таблица32[[#This Row],[1c]]*Таблица32[[#This Row],[Столбец7]]/100</f>
        <v>0</v>
      </c>
      <c r="AC182" s="187" t="n">
        <f aca="false">SUM(Таблица32[[#This Row],[Didox]:[ мехнат]],Таблица32[[#This Row],[Avtokameral]])*Таблица32[[#This Row],[Столбец7]]/100</f>
        <v>10000</v>
      </c>
      <c r="AD182" s="190" t="n">
        <f aca="false">SUM(Таблица32[[#This Row],[Pul oqimlari]:[Foyda va zarar]])*Таблица32[[#This Row],[Столбец7]]/100</f>
        <v>8000</v>
      </c>
      <c r="AE182" s="191" t="n">
        <f aca="false">Таблица32[[#This Row],[Столбец7]]*Таблица32[[#This Row],[Nazoratchi]]%</f>
        <v>-80000</v>
      </c>
      <c r="AF182" s="188" t="n">
        <f aca="false">Таблица32[[#This Row],[Ishga vaqtida kelish nazoratchi]]+Таблица32[[#This Row],[Nazoratchi2]]</f>
        <v>-80000</v>
      </c>
      <c r="AG18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-62000</v>
      </c>
      <c r="AH182" s="188" t="n">
        <f aca="false">Таблица32[[#This Row],[Ishga kelish bank klient3]]+Таблица32[[#This Row],[Gruppa bank klient 2]]</f>
        <v>20000</v>
      </c>
    </row>
    <row r="183" customFormat="false" ht="17.35" hidden="false" customHeight="false" outlineLevel="0" collapsed="false">
      <c r="A183" s="112" t="n">
        <v>181</v>
      </c>
      <c r="B183" s="141" t="s">
        <v>389</v>
      </c>
      <c r="C183" s="143" t="s">
        <v>220</v>
      </c>
      <c r="D183" s="141" t="s">
        <v>224</v>
      </c>
      <c r="E183" s="142" t="n">
        <v>10000000</v>
      </c>
      <c r="F183" s="116" t="s">
        <v>210</v>
      </c>
      <c r="G183" s="174" t="n">
        <v>0.55</v>
      </c>
      <c r="H183" s="174" t="n">
        <v>1</v>
      </c>
      <c r="I183" s="184"/>
      <c r="J183" s="174" t="n">
        <v>1</v>
      </c>
      <c r="K183" s="174" t="n">
        <v>1</v>
      </c>
      <c r="L183" s="180" t="n">
        <v>0.25</v>
      </c>
      <c r="M183" s="180" t="n">
        <v>0.25</v>
      </c>
      <c r="N183" s="180" t="n">
        <v>0.25</v>
      </c>
      <c r="O183" s="180" t="n">
        <v>1</v>
      </c>
      <c r="P183" s="180" t="n">
        <v>0.25</v>
      </c>
      <c r="Q183" s="180" t="n">
        <v>0.2</v>
      </c>
      <c r="R183" s="180" t="n">
        <v>0.2</v>
      </c>
      <c r="S183" s="180" t="n">
        <v>0.2</v>
      </c>
      <c r="T183" s="180" t="n">
        <v>0.2</v>
      </c>
      <c r="U183" s="180" t="n">
        <v>0.2</v>
      </c>
      <c r="V183" s="117" t="n">
        <v>0.5</v>
      </c>
      <c r="W183" s="185" t="n">
        <f aca="false">Таблица32[[#This Row],[Столбец7]]*Таблица32[[#This Row],[Ishga kelish nazoratchi2]]%</f>
        <v>0</v>
      </c>
      <c r="X183" s="188" t="n">
        <f aca="false">Таблица32[[#This Row],[Столбец7]]*Таблица32[[#This Row],[Ishga vaqtida kelish ketish]]%</f>
        <v>55000</v>
      </c>
      <c r="Y183" s="186" t="n">
        <f aca="false">Таблица32[[#This Row],[Столбец7]]*Таблица32[[#This Row],[Ishga kelish bank klient]]%</f>
        <v>100000</v>
      </c>
      <c r="Z183" s="188" t="n">
        <f aca="false">Таблица32[[#This Row],[Столбец7]]*Таблица32[[#This Row],[Gruppa buxgalter]]%</f>
        <v>100000</v>
      </c>
      <c r="AA183" s="188" t="n">
        <f aca="false">Таблица32[[#This Row],[Столбец7]]*Таблица32[[#This Row],[Gruppa bank klient ]]%</f>
        <v>100000</v>
      </c>
      <c r="AB183" s="188" t="n">
        <f aca="false">Таблица32[[#This Row],[1c]]*Таблица32[[#This Row],[Столбец7]]/100</f>
        <v>100000</v>
      </c>
      <c r="AC183" s="187" t="n">
        <f aca="false">SUM(Таблица32[[#This Row],[Didox]:[ мехнат]],Таблица32[[#This Row],[Avtokameral]])*Таблица32[[#This Row],[Столбец7]]/100</f>
        <v>100000</v>
      </c>
      <c r="AD183" s="190" t="n">
        <f aca="false">SUM(Таблица32[[#This Row],[Pul oqimlari]:[Foyda va zarar]])*Таблица32[[#This Row],[Столбец7]]/100</f>
        <v>100000</v>
      </c>
      <c r="AE183" s="191" t="n">
        <f aca="false">Таблица32[[#This Row],[Столбец7]]*Таблица32[[#This Row],[Nazoratchi]]%</f>
        <v>50000</v>
      </c>
      <c r="AF183" s="188" t="n">
        <f aca="false">Таблица32[[#This Row],[Ishga vaqtida kelish nazoratchi]]+Таблица32[[#This Row],[Nazoratchi2]]</f>
        <v>50000</v>
      </c>
      <c r="AG18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455000</v>
      </c>
      <c r="AH183" s="188" t="n">
        <f aca="false">Таблица32[[#This Row],[Ishga kelish bank klient3]]+Таблица32[[#This Row],[Gruppa bank klient 2]]</f>
        <v>200000</v>
      </c>
    </row>
    <row r="184" customFormat="false" ht="17.35" hidden="false" customHeight="false" outlineLevel="0" collapsed="false">
      <c r="A184" s="112" t="n">
        <v>182</v>
      </c>
      <c r="B184" s="141" t="s">
        <v>390</v>
      </c>
      <c r="C184" s="143" t="s">
        <v>220</v>
      </c>
      <c r="D184" s="141" t="s">
        <v>224</v>
      </c>
      <c r="E184" s="142" t="n">
        <v>2000000</v>
      </c>
      <c r="F184" s="116" t="s">
        <v>210</v>
      </c>
      <c r="G184" s="174" t="n">
        <v>0.55</v>
      </c>
      <c r="H184" s="174" t="n">
        <v>1</v>
      </c>
      <c r="I184" s="184"/>
      <c r="J184" s="174" t="n">
        <v>1</v>
      </c>
      <c r="K184" s="174" t="n">
        <v>1</v>
      </c>
      <c r="L184" s="180" t="n">
        <v>-0.25</v>
      </c>
      <c r="M184" s="180" t="n">
        <v>0.25</v>
      </c>
      <c r="N184" s="180" t="n">
        <v>0.25</v>
      </c>
      <c r="O184" s="180"/>
      <c r="P184" s="180" t="n">
        <v>0.25</v>
      </c>
      <c r="Q184" s="180" t="n">
        <v>0.2</v>
      </c>
      <c r="R184" s="180" t="n">
        <v>0.2</v>
      </c>
      <c r="S184" s="180" t="n">
        <v>0.2</v>
      </c>
      <c r="T184" s="180" t="n">
        <v>0.2</v>
      </c>
      <c r="U184" s="180" t="n">
        <v>0.2</v>
      </c>
      <c r="V184" s="117" t="n">
        <v>0.5</v>
      </c>
      <c r="W184" s="185" t="n">
        <f aca="false">Таблица32[[#This Row],[Столбец7]]*Таблица32[[#This Row],[Ishga kelish nazoratchi2]]%</f>
        <v>0</v>
      </c>
      <c r="X184" s="188" t="n">
        <f aca="false">Таблица32[[#This Row],[Столбец7]]*Таблица32[[#This Row],[Ishga vaqtida kelish ketish]]%</f>
        <v>11000</v>
      </c>
      <c r="Y184" s="186" t="n">
        <f aca="false">Таблица32[[#This Row],[Столбец7]]*Таблица32[[#This Row],[Ishga kelish bank klient]]%</f>
        <v>20000</v>
      </c>
      <c r="Z184" s="188" t="n">
        <f aca="false">Таблица32[[#This Row],[Столбец7]]*Таблица32[[#This Row],[Gruppa buxgalter]]%</f>
        <v>20000</v>
      </c>
      <c r="AA184" s="188" t="n">
        <f aca="false">Таблица32[[#This Row],[Столбец7]]*Таблица32[[#This Row],[Gruppa bank klient ]]%</f>
        <v>20000</v>
      </c>
      <c r="AB184" s="188" t="n">
        <f aca="false">Таблица32[[#This Row],[1c]]*Таблица32[[#This Row],[Столбец7]]/100</f>
        <v>0</v>
      </c>
      <c r="AC184" s="187" t="n">
        <f aca="false">SUM(Таблица32[[#This Row],[Didox]:[ мехнат]],Таблица32[[#This Row],[Avtokameral]])*Таблица32[[#This Row],[Столбец7]]/100</f>
        <v>10000</v>
      </c>
      <c r="AD184" s="190" t="n">
        <f aca="false">SUM(Таблица32[[#This Row],[Pul oqimlari]:[Foyda va zarar]])*Таблица32[[#This Row],[Столбец7]]/100</f>
        <v>20000</v>
      </c>
      <c r="AE184" s="191" t="n">
        <f aca="false">Таблица32[[#This Row],[Столбец7]]*Таблица32[[#This Row],[Nazoratchi]]%</f>
        <v>10000</v>
      </c>
      <c r="AF184" s="188" t="n">
        <f aca="false">Таблица32[[#This Row],[Ishga vaqtida kelish nazoratchi]]+Таблица32[[#This Row],[Nazoratchi2]]</f>
        <v>10000</v>
      </c>
      <c r="AG18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61000</v>
      </c>
      <c r="AH184" s="188" t="n">
        <f aca="false">Таблица32[[#This Row],[Ishga kelish bank klient3]]+Таблица32[[#This Row],[Gruppa bank klient 2]]</f>
        <v>40000</v>
      </c>
    </row>
    <row r="185" customFormat="false" ht="17.35" hidden="false" customHeight="false" outlineLevel="0" collapsed="false">
      <c r="A185" s="112" t="n">
        <v>183</v>
      </c>
      <c r="B185" s="141" t="s">
        <v>391</v>
      </c>
      <c r="C185" s="143" t="s">
        <v>220</v>
      </c>
      <c r="D185" s="141"/>
      <c r="E185" s="142" t="n">
        <v>5000000</v>
      </c>
      <c r="F185" s="116" t="s">
        <v>213</v>
      </c>
      <c r="G185" s="174" t="n">
        <v>0.55</v>
      </c>
      <c r="H185" s="184"/>
      <c r="I185" s="184"/>
      <c r="J185" s="174" t="n">
        <v>1</v>
      </c>
      <c r="K185" s="174"/>
      <c r="L185" s="180" t="n">
        <v>0</v>
      </c>
      <c r="M185" s="180" t="n">
        <v>0.25</v>
      </c>
      <c r="N185" s="180" t="n">
        <v>0.25</v>
      </c>
      <c r="O185" s="180"/>
      <c r="P185" s="180" t="n">
        <v>-0.25</v>
      </c>
      <c r="Q185" s="180" t="n">
        <v>-0.2</v>
      </c>
      <c r="R185" s="180" t="n">
        <v>0.2</v>
      </c>
      <c r="S185" s="180" t="n">
        <v>0.2</v>
      </c>
      <c r="T185" s="180" t="n">
        <v>0.2</v>
      </c>
      <c r="U185" s="180" t="n">
        <v>-0.2</v>
      </c>
      <c r="V185" s="117" t="n">
        <v>0.5</v>
      </c>
      <c r="W185" s="185" t="n">
        <f aca="false">Таблица32[[#This Row],[Столбец7]]*Таблица32[[#This Row],[Ishga kelish nazoratchi2]]%</f>
        <v>0</v>
      </c>
      <c r="X185" s="188" t="n">
        <f aca="false">Таблица32[[#This Row],[Столбец7]]*Таблица32[[#This Row],[Ishga vaqtida kelish ketish]]%</f>
        <v>27500</v>
      </c>
      <c r="Y185" s="186" t="n">
        <f aca="false">Таблица32[[#This Row],[Столбец7]]*Таблица32[[#This Row],[Ishga kelish bank klient]]%</f>
        <v>0</v>
      </c>
      <c r="Z185" s="188" t="n">
        <f aca="false">Таблица32[[#This Row],[Столбец7]]*Таблица32[[#This Row],[Gruppa buxgalter]]%</f>
        <v>50000</v>
      </c>
      <c r="AA185" s="188" t="n">
        <f aca="false">Таблица32[[#This Row],[Столбец7]]*Таблица32[[#This Row],[Gruppa bank klient ]]%</f>
        <v>0</v>
      </c>
      <c r="AB185" s="188" t="n">
        <f aca="false">Таблица32[[#This Row],[1c]]*Таблица32[[#This Row],[Столбец7]]/100</f>
        <v>0</v>
      </c>
      <c r="AC185" s="187" t="n">
        <f aca="false">SUM(Таблица32[[#This Row],[Didox]:[ мехнат]],Таблица32[[#This Row],[Avtokameral]])*Таблица32[[#This Row],[Столбец7]]/100</f>
        <v>12500</v>
      </c>
      <c r="AD185" s="190" t="n">
        <f aca="false">SUM(Таблица32[[#This Row],[Pul oqimlari]:[Foyda va zarar]])*Таблица32[[#This Row],[Столбец7]]/100</f>
        <v>10000</v>
      </c>
      <c r="AE185" s="191" t="n">
        <f aca="false">Таблица32[[#This Row],[Столбец7]]*Таблица32[[#This Row],[Nazoratchi]]%</f>
        <v>25000</v>
      </c>
      <c r="AF185" s="188" t="n">
        <f aca="false">Таблица32[[#This Row],[Ishga vaqtida kelish nazoratchi]]+Таблица32[[#This Row],[Nazoratchi2]]</f>
        <v>25000</v>
      </c>
      <c r="AG18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100000</v>
      </c>
      <c r="AH185" s="188" t="n">
        <f aca="false">Таблица32[[#This Row],[Ishga kelish bank klient3]]+Таблица32[[#This Row],[Gruppa bank klient 2]]</f>
        <v>0</v>
      </c>
    </row>
    <row r="186" customFormat="false" ht="17.35" hidden="false" customHeight="false" outlineLevel="0" collapsed="false">
      <c r="A186" s="112" t="n">
        <v>184</v>
      </c>
      <c r="B186" s="141" t="s">
        <v>392</v>
      </c>
      <c r="C186" s="143" t="s">
        <v>220</v>
      </c>
      <c r="D186" s="141"/>
      <c r="E186" s="142" t="n">
        <v>5000000</v>
      </c>
      <c r="F186" s="116" t="s">
        <v>213</v>
      </c>
      <c r="G186" s="174" t="n">
        <v>0.55</v>
      </c>
      <c r="H186" s="184"/>
      <c r="I186" s="184"/>
      <c r="J186" s="174" t="n">
        <v>1</v>
      </c>
      <c r="K186" s="174"/>
      <c r="L186" s="180" t="n">
        <v>0</v>
      </c>
      <c r="M186" s="180" t="n">
        <v>0.25</v>
      </c>
      <c r="N186" s="180" t="n">
        <v>0.25</v>
      </c>
      <c r="O186" s="180"/>
      <c r="P186" s="180" t="n">
        <v>-0.25</v>
      </c>
      <c r="Q186" s="180" t="n">
        <v>-0.2</v>
      </c>
      <c r="R186" s="180" t="n">
        <v>0.2</v>
      </c>
      <c r="S186" s="180" t="n">
        <v>0.2</v>
      </c>
      <c r="T186" s="180" t="n">
        <v>-0.2</v>
      </c>
      <c r="U186" s="180" t="n">
        <v>-0.2</v>
      </c>
      <c r="V186" s="117" t="n">
        <v>0.5</v>
      </c>
      <c r="W186" s="185" t="n">
        <f aca="false">Таблица32[[#This Row],[Столбец7]]*Таблица32[[#This Row],[Ishga kelish nazoratchi2]]%</f>
        <v>0</v>
      </c>
      <c r="X186" s="188" t="n">
        <f aca="false">Таблица32[[#This Row],[Столбец7]]*Таблица32[[#This Row],[Ishga vaqtida kelish ketish]]%</f>
        <v>27500</v>
      </c>
      <c r="Y186" s="186" t="n">
        <f aca="false">Таблица32[[#This Row],[Столбец7]]*Таблица32[[#This Row],[Ishga kelish bank klient]]%</f>
        <v>0</v>
      </c>
      <c r="Z186" s="188" t="n">
        <f aca="false">Таблица32[[#This Row],[Столбец7]]*Таблица32[[#This Row],[Gruppa buxgalter]]%</f>
        <v>50000</v>
      </c>
      <c r="AA186" s="188" t="n">
        <f aca="false">Таблица32[[#This Row],[Столбец7]]*Таблица32[[#This Row],[Gruppa bank klient ]]%</f>
        <v>0</v>
      </c>
      <c r="AB186" s="188" t="n">
        <f aca="false">Таблица32[[#This Row],[1c]]*Таблица32[[#This Row],[Столбец7]]/100</f>
        <v>0</v>
      </c>
      <c r="AC186" s="187" t="n">
        <f aca="false">SUM(Таблица32[[#This Row],[Didox]:[ мехнат]],Таблица32[[#This Row],[Avtokameral]])*Таблица32[[#This Row],[Столбец7]]/100</f>
        <v>12500</v>
      </c>
      <c r="AD186" s="190" t="n">
        <f aca="false">SUM(Таблица32[[#This Row],[Pul oqimlari]:[Foyda va zarar]])*Таблица32[[#This Row],[Столбец7]]/100</f>
        <v>-10000</v>
      </c>
      <c r="AE186" s="191" t="n">
        <f aca="false">Таблица32[[#This Row],[Столбец7]]*Таблица32[[#This Row],[Nazoratchi]]%</f>
        <v>25000</v>
      </c>
      <c r="AF186" s="188" t="n">
        <f aca="false">Таблица32[[#This Row],[Ishga vaqtida kelish nazoratchi]]+Таблица32[[#This Row],[Nazoratchi2]]</f>
        <v>25000</v>
      </c>
      <c r="AG18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80000</v>
      </c>
      <c r="AH186" s="188" t="n">
        <f aca="false">Таблица32[[#This Row],[Ishga kelish bank klient3]]+Таблица32[[#This Row],[Gruppa bank klient 2]]</f>
        <v>0</v>
      </c>
    </row>
    <row r="187" customFormat="false" ht="17.35" hidden="false" customHeight="false" outlineLevel="0" collapsed="false">
      <c r="A187" s="112" t="n">
        <v>185</v>
      </c>
      <c r="B187" s="141" t="s">
        <v>393</v>
      </c>
      <c r="C187" s="143" t="s">
        <v>220</v>
      </c>
      <c r="D187" s="141"/>
      <c r="E187" s="142" t="n">
        <v>5000000</v>
      </c>
      <c r="F187" s="116" t="s">
        <v>213</v>
      </c>
      <c r="G187" s="174" t="n">
        <v>0.55</v>
      </c>
      <c r="H187" s="184"/>
      <c r="I187" s="184"/>
      <c r="J187" s="174" t="n">
        <v>-0.5</v>
      </c>
      <c r="K187" s="174"/>
      <c r="L187" s="180" t="n">
        <v>0</v>
      </c>
      <c r="M187" s="180" t="n">
        <v>0.25</v>
      </c>
      <c r="N187" s="180" t="n">
        <v>0.25</v>
      </c>
      <c r="O187" s="180"/>
      <c r="P187" s="180" t="n">
        <v>0.25</v>
      </c>
      <c r="Q187" s="180" t="n">
        <v>-0.2</v>
      </c>
      <c r="R187" s="180" t="n">
        <v>0.2</v>
      </c>
      <c r="S187" s="180" t="n">
        <v>0.2</v>
      </c>
      <c r="T187" s="180" t="n">
        <v>0.2</v>
      </c>
      <c r="U187" s="180" t="n">
        <v>-0.2</v>
      </c>
      <c r="V187" s="117" t="n">
        <v>-0.5</v>
      </c>
      <c r="W187" s="185" t="n">
        <f aca="false">Таблица32[[#This Row],[Столбец7]]*Таблица32[[#This Row],[Ishga kelish nazoratchi2]]%</f>
        <v>0</v>
      </c>
      <c r="X187" s="188" t="n">
        <f aca="false">Таблица32[[#This Row],[Столбец7]]*Таблица32[[#This Row],[Ishga vaqtida kelish ketish]]%</f>
        <v>27500</v>
      </c>
      <c r="Y187" s="186" t="n">
        <f aca="false">Таблица32[[#This Row],[Столбец7]]*Таблица32[[#This Row],[Ishga kelish bank klient]]%</f>
        <v>0</v>
      </c>
      <c r="Z187" s="188" t="n">
        <f aca="false">Таблица32[[#This Row],[Столбец7]]*Таблица32[[#This Row],[Gruppa buxgalter]]%</f>
        <v>-25000</v>
      </c>
      <c r="AA187" s="188" t="n">
        <f aca="false">Таблица32[[#This Row],[Столбец7]]*Таблица32[[#This Row],[Gruppa bank klient ]]%</f>
        <v>0</v>
      </c>
      <c r="AB187" s="188" t="n">
        <f aca="false">Таблица32[[#This Row],[1c]]*Таблица32[[#This Row],[Столбец7]]/100</f>
        <v>0</v>
      </c>
      <c r="AC187" s="187" t="n">
        <f aca="false">SUM(Таблица32[[#This Row],[Didox]:[ мехнат]],Таблица32[[#This Row],[Avtokameral]])*Таблица32[[#This Row],[Столбец7]]/100</f>
        <v>37500</v>
      </c>
      <c r="AD187" s="190" t="n">
        <f aca="false">SUM(Таблица32[[#This Row],[Pul oqimlari]:[Foyda va zarar]])*Таблица32[[#This Row],[Столбец7]]/100</f>
        <v>10000</v>
      </c>
      <c r="AE187" s="191" t="n">
        <f aca="false">Таблица32[[#This Row],[Столбец7]]*Таблица32[[#This Row],[Nazoratchi]]%</f>
        <v>-25000</v>
      </c>
      <c r="AF187" s="188" t="n">
        <f aca="false">Таблица32[[#This Row],[Ishga vaqtida kelish nazoratchi]]+Таблица32[[#This Row],[Nazoratchi2]]</f>
        <v>-25000</v>
      </c>
      <c r="AG18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50000</v>
      </c>
      <c r="AH187" s="188" t="n">
        <f aca="false">Таблица32[[#This Row],[Ishga kelish bank klient3]]+Таблица32[[#This Row],[Gruppa bank klient 2]]</f>
        <v>0</v>
      </c>
    </row>
    <row r="188" customFormat="false" ht="17.35" hidden="false" customHeight="false" outlineLevel="0" collapsed="false">
      <c r="A188" s="112" t="n">
        <v>186</v>
      </c>
      <c r="B188" s="141" t="s">
        <v>394</v>
      </c>
      <c r="C188" s="143" t="s">
        <v>223</v>
      </c>
      <c r="D188" s="141"/>
      <c r="E188" s="142" t="n">
        <v>3500000</v>
      </c>
      <c r="F188" s="116" t="s">
        <v>210</v>
      </c>
      <c r="G188" s="174" t="n">
        <v>-0.8</v>
      </c>
      <c r="H188" s="184"/>
      <c r="I188" s="184"/>
      <c r="J188" s="174" t="n">
        <v>-0.5</v>
      </c>
      <c r="K188" s="174"/>
      <c r="L188" s="180" t="n">
        <v>0.25</v>
      </c>
      <c r="M188" s="180" t="n">
        <v>0.25</v>
      </c>
      <c r="N188" s="180" t="n">
        <v>0.25</v>
      </c>
      <c r="O188" s="180"/>
      <c r="P188" s="180" t="n">
        <v>0.25</v>
      </c>
      <c r="Q188" s="180" t="n">
        <v>0</v>
      </c>
      <c r="R188" s="180" t="n">
        <v>0.2</v>
      </c>
      <c r="S188" s="180" t="n">
        <v>0.2</v>
      </c>
      <c r="T188" s="180" t="n">
        <v>0</v>
      </c>
      <c r="U188" s="180" t="n">
        <v>0</v>
      </c>
      <c r="V188" s="174" t="n">
        <v>-0.5</v>
      </c>
      <c r="W188" s="185" t="n">
        <f aca="false">Таблица32[[#This Row],[Столбец7]]*Таблица32[[#This Row],[Ishga kelish nazoratchi2]]%</f>
        <v>0</v>
      </c>
      <c r="X188" s="188" t="n">
        <f aca="false">Таблица32[[#This Row],[Столбец7]]*Таблица32[[#This Row],[Ishga vaqtida kelish ketish]]%</f>
        <v>-28000</v>
      </c>
      <c r="Y188" s="186" t="n">
        <f aca="false">Таблица32[[#This Row],[Столбец7]]*Таблица32[[#This Row],[Ishga kelish bank klient]]%</f>
        <v>0</v>
      </c>
      <c r="Z188" s="188" t="n">
        <f aca="false">Таблица32[[#This Row],[Столбец7]]*Таблица32[[#This Row],[Gruppa buxgalter]]%</f>
        <v>-17500</v>
      </c>
      <c r="AA188" s="188" t="n">
        <f aca="false">Таблица32[[#This Row],[Столбец7]]*Таблица32[[#This Row],[Gruppa bank klient ]]%</f>
        <v>0</v>
      </c>
      <c r="AB188" s="188" t="n">
        <f aca="false">Таблица32[[#This Row],[1c]]*Таблица32[[#This Row],[Столбец7]]/100</f>
        <v>0</v>
      </c>
      <c r="AC188" s="187" t="n">
        <f aca="false">SUM(Таблица32[[#This Row],[Didox]:[ мехнат]],Таблица32[[#This Row],[Avtokameral]])*Таблица32[[#This Row],[Столбец7]]/100</f>
        <v>35000</v>
      </c>
      <c r="AD188" s="190" t="n">
        <f aca="false">SUM(Таблица32[[#This Row],[Pul oqimlari]:[Foyda va zarar]])*Таблица32[[#This Row],[Столбец7]]/100</f>
        <v>14000</v>
      </c>
      <c r="AE188" s="191" t="n">
        <f aca="false">Таблица32[[#This Row],[Столбец7]]*Таблица32[[#This Row],[Nazoratchi]]%</f>
        <v>-17500</v>
      </c>
      <c r="AF188" s="188" t="n">
        <f aca="false">Таблица32[[#This Row],[Ishga vaqtida kelish nazoratchi]]+Таблица32[[#This Row],[Nazoratchi2]]</f>
        <v>-17500</v>
      </c>
      <c r="AG18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3500</v>
      </c>
      <c r="AH188" s="188" t="n">
        <f aca="false">Таблица32[[#This Row],[Ishga kelish bank klient3]]+Таблица32[[#This Row],[Gruppa bank klient 2]]</f>
        <v>0</v>
      </c>
    </row>
    <row r="189" customFormat="false" ht="17.35" hidden="false" customHeight="false" outlineLevel="0" collapsed="false">
      <c r="A189" s="112" t="n">
        <v>187</v>
      </c>
      <c r="B189" s="141" t="s">
        <v>395</v>
      </c>
      <c r="C189" s="143" t="s">
        <v>223</v>
      </c>
      <c r="D189" s="141"/>
      <c r="E189" s="142" t="n">
        <v>3500000</v>
      </c>
      <c r="F189" s="116" t="s">
        <v>210</v>
      </c>
      <c r="G189" s="174" t="n">
        <v>-0.8</v>
      </c>
      <c r="H189" s="184"/>
      <c r="I189" s="184"/>
      <c r="J189" s="174" t="n">
        <v>1</v>
      </c>
      <c r="K189" s="174"/>
      <c r="L189" s="180" t="n">
        <v>0.25</v>
      </c>
      <c r="M189" s="180" t="n">
        <v>0.25</v>
      </c>
      <c r="N189" s="180" t="n">
        <v>0.25</v>
      </c>
      <c r="O189" s="180"/>
      <c r="P189" s="180" t="n">
        <v>0.25</v>
      </c>
      <c r="Q189" s="180" t="n">
        <v>0</v>
      </c>
      <c r="R189" s="180" t="n">
        <v>0.2</v>
      </c>
      <c r="S189" s="180" t="n">
        <v>0.2</v>
      </c>
      <c r="T189" s="180" t="n">
        <v>0</v>
      </c>
      <c r="U189" s="180" t="n">
        <v>0</v>
      </c>
      <c r="V189" s="174" t="n">
        <v>0.5</v>
      </c>
      <c r="W189" s="185" t="n">
        <f aca="false">Таблица32[[#This Row],[Столбец7]]*Таблица32[[#This Row],[Ishga kelish nazoratchi2]]%</f>
        <v>0</v>
      </c>
      <c r="X189" s="188" t="n">
        <f aca="false">Таблица32[[#This Row],[Столбец7]]*Таблица32[[#This Row],[Ishga vaqtida kelish ketish]]%</f>
        <v>-28000</v>
      </c>
      <c r="Y189" s="186" t="n">
        <f aca="false">Таблица32[[#This Row],[Столбец7]]*Таблица32[[#This Row],[Ishga kelish bank klient]]%</f>
        <v>0</v>
      </c>
      <c r="Z189" s="188" t="n">
        <f aca="false">Таблица32[[#This Row],[Столбец7]]*Таблица32[[#This Row],[Gruppa buxgalter]]%</f>
        <v>35000</v>
      </c>
      <c r="AA189" s="188" t="n">
        <f aca="false">Таблица32[[#This Row],[Столбец7]]*Таблица32[[#This Row],[Gruppa bank klient ]]%</f>
        <v>0</v>
      </c>
      <c r="AB189" s="188" t="n">
        <f aca="false">Таблица32[[#This Row],[1c]]*Таблица32[[#This Row],[Столбец7]]/100</f>
        <v>0</v>
      </c>
      <c r="AC189" s="187" t="n">
        <f aca="false">SUM(Таблица32[[#This Row],[Didox]:[ мехнат]],Таблица32[[#This Row],[Avtokameral]])*Таблица32[[#This Row],[Столбец7]]/100</f>
        <v>35000</v>
      </c>
      <c r="AD189" s="190" t="n">
        <f aca="false">SUM(Таблица32[[#This Row],[Pul oqimlari]:[Foyda va zarar]])*Таблица32[[#This Row],[Столбец7]]/100</f>
        <v>14000</v>
      </c>
      <c r="AE189" s="191" t="n">
        <f aca="false">Таблица32[[#This Row],[Столбец7]]*Таблица32[[#This Row],[Nazoratchi]]%</f>
        <v>17500</v>
      </c>
      <c r="AF189" s="188" t="n">
        <f aca="false">Таблица32[[#This Row],[Ishga vaqtida kelish nazoratchi]]+Таблица32[[#This Row],[Nazoratchi2]]</f>
        <v>17500</v>
      </c>
      <c r="AG18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56000</v>
      </c>
      <c r="AH189" s="188" t="n">
        <f aca="false">Таблица32[[#This Row],[Ishga kelish bank klient3]]+Таблица32[[#This Row],[Gruppa bank klient 2]]</f>
        <v>0</v>
      </c>
    </row>
    <row r="190" customFormat="false" ht="17.35" hidden="false" customHeight="false" outlineLevel="0" collapsed="false">
      <c r="A190" s="112" t="n">
        <v>188</v>
      </c>
      <c r="B190" s="141" t="s">
        <v>396</v>
      </c>
      <c r="C190" s="143" t="s">
        <v>217</v>
      </c>
      <c r="D190" s="141"/>
      <c r="E190" s="142" t="n">
        <v>1000000</v>
      </c>
      <c r="F190" s="116" t="s">
        <v>210</v>
      </c>
      <c r="G190" s="174" t="n">
        <v>0.9</v>
      </c>
      <c r="H190" s="184"/>
      <c r="I190" s="184"/>
      <c r="J190" s="174"/>
      <c r="K190" s="174"/>
      <c r="L190" s="180" t="n">
        <v>0</v>
      </c>
      <c r="M190" s="180" t="n">
        <v>0</v>
      </c>
      <c r="N190" s="180" t="n">
        <v>0</v>
      </c>
      <c r="O190" s="175"/>
      <c r="P190" s="180" t="n">
        <v>0</v>
      </c>
      <c r="Q190" s="180" t="n">
        <v>0</v>
      </c>
      <c r="R190" s="180" t="n">
        <v>0</v>
      </c>
      <c r="S190" s="180" t="n">
        <v>0</v>
      </c>
      <c r="T190" s="180" t="n">
        <v>0</v>
      </c>
      <c r="U190" s="180" t="n">
        <v>0</v>
      </c>
      <c r="V190" s="174"/>
      <c r="W190" s="185" t="n">
        <f aca="false">Таблица32[[#This Row],[Столбец7]]*Таблица32[[#This Row],[Ishga kelish nazoratchi2]]%</f>
        <v>0</v>
      </c>
      <c r="X190" s="188" t="n">
        <f aca="false">Таблица32[[#This Row],[Столбец7]]*Таблица32[[#This Row],[Ishga vaqtida kelish ketish]]%</f>
        <v>9000</v>
      </c>
      <c r="Y190" s="186" t="n">
        <f aca="false">Таблица32[[#This Row],[Столбец7]]*Таблица32[[#This Row],[Ishga kelish bank klient]]%</f>
        <v>0</v>
      </c>
      <c r="Z190" s="188" t="n">
        <f aca="false">Таблица32[[#This Row],[Столбец7]]*Таблица32[[#This Row],[Gruppa buxgalter]]%</f>
        <v>0</v>
      </c>
      <c r="AA190" s="188" t="n">
        <f aca="false">Таблица32[[#This Row],[Столбец7]]*Таблица32[[#This Row],[Gruppa bank klient ]]%</f>
        <v>0</v>
      </c>
      <c r="AB190" s="188" t="n">
        <f aca="false">Таблица32[[#This Row],[1c]]*Таблица32[[#This Row],[Столбец7]]/100</f>
        <v>0</v>
      </c>
      <c r="AC190" s="187" t="n">
        <f aca="false">SUM(Таблица32[[#This Row],[Didox]:[ мехнат]],Таблица32[[#This Row],[Avtokameral]])*Таблица32[[#This Row],[Столбец7]]/100</f>
        <v>0</v>
      </c>
      <c r="AD190" s="190" t="n">
        <f aca="false">SUM(Таблица32[[#This Row],[Pul oqimlari]:[Foyda va zarar]])*Таблица32[[#This Row],[Столбец7]]/100</f>
        <v>0</v>
      </c>
      <c r="AE190" s="191" t="n">
        <f aca="false">Таблица32[[#This Row],[Столбец7]]*Таблица32[[#This Row],[Nazoratchi]]%</f>
        <v>0</v>
      </c>
      <c r="AF190" s="188" t="n">
        <f aca="false">Таблица32[[#This Row],[Ishga vaqtida kelish nazoratchi]]+Таблица32[[#This Row],[Nazoratchi2]]</f>
        <v>0</v>
      </c>
      <c r="AG19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9000</v>
      </c>
      <c r="AH190" s="188" t="n">
        <f aca="false">Таблица32[[#This Row],[Ishga kelish bank klient3]]+Таблица32[[#This Row],[Gruppa bank klient 2]]</f>
        <v>0</v>
      </c>
    </row>
    <row r="191" customFormat="false" ht="17.35" hidden="false" customHeight="false" outlineLevel="0" collapsed="false">
      <c r="A191" s="112" t="n">
        <v>189</v>
      </c>
      <c r="B191" s="141" t="s">
        <v>397</v>
      </c>
      <c r="C191" s="143" t="s">
        <v>216</v>
      </c>
      <c r="D191" s="141" t="s">
        <v>239</v>
      </c>
      <c r="E191" s="142" t="n">
        <v>0</v>
      </c>
      <c r="F191" s="116" t="s">
        <v>210</v>
      </c>
      <c r="G191" s="174" t="n">
        <v>-0.25</v>
      </c>
      <c r="H191" s="174" t="n">
        <v>1</v>
      </c>
      <c r="I191" s="184"/>
      <c r="J191" s="174" t="n">
        <v>1</v>
      </c>
      <c r="K191" s="174" t="n">
        <v>1</v>
      </c>
      <c r="L191" s="180" t="n">
        <v>0</v>
      </c>
      <c r="M191" s="180" t="n">
        <v>0</v>
      </c>
      <c r="N191" s="180" t="n">
        <v>0</v>
      </c>
      <c r="O191" s="180"/>
      <c r="P191" s="180" t="n">
        <v>0</v>
      </c>
      <c r="Q191" s="180" t="n">
        <v>0</v>
      </c>
      <c r="R191" s="180" t="n">
        <v>0</v>
      </c>
      <c r="S191" s="180" t="n">
        <v>0</v>
      </c>
      <c r="T191" s="180" t="n">
        <v>0</v>
      </c>
      <c r="U191" s="180" t="n">
        <v>0</v>
      </c>
      <c r="V191" s="117" t="n">
        <v>0.5</v>
      </c>
      <c r="W191" s="185" t="n">
        <f aca="false">Таблица32[[#This Row],[Столбец7]]*Таблица32[[#This Row],[Ishga kelish nazoratchi2]]%</f>
        <v>0</v>
      </c>
      <c r="X191" s="188" t="n">
        <f aca="false">Таблица32[[#This Row],[Столбец7]]*Таблица32[[#This Row],[Ishga vaqtida kelish ketish]]%</f>
        <v>0</v>
      </c>
      <c r="Y191" s="186" t="n">
        <f aca="false">Таблица32[[#This Row],[Столбец7]]*Таблица32[[#This Row],[Ishga kelish bank klient]]%</f>
        <v>0</v>
      </c>
      <c r="Z191" s="188" t="n">
        <f aca="false">Таблица32[[#This Row],[Столбец7]]*Таблица32[[#This Row],[Gruppa buxgalter]]%</f>
        <v>0</v>
      </c>
      <c r="AA191" s="188" t="n">
        <f aca="false">Таблица32[[#This Row],[Столбец7]]*Таблица32[[#This Row],[Gruppa bank klient ]]%</f>
        <v>0</v>
      </c>
      <c r="AB191" s="188" t="n">
        <f aca="false">Таблица32[[#This Row],[1c]]*Таблица32[[#This Row],[Столбец7]]/100</f>
        <v>0</v>
      </c>
      <c r="AC191" s="187" t="n">
        <f aca="false">SUM(Таблица32[[#This Row],[Didox]:[ мехнат]],Таблица32[[#This Row],[Avtokameral]])*Таблица32[[#This Row],[Столбец7]]/100</f>
        <v>0</v>
      </c>
      <c r="AD191" s="190" t="n">
        <f aca="false">SUM(Таблица32[[#This Row],[Pul oqimlari]:[Foyda va zarar]])*Таблица32[[#This Row],[Столбец7]]/100</f>
        <v>0</v>
      </c>
      <c r="AE191" s="191" t="n">
        <f aca="false">Таблица32[[#This Row],[Столбец7]]*Таблица32[[#This Row],[Nazoratchi]]%</f>
        <v>0</v>
      </c>
      <c r="AF191" s="188" t="n">
        <f aca="false">Таблица32[[#This Row],[Ishga vaqtida kelish nazoratchi]]+Таблица32[[#This Row],[Nazoratchi2]]</f>
        <v>0</v>
      </c>
      <c r="AG19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91" s="188" t="n">
        <f aca="false">Таблица32[[#This Row],[Ishga kelish bank klient3]]+Таблица32[[#This Row],[Gruppa bank klient 2]]</f>
        <v>0</v>
      </c>
    </row>
    <row r="192" customFormat="false" ht="17.35" hidden="false" customHeight="false" outlineLevel="0" collapsed="false">
      <c r="A192" s="112" t="n">
        <v>190</v>
      </c>
      <c r="B192" s="141" t="s">
        <v>398</v>
      </c>
      <c r="C192" s="143" t="s">
        <v>216</v>
      </c>
      <c r="D192" s="141" t="s">
        <v>239</v>
      </c>
      <c r="E192" s="142" t="n">
        <v>0</v>
      </c>
      <c r="F192" s="116" t="s">
        <v>210</v>
      </c>
      <c r="G192" s="174" t="n">
        <v>-0.25</v>
      </c>
      <c r="H192" s="174" t="n">
        <v>1</v>
      </c>
      <c r="I192" s="184"/>
      <c r="J192" s="174" t="n">
        <v>1</v>
      </c>
      <c r="K192" s="174" t="n">
        <v>1</v>
      </c>
      <c r="L192" s="180" t="n">
        <v>0</v>
      </c>
      <c r="M192" s="180" t="n">
        <v>0</v>
      </c>
      <c r="N192" s="180" t="n">
        <v>0</v>
      </c>
      <c r="O192" s="180"/>
      <c r="P192" s="180" t="n">
        <v>0</v>
      </c>
      <c r="Q192" s="180" t="n">
        <v>0</v>
      </c>
      <c r="R192" s="180" t="n">
        <v>0</v>
      </c>
      <c r="S192" s="180" t="n">
        <v>0</v>
      </c>
      <c r="T192" s="180" t="n">
        <v>0</v>
      </c>
      <c r="U192" s="180" t="n">
        <v>0</v>
      </c>
      <c r="V192" s="117" t="n">
        <v>0.5</v>
      </c>
      <c r="W192" s="185" t="n">
        <f aca="false">Таблица32[[#This Row],[Столбец7]]*Таблица32[[#This Row],[Ishga kelish nazoratchi2]]%</f>
        <v>0</v>
      </c>
      <c r="X192" s="188" t="n">
        <f aca="false">Таблица32[[#This Row],[Столбец7]]*Таблица32[[#This Row],[Ishga vaqtida kelish ketish]]%</f>
        <v>0</v>
      </c>
      <c r="Y192" s="186" t="n">
        <f aca="false">Таблица32[[#This Row],[Столбец7]]*Таблица32[[#This Row],[Ishga kelish bank klient]]%</f>
        <v>0</v>
      </c>
      <c r="Z192" s="188" t="n">
        <f aca="false">Таблица32[[#This Row],[Столбец7]]*Таблица32[[#This Row],[Gruppa buxgalter]]%</f>
        <v>0</v>
      </c>
      <c r="AA192" s="188" t="n">
        <f aca="false">Таблица32[[#This Row],[Столбец7]]*Таблица32[[#This Row],[Gruppa bank klient ]]%</f>
        <v>0</v>
      </c>
      <c r="AB192" s="188" t="n">
        <f aca="false">Таблица32[[#This Row],[1c]]*Таблица32[[#This Row],[Столбец7]]/100</f>
        <v>0</v>
      </c>
      <c r="AC192" s="187" t="n">
        <f aca="false">SUM(Таблица32[[#This Row],[Didox]:[ мехнат]],Таблица32[[#This Row],[Avtokameral]])*Таблица32[[#This Row],[Столбец7]]/100</f>
        <v>0</v>
      </c>
      <c r="AD192" s="190" t="n">
        <f aca="false">SUM(Таблица32[[#This Row],[Pul oqimlari]:[Foyda va zarar]])*Таблица32[[#This Row],[Столбец7]]/100</f>
        <v>0</v>
      </c>
      <c r="AE192" s="191" t="n">
        <f aca="false">Таблица32[[#This Row],[Столбец7]]*Таблица32[[#This Row],[Nazoratchi]]%</f>
        <v>0</v>
      </c>
      <c r="AF192" s="188" t="n">
        <f aca="false">Таблица32[[#This Row],[Ishga vaqtida kelish nazoratchi]]+Таблица32[[#This Row],[Nazoratchi2]]</f>
        <v>0</v>
      </c>
      <c r="AG19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92" s="188" t="n">
        <f aca="false">Таблица32[[#This Row],[Ishga kelish bank klient3]]+Таблица32[[#This Row],[Gruppa bank klient 2]]</f>
        <v>0</v>
      </c>
    </row>
    <row r="193" customFormat="false" ht="17.35" hidden="false" customHeight="false" outlineLevel="0" collapsed="false">
      <c r="A193" s="112" t="n">
        <v>191</v>
      </c>
      <c r="B193" s="141" t="s">
        <v>399</v>
      </c>
      <c r="C193" s="143" t="s">
        <v>216</v>
      </c>
      <c r="D193" s="141" t="s">
        <v>239</v>
      </c>
      <c r="E193" s="142" t="n">
        <v>0</v>
      </c>
      <c r="F193" s="116" t="s">
        <v>210</v>
      </c>
      <c r="G193" s="174" t="n">
        <v>-0.25</v>
      </c>
      <c r="H193" s="174" t="n">
        <v>1</v>
      </c>
      <c r="I193" s="184"/>
      <c r="J193" s="174" t="n">
        <v>1</v>
      </c>
      <c r="K193" s="174" t="n">
        <v>1</v>
      </c>
      <c r="L193" s="180" t="n">
        <v>0</v>
      </c>
      <c r="M193" s="180" t="n">
        <v>0</v>
      </c>
      <c r="N193" s="180" t="n">
        <v>0</v>
      </c>
      <c r="O193" s="180"/>
      <c r="P193" s="180" t="n">
        <v>0</v>
      </c>
      <c r="Q193" s="180" t="n">
        <v>0</v>
      </c>
      <c r="R193" s="180" t="n">
        <v>0</v>
      </c>
      <c r="S193" s="180" t="n">
        <v>0</v>
      </c>
      <c r="T193" s="180" t="n">
        <v>0</v>
      </c>
      <c r="U193" s="180" t="n">
        <v>0</v>
      </c>
      <c r="V193" s="117" t="n">
        <v>0.5</v>
      </c>
      <c r="W193" s="185" t="n">
        <f aca="false">Таблица32[[#This Row],[Столбец7]]*Таблица32[[#This Row],[Ishga kelish nazoratchi2]]%</f>
        <v>0</v>
      </c>
      <c r="X193" s="188" t="n">
        <f aca="false">Таблица32[[#This Row],[Столбец7]]*Таблица32[[#This Row],[Ishga vaqtida kelish ketish]]%</f>
        <v>0</v>
      </c>
      <c r="Y193" s="186" t="n">
        <f aca="false">Таблица32[[#This Row],[Столбец7]]*Таблица32[[#This Row],[Ishga kelish bank klient]]%</f>
        <v>0</v>
      </c>
      <c r="Z193" s="188" t="n">
        <f aca="false">Таблица32[[#This Row],[Столбец7]]*Таблица32[[#This Row],[Gruppa buxgalter]]%</f>
        <v>0</v>
      </c>
      <c r="AA193" s="188" t="n">
        <f aca="false">Таблица32[[#This Row],[Столбец7]]*Таблица32[[#This Row],[Gruppa bank klient ]]%</f>
        <v>0</v>
      </c>
      <c r="AB193" s="188" t="n">
        <f aca="false">Таблица32[[#This Row],[1c]]*Таблица32[[#This Row],[Столбец7]]/100</f>
        <v>0</v>
      </c>
      <c r="AC193" s="187" t="n">
        <f aca="false">SUM(Таблица32[[#This Row],[Didox]:[ мехнат]],Таблица32[[#This Row],[Avtokameral]])*Таблица32[[#This Row],[Столбец7]]/100</f>
        <v>0</v>
      </c>
      <c r="AD193" s="190" t="n">
        <f aca="false">SUM(Таблица32[[#This Row],[Pul oqimlari]:[Foyda va zarar]])*Таблица32[[#This Row],[Столбец7]]/100</f>
        <v>0</v>
      </c>
      <c r="AE193" s="191" t="n">
        <f aca="false">Таблица32[[#This Row],[Столбец7]]*Таблица32[[#This Row],[Nazoratchi]]%</f>
        <v>0</v>
      </c>
      <c r="AF193" s="188" t="n">
        <f aca="false">Таблица32[[#This Row],[Ishga vaqtida kelish nazoratchi]]+Таблица32[[#This Row],[Nazoratchi2]]</f>
        <v>0</v>
      </c>
      <c r="AG19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93" s="188" t="n">
        <f aca="false">Таблица32[[#This Row],[Ishga kelish bank klient3]]+Таблица32[[#This Row],[Gruppa bank klient 2]]</f>
        <v>0</v>
      </c>
    </row>
    <row r="194" customFormat="false" ht="17.35" hidden="false" customHeight="false" outlineLevel="0" collapsed="false">
      <c r="A194" s="112" t="n">
        <v>192</v>
      </c>
      <c r="B194" s="141" t="s">
        <v>400</v>
      </c>
      <c r="C194" s="143" t="s">
        <v>216</v>
      </c>
      <c r="D194" s="141" t="s">
        <v>239</v>
      </c>
      <c r="E194" s="142" t="n">
        <v>0</v>
      </c>
      <c r="F194" s="116" t="s">
        <v>210</v>
      </c>
      <c r="G194" s="174" t="n">
        <v>-0.25</v>
      </c>
      <c r="H194" s="174" t="n">
        <v>1</v>
      </c>
      <c r="I194" s="184"/>
      <c r="J194" s="174" t="n">
        <v>1</v>
      </c>
      <c r="K194" s="174" t="n">
        <v>1</v>
      </c>
      <c r="L194" s="180" t="n">
        <v>0</v>
      </c>
      <c r="M194" s="180" t="n">
        <v>0</v>
      </c>
      <c r="N194" s="180" t="n">
        <v>0</v>
      </c>
      <c r="O194" s="180"/>
      <c r="P194" s="180" t="n">
        <v>0</v>
      </c>
      <c r="Q194" s="180" t="n">
        <v>0</v>
      </c>
      <c r="R194" s="180" t="n">
        <v>0</v>
      </c>
      <c r="S194" s="180" t="n">
        <v>0</v>
      </c>
      <c r="T194" s="180" t="n">
        <v>0</v>
      </c>
      <c r="U194" s="180" t="n">
        <v>0</v>
      </c>
      <c r="V194" s="117" t="n">
        <v>0.5</v>
      </c>
      <c r="W194" s="185" t="n">
        <f aca="false">Таблица32[[#This Row],[Столбец7]]*Таблица32[[#This Row],[Ishga kelish nazoratchi2]]%</f>
        <v>0</v>
      </c>
      <c r="X194" s="188" t="n">
        <f aca="false">Таблица32[[#This Row],[Столбец7]]*Таблица32[[#This Row],[Ishga vaqtida kelish ketish]]%</f>
        <v>0</v>
      </c>
      <c r="Y194" s="186" t="n">
        <f aca="false">Таблица32[[#This Row],[Столбец7]]*Таблица32[[#This Row],[Ishga kelish bank klient]]%</f>
        <v>0</v>
      </c>
      <c r="Z194" s="188" t="n">
        <f aca="false">Таблица32[[#This Row],[Столбец7]]*Таблица32[[#This Row],[Gruppa buxgalter]]%</f>
        <v>0</v>
      </c>
      <c r="AA194" s="188" t="n">
        <f aca="false">Таблица32[[#This Row],[Столбец7]]*Таблица32[[#This Row],[Gruppa bank klient ]]%</f>
        <v>0</v>
      </c>
      <c r="AB194" s="188" t="n">
        <f aca="false">Таблица32[[#This Row],[1c]]*Таблица32[[#This Row],[Столбец7]]/100</f>
        <v>0</v>
      </c>
      <c r="AC194" s="187" t="n">
        <f aca="false">SUM(Таблица32[[#This Row],[Didox]:[ мехнат]],Таблица32[[#This Row],[Avtokameral]])*Таблица32[[#This Row],[Столбец7]]/100</f>
        <v>0</v>
      </c>
      <c r="AD194" s="190" t="n">
        <f aca="false">SUM(Таблица32[[#This Row],[Pul oqimlari]:[Foyda va zarar]])*Таблица32[[#This Row],[Столбец7]]/100</f>
        <v>0</v>
      </c>
      <c r="AE194" s="191" t="n">
        <f aca="false">Таблица32[[#This Row],[Столбец7]]*Таблица32[[#This Row],[Nazoratchi]]%</f>
        <v>0</v>
      </c>
      <c r="AF194" s="188" t="n">
        <f aca="false">Таблица32[[#This Row],[Ishga vaqtida kelish nazoratchi]]+Таблица32[[#This Row],[Nazoratchi2]]</f>
        <v>0</v>
      </c>
      <c r="AG19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94" s="188" t="n">
        <f aca="false">Таблица32[[#This Row],[Ishga kelish bank klient3]]+Таблица32[[#This Row],[Gruppa bank klient 2]]</f>
        <v>0</v>
      </c>
    </row>
    <row r="195" customFormat="false" ht="17.35" hidden="false" customHeight="false" outlineLevel="0" collapsed="false">
      <c r="A195" s="112" t="n">
        <v>193</v>
      </c>
      <c r="B195" s="141" t="s">
        <v>401</v>
      </c>
      <c r="C195" s="143" t="s">
        <v>211</v>
      </c>
      <c r="D195" s="141" t="s">
        <v>239</v>
      </c>
      <c r="E195" s="142" t="n">
        <v>0</v>
      </c>
      <c r="F195" s="116" t="s">
        <v>210</v>
      </c>
      <c r="G195" s="174"/>
      <c r="H195" s="174" t="n">
        <v>1</v>
      </c>
      <c r="I195" s="184"/>
      <c r="J195" s="174" t="n">
        <v>1</v>
      </c>
      <c r="K195" s="174" t="n">
        <v>1</v>
      </c>
      <c r="L195" s="180" t="n">
        <v>0</v>
      </c>
      <c r="M195" s="180" t="n">
        <v>0</v>
      </c>
      <c r="N195" s="180" t="n">
        <v>0</v>
      </c>
      <c r="O195" s="180"/>
      <c r="P195" s="180" t="n">
        <v>0</v>
      </c>
      <c r="Q195" s="180" t="n">
        <v>0</v>
      </c>
      <c r="R195" s="180" t="n">
        <v>0</v>
      </c>
      <c r="S195" s="180" t="n">
        <v>0</v>
      </c>
      <c r="T195" s="180" t="n">
        <v>0</v>
      </c>
      <c r="U195" s="180" t="n">
        <v>0</v>
      </c>
      <c r="V195" s="117" t="n">
        <v>0.5</v>
      </c>
      <c r="W195" s="185" t="n">
        <f aca="false">Таблица32[[#This Row],[Столбец7]]*Таблица32[[#This Row],[Ishga kelish nazoratchi2]]%</f>
        <v>0</v>
      </c>
      <c r="X195" s="188" t="n">
        <f aca="false">Таблица32[[#This Row],[Столбец7]]*Таблица32[[#This Row],[Ishga vaqtida kelish ketish]]%</f>
        <v>0</v>
      </c>
      <c r="Y195" s="186" t="n">
        <f aca="false">Таблица32[[#This Row],[Столбец7]]*Таблица32[[#This Row],[Ishga kelish bank klient]]%</f>
        <v>0</v>
      </c>
      <c r="Z195" s="188" t="n">
        <f aca="false">Таблица32[[#This Row],[Столбец7]]*Таблица32[[#This Row],[Gruppa buxgalter]]%</f>
        <v>0</v>
      </c>
      <c r="AA195" s="188" t="n">
        <f aca="false">Таблица32[[#This Row],[Столбец7]]*Таблица32[[#This Row],[Gruppa bank klient ]]%</f>
        <v>0</v>
      </c>
      <c r="AB195" s="188" t="n">
        <f aca="false">Таблица32[[#This Row],[1c]]*Таблица32[[#This Row],[Столбец7]]/100</f>
        <v>0</v>
      </c>
      <c r="AC195" s="187" t="n">
        <f aca="false">SUM(Таблица32[[#This Row],[Didox]:[ мехнат]],Таблица32[[#This Row],[Avtokameral]])*Таблица32[[#This Row],[Столбец7]]/100</f>
        <v>0</v>
      </c>
      <c r="AD195" s="190" t="n">
        <f aca="false">SUM(Таблица32[[#This Row],[Pul oqimlari]:[Foyda va zarar]])*Таблица32[[#This Row],[Столбец7]]/100</f>
        <v>0</v>
      </c>
      <c r="AE195" s="191" t="n">
        <f aca="false">Таблица32[[#This Row],[Столбец7]]*Таблица32[[#This Row],[Nazoratchi]]%</f>
        <v>0</v>
      </c>
      <c r="AF195" s="188" t="n">
        <f aca="false">Таблица32[[#This Row],[Ishga vaqtida kelish nazoratchi]]+Таблица32[[#This Row],[Nazoratchi2]]</f>
        <v>0</v>
      </c>
      <c r="AG19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195" s="188" t="n">
        <f aca="false">Таблица32[[#This Row],[Ishga kelish bank klient3]]+Таблица32[[#This Row],[Gruppa bank klient 2]]</f>
        <v>0</v>
      </c>
    </row>
    <row r="196" customFormat="false" ht="17.35" hidden="false" customHeight="false" outlineLevel="0" collapsed="false">
      <c r="A196" s="112" t="n">
        <v>194</v>
      </c>
      <c r="B196" s="141" t="s">
        <v>402</v>
      </c>
      <c r="C196" s="143" t="s">
        <v>211</v>
      </c>
      <c r="D196" s="141" t="s">
        <v>239</v>
      </c>
      <c r="E196" s="142" t="n">
        <v>7500000</v>
      </c>
      <c r="F196" s="116" t="s">
        <v>210</v>
      </c>
      <c r="G196" s="174"/>
      <c r="H196" s="174" t="n">
        <v>1</v>
      </c>
      <c r="I196" s="184"/>
      <c r="J196" s="174" t="n">
        <v>1</v>
      </c>
      <c r="K196" s="174" t="n">
        <v>1</v>
      </c>
      <c r="L196" s="180" t="n">
        <v>0.25</v>
      </c>
      <c r="M196" s="180" t="n">
        <v>0.25</v>
      </c>
      <c r="N196" s="180" t="n">
        <v>0.25</v>
      </c>
      <c r="O196" s="180"/>
      <c r="P196" s="180" t="n">
        <v>0.25</v>
      </c>
      <c r="Q196" s="180" t="n">
        <v>0</v>
      </c>
      <c r="R196" s="180" t="n">
        <v>0</v>
      </c>
      <c r="S196" s="180" t="n">
        <v>0</v>
      </c>
      <c r="T196" s="180" t="n">
        <v>0</v>
      </c>
      <c r="U196" s="180" t="n">
        <v>0</v>
      </c>
      <c r="V196" s="117" t="n">
        <v>0.5</v>
      </c>
      <c r="W196" s="185" t="n">
        <f aca="false">Таблица32[[#This Row],[Столбец7]]*Таблица32[[#This Row],[Ishga kelish nazoratchi2]]%</f>
        <v>0</v>
      </c>
      <c r="X196" s="188" t="n">
        <f aca="false">Таблица32[[#This Row],[Столбец7]]*Таблица32[[#This Row],[Ishga vaqtida kelish ketish]]%</f>
        <v>0</v>
      </c>
      <c r="Y196" s="186" t="n">
        <f aca="false">Таблица32[[#This Row],[Столбец7]]*Таблица32[[#This Row],[Ishga kelish bank klient]]%</f>
        <v>75000</v>
      </c>
      <c r="Z196" s="188" t="n">
        <f aca="false">Таблица32[[#This Row],[Столбец7]]*Таблица32[[#This Row],[Gruppa buxgalter]]%</f>
        <v>75000</v>
      </c>
      <c r="AA196" s="188" t="n">
        <f aca="false">Таблица32[[#This Row],[Столбец7]]*Таблица32[[#This Row],[Gruppa bank klient ]]%</f>
        <v>75000</v>
      </c>
      <c r="AB196" s="188" t="n">
        <f aca="false">Таблица32[[#This Row],[1c]]*Таблица32[[#This Row],[Столбец7]]/100</f>
        <v>0</v>
      </c>
      <c r="AC196" s="187" t="n">
        <f aca="false">SUM(Таблица32[[#This Row],[Didox]:[ мехнат]],Таблица32[[#This Row],[Avtokameral]])*Таблица32[[#This Row],[Столбец7]]/100</f>
        <v>75000</v>
      </c>
      <c r="AD196" s="190" t="n">
        <f aca="false">SUM(Таблица32[[#This Row],[Pul oqimlari]:[Foyda va zarar]])*Таблица32[[#This Row],[Столбец7]]/100</f>
        <v>0</v>
      </c>
      <c r="AE196" s="191" t="n">
        <f aca="false">Таблица32[[#This Row],[Столбец7]]*Таблица32[[#This Row],[Nazoratchi]]%</f>
        <v>37500</v>
      </c>
      <c r="AF196" s="188" t="n">
        <f aca="false">Таблица32[[#This Row],[Ishga vaqtida kelish nazoratchi]]+Таблица32[[#This Row],[Nazoratchi2]]</f>
        <v>37500</v>
      </c>
      <c r="AG19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150000</v>
      </c>
      <c r="AH196" s="188" t="n">
        <f aca="false">Таблица32[[#This Row],[Ishga kelish bank klient3]]+Таблица32[[#This Row],[Gruppa bank klient 2]]</f>
        <v>150000</v>
      </c>
    </row>
    <row r="197" customFormat="false" ht="17.35" hidden="false" customHeight="false" outlineLevel="0" collapsed="false">
      <c r="A197" s="112" t="n">
        <v>195</v>
      </c>
      <c r="B197" s="141" t="s">
        <v>403</v>
      </c>
      <c r="C197" s="143" t="s">
        <v>212</v>
      </c>
      <c r="D197" s="141" t="s">
        <v>224</v>
      </c>
      <c r="E197" s="142" t="n">
        <v>700000</v>
      </c>
      <c r="F197" s="116" t="s">
        <v>213</v>
      </c>
      <c r="G197" s="174"/>
      <c r="H197" s="174" t="n">
        <v>1</v>
      </c>
      <c r="I197" s="184"/>
      <c r="J197" s="174" t="n">
        <v>1</v>
      </c>
      <c r="K197" s="174" t="n">
        <v>1</v>
      </c>
      <c r="L197" s="180" t="n">
        <v>0.25</v>
      </c>
      <c r="M197" s="180" t="n">
        <v>0.25</v>
      </c>
      <c r="N197" s="180" t="n">
        <v>0.25</v>
      </c>
      <c r="O197" s="180"/>
      <c r="P197" s="180" t="n">
        <v>0.25</v>
      </c>
      <c r="Q197" s="180" t="n">
        <v>-0.2</v>
      </c>
      <c r="R197" s="180" t="n">
        <v>0.2</v>
      </c>
      <c r="S197" s="180" t="n">
        <v>-0.2</v>
      </c>
      <c r="T197" s="180" t="n">
        <v>-0.2</v>
      </c>
      <c r="U197" s="180" t="n">
        <v>-0.2</v>
      </c>
      <c r="V197" s="117" t="n">
        <v>0.5</v>
      </c>
      <c r="W197" s="185" t="n">
        <f aca="false">Таблица32[[#This Row],[Столбец7]]*Таблица32[[#This Row],[Ishga kelish nazoratchi2]]%</f>
        <v>0</v>
      </c>
      <c r="X197" s="188" t="n">
        <f aca="false">Таблица32[[#This Row],[Столбец7]]*Таблица32[[#This Row],[Ishga vaqtida kelish ketish]]%</f>
        <v>0</v>
      </c>
      <c r="Y197" s="186" t="n">
        <f aca="false">Таблица32[[#This Row],[Столбец7]]*Таблица32[[#This Row],[Ishga kelish bank klient]]%</f>
        <v>7000</v>
      </c>
      <c r="Z197" s="188" t="n">
        <f aca="false">Таблица32[[#This Row],[Столбец7]]*Таблица32[[#This Row],[Gruppa buxgalter]]%</f>
        <v>7000</v>
      </c>
      <c r="AA197" s="188" t="n">
        <f aca="false">Таблица32[[#This Row],[Столбец7]]*Таблица32[[#This Row],[Gruppa bank klient ]]%</f>
        <v>7000</v>
      </c>
      <c r="AB197" s="188" t="n">
        <f aca="false">Таблица32[[#This Row],[1c]]*Таблица32[[#This Row],[Столбец7]]/100</f>
        <v>0</v>
      </c>
      <c r="AC197" s="187" t="n">
        <f aca="false">SUM(Таблица32[[#This Row],[Didox]:[ мехнат]],Таблица32[[#This Row],[Avtokameral]])*Таблица32[[#This Row],[Столбец7]]/100</f>
        <v>7000</v>
      </c>
      <c r="AD197" s="190" t="n">
        <f aca="false">SUM(Таблица32[[#This Row],[Pul oqimlari]:[Foyda va zarar]])*Таблица32[[#This Row],[Столбец7]]/100</f>
        <v>-4200</v>
      </c>
      <c r="AE197" s="191" t="n">
        <f aca="false">Таблица32[[#This Row],[Столбец7]]*Таблица32[[#This Row],[Nazoratchi]]%</f>
        <v>3500</v>
      </c>
      <c r="AF197" s="188" t="n">
        <f aca="false">Таблица32[[#This Row],[Ishga vaqtida kelish nazoratchi]]+Таблица32[[#This Row],[Nazoratchi2]]</f>
        <v>3500</v>
      </c>
      <c r="AG19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9800</v>
      </c>
      <c r="AH197" s="188" t="n">
        <f aca="false">Таблица32[[#This Row],[Ishga kelish bank klient3]]+Таблица32[[#This Row],[Gruppa bank klient 2]]</f>
        <v>14000</v>
      </c>
    </row>
    <row r="198" customFormat="false" ht="17.35" hidden="false" customHeight="false" outlineLevel="0" collapsed="false">
      <c r="A198" s="112" t="n">
        <v>196</v>
      </c>
      <c r="B198" s="141" t="s">
        <v>404</v>
      </c>
      <c r="C198" s="143" t="s">
        <v>216</v>
      </c>
      <c r="D198" s="141" t="s">
        <v>224</v>
      </c>
      <c r="E198" s="142" t="n">
        <v>14000000</v>
      </c>
      <c r="F198" s="116" t="s">
        <v>210</v>
      </c>
      <c r="G198" s="174" t="n">
        <v>-0.25</v>
      </c>
      <c r="H198" s="174" t="n">
        <v>1</v>
      </c>
      <c r="I198" s="184"/>
      <c r="J198" s="174" t="n">
        <v>1</v>
      </c>
      <c r="K198" s="174" t="n">
        <v>1</v>
      </c>
      <c r="L198" s="180" t="n">
        <v>0.25</v>
      </c>
      <c r="M198" s="180" t="n">
        <v>0.25</v>
      </c>
      <c r="N198" s="180"/>
      <c r="O198" s="180"/>
      <c r="P198" s="180" t="n">
        <v>-0.25</v>
      </c>
      <c r="Q198" s="180" t="n">
        <v>0.2</v>
      </c>
      <c r="R198" s="180" t="n">
        <v>0.2</v>
      </c>
      <c r="S198" s="180" t="n">
        <v>0</v>
      </c>
      <c r="T198" s="180" t="n">
        <v>0.2</v>
      </c>
      <c r="U198" s="180" t="n">
        <v>0</v>
      </c>
      <c r="V198" s="117" t="n">
        <v>0.5</v>
      </c>
      <c r="W198" s="185" t="n">
        <f aca="false">Таблица32[[#This Row],[Столбец7]]*Таблица32[[#This Row],[Ishga kelish nazoratchi2]]%</f>
        <v>0</v>
      </c>
      <c r="X198" s="188" t="n">
        <f aca="false">Таблица32[[#This Row],[Столбец7]]*Таблица32[[#This Row],[Ishga vaqtida kelish ketish]]%</f>
        <v>-35000</v>
      </c>
      <c r="Y198" s="186" t="n">
        <f aca="false">Таблица32[[#This Row],[Столбец7]]*Таблица32[[#This Row],[Ishga kelish bank klient]]%</f>
        <v>140000</v>
      </c>
      <c r="Z198" s="188" t="n">
        <f aca="false">Таблица32[[#This Row],[Столбец7]]*Таблица32[[#This Row],[Gruppa buxgalter]]%</f>
        <v>140000</v>
      </c>
      <c r="AA198" s="188" t="n">
        <f aca="false">Таблица32[[#This Row],[Столбец7]]*Таблица32[[#This Row],[Gruppa bank klient ]]%</f>
        <v>140000</v>
      </c>
      <c r="AB198" s="188" t="n">
        <f aca="false">Таблица32[[#This Row],[1c]]*Таблица32[[#This Row],[Столбец7]]/100</f>
        <v>0</v>
      </c>
      <c r="AC198" s="187" t="n">
        <f aca="false">SUM(Таблица32[[#This Row],[Didox]:[ мехнат]],Таблица32[[#This Row],[Avtokameral]])*Таблица32[[#This Row],[Столбец7]]/100</f>
        <v>35000</v>
      </c>
      <c r="AD198" s="190" t="n">
        <f aca="false">SUM(Таблица32[[#This Row],[Pul oqimlari]:[Foyda va zarar]])*Таблица32[[#This Row],[Столбец7]]/100</f>
        <v>84000</v>
      </c>
      <c r="AE198" s="191" t="n">
        <f aca="false">Таблица32[[#This Row],[Столбец7]]*Таблица32[[#This Row],[Nazoratchi]]%</f>
        <v>70000</v>
      </c>
      <c r="AF198" s="188" t="n">
        <f aca="false">Таблица32[[#This Row],[Ishga vaqtida kelish nazoratchi]]+Таблица32[[#This Row],[Nazoratchi2]]</f>
        <v>70000</v>
      </c>
      <c r="AG19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224000</v>
      </c>
      <c r="AH198" s="188" t="n">
        <f aca="false">Таблица32[[#This Row],[Ishga kelish bank klient3]]+Таблица32[[#This Row],[Gruppa bank klient 2]]</f>
        <v>280000</v>
      </c>
    </row>
    <row r="199" customFormat="false" ht="17.35" hidden="false" customHeight="false" outlineLevel="0" collapsed="false">
      <c r="A199" s="112" t="n">
        <v>197</v>
      </c>
      <c r="B199" s="141" t="s">
        <v>405</v>
      </c>
      <c r="C199" s="143" t="s">
        <v>227</v>
      </c>
      <c r="D199" s="141" t="s">
        <v>238</v>
      </c>
      <c r="E199" s="145" t="n">
        <v>5000000</v>
      </c>
      <c r="F199" s="116" t="s">
        <v>213</v>
      </c>
      <c r="G199" s="174" t="n">
        <v>0.65</v>
      </c>
      <c r="H199" s="174" t="n">
        <v>1</v>
      </c>
      <c r="I199" s="184"/>
      <c r="J199" s="174" t="n">
        <v>1</v>
      </c>
      <c r="K199" s="174" t="n">
        <v>1</v>
      </c>
      <c r="L199" s="180" t="n">
        <v>0.25</v>
      </c>
      <c r="M199" s="180" t="n">
        <v>0.25</v>
      </c>
      <c r="N199" s="180" t="n">
        <v>0.25</v>
      </c>
      <c r="O199" s="180" t="n">
        <v>1</v>
      </c>
      <c r="P199" s="180" t="n">
        <v>0.25</v>
      </c>
      <c r="Q199" s="180" t="n">
        <v>0.2</v>
      </c>
      <c r="R199" s="180" t="n">
        <v>0.2</v>
      </c>
      <c r="S199" s="180" t="n">
        <v>-0.2</v>
      </c>
      <c r="T199" s="180" t="n">
        <v>-0.2</v>
      </c>
      <c r="U199" s="180" t="n">
        <v>-0.2</v>
      </c>
      <c r="V199" s="117" t="n">
        <v>0.5</v>
      </c>
      <c r="W199" s="185" t="n">
        <f aca="false">Таблица32[[#This Row],[Столбец7]]*Таблица32[[#This Row],[Ishga kelish nazoratchi2]]%</f>
        <v>0</v>
      </c>
      <c r="X199" s="188" t="n">
        <f aca="false">Таблица32[[#This Row],[Столбец7]]*Таблица32[[#This Row],[Ishga vaqtida kelish ketish]]%</f>
        <v>32500</v>
      </c>
      <c r="Y199" s="186" t="n">
        <f aca="false">Таблица32[[#This Row],[Столбец7]]*Таблица32[[#This Row],[Ishga kelish bank klient]]%</f>
        <v>50000</v>
      </c>
      <c r="Z199" s="188" t="n">
        <f aca="false">Таблица32[[#This Row],[Столбец7]]*Таблица32[[#This Row],[Gruppa buxgalter]]%</f>
        <v>50000</v>
      </c>
      <c r="AA199" s="188" t="n">
        <f aca="false">Таблица32[[#This Row],[Столбец7]]*Таблица32[[#This Row],[Gruppa bank klient ]]%</f>
        <v>50000</v>
      </c>
      <c r="AB199" s="188" t="n">
        <f aca="false">Таблица32[[#This Row],[1c]]*Таблица32[[#This Row],[Столбец7]]/100</f>
        <v>50000</v>
      </c>
      <c r="AC199" s="187" t="n">
        <f aca="false">SUM(Таблица32[[#This Row],[Didox]:[ мехнат]],Таблица32[[#This Row],[Avtokameral]])*Таблица32[[#This Row],[Столбец7]]/100</f>
        <v>50000</v>
      </c>
      <c r="AD199" s="190" t="n">
        <f aca="false">SUM(Таблица32[[#This Row],[Pul oqimlari]:[Foyda va zarar]])*Таблица32[[#This Row],[Столбец7]]/100</f>
        <v>-10000</v>
      </c>
      <c r="AE199" s="191" t="n">
        <f aca="false">Таблица32[[#This Row],[Столбец7]]*Таблица32[[#This Row],[Nazoratchi]]%</f>
        <v>25000</v>
      </c>
      <c r="AF199" s="188" t="n">
        <f aca="false">Таблица32[[#This Row],[Ishga vaqtida kelish nazoratchi]]+Таблица32[[#This Row],[Nazoratchi2]]</f>
        <v>25000</v>
      </c>
      <c r="AG19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172500</v>
      </c>
      <c r="AH199" s="188" t="n">
        <f aca="false">Таблица32[[#This Row],[Ishga kelish bank klient3]]+Таблица32[[#This Row],[Gruppa bank klient 2]]</f>
        <v>100000</v>
      </c>
    </row>
    <row r="200" customFormat="false" ht="17.35" hidden="false" customHeight="false" outlineLevel="0" collapsed="false">
      <c r="A200" s="112" t="n">
        <v>198</v>
      </c>
      <c r="B200" s="141" t="s">
        <v>406</v>
      </c>
      <c r="C200" s="143" t="s">
        <v>223</v>
      </c>
      <c r="D200" s="141" t="s">
        <v>238</v>
      </c>
      <c r="E200" s="142" t="n">
        <v>4500000</v>
      </c>
      <c r="F200" s="116" t="s">
        <v>210</v>
      </c>
      <c r="G200" s="174" t="n">
        <v>-0.8</v>
      </c>
      <c r="H200" s="174" t="n">
        <v>1</v>
      </c>
      <c r="I200" s="184"/>
      <c r="J200" s="174" t="n">
        <v>1</v>
      </c>
      <c r="K200" s="174" t="n">
        <v>1</v>
      </c>
      <c r="L200" s="180" t="n">
        <v>0.25</v>
      </c>
      <c r="M200" s="180" t="n">
        <v>0.25</v>
      </c>
      <c r="N200" s="180" t="n">
        <v>0.25</v>
      </c>
      <c r="O200" s="180" t="n">
        <v>1</v>
      </c>
      <c r="P200" s="180" t="n">
        <v>-0.25</v>
      </c>
      <c r="Q200" s="180" t="n">
        <v>0.2</v>
      </c>
      <c r="R200" s="180" t="n">
        <v>0.2</v>
      </c>
      <c r="S200" s="180" t="n">
        <v>0.2</v>
      </c>
      <c r="T200" s="180" t="n">
        <v>0.2</v>
      </c>
      <c r="U200" s="180" t="n">
        <v>-0.2</v>
      </c>
      <c r="V200" s="174" t="n">
        <v>0.5</v>
      </c>
      <c r="W200" s="185" t="n">
        <f aca="false">Таблица32[[#This Row],[Столбец7]]*Таблица32[[#This Row],[Ishga kelish nazoratchi2]]%</f>
        <v>0</v>
      </c>
      <c r="X200" s="188" t="n">
        <f aca="false">Таблица32[[#This Row],[Столбец7]]*Таблица32[[#This Row],[Ishga vaqtida kelish ketish]]%</f>
        <v>-36000</v>
      </c>
      <c r="Y200" s="186" t="n">
        <f aca="false">Таблица32[[#This Row],[Столбец7]]*Таблица32[[#This Row],[Ishga kelish bank klient]]%</f>
        <v>45000</v>
      </c>
      <c r="Z200" s="188" t="n">
        <f aca="false">Таблица32[[#This Row],[Столбец7]]*Таблица32[[#This Row],[Gruppa buxgalter]]%</f>
        <v>45000</v>
      </c>
      <c r="AA200" s="188" t="n">
        <f aca="false">Таблица32[[#This Row],[Столбец7]]*Таблица32[[#This Row],[Gruppa bank klient ]]%</f>
        <v>45000</v>
      </c>
      <c r="AB200" s="188" t="n">
        <f aca="false">Таблица32[[#This Row],[1c]]*Таблица32[[#This Row],[Столбец7]]/100</f>
        <v>45000</v>
      </c>
      <c r="AC200" s="187" t="n">
        <f aca="false">SUM(Таблица32[[#This Row],[Didox]:[ мехнат]],Таблица32[[#This Row],[Avtokameral]])*Таблица32[[#This Row],[Столбец7]]/100</f>
        <v>22500</v>
      </c>
      <c r="AD200" s="190" t="n">
        <f aca="false">SUM(Таблица32[[#This Row],[Pul oqimlari]:[Foyda va zarar]])*Таблица32[[#This Row],[Столбец7]]/100</f>
        <v>27000</v>
      </c>
      <c r="AE200" s="191" t="n">
        <f aca="false">Таблица32[[#This Row],[Столбец7]]*Таблица32[[#This Row],[Nazoratchi]]%</f>
        <v>22500</v>
      </c>
      <c r="AF200" s="188" t="n">
        <f aca="false">Таблица32[[#This Row],[Ishga vaqtida kelish nazoratchi]]+Таблица32[[#This Row],[Nazoratchi2]]</f>
        <v>22500</v>
      </c>
      <c r="AG20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103500</v>
      </c>
      <c r="AH200" s="188" t="n">
        <f aca="false">Таблица32[[#This Row],[Ishga kelish bank klient3]]+Таблица32[[#This Row],[Gruppa bank klient 2]]</f>
        <v>90000</v>
      </c>
    </row>
    <row r="201" customFormat="false" ht="17.35" hidden="false" customHeight="false" outlineLevel="0" collapsed="false">
      <c r="A201" s="112" t="n">
        <v>199</v>
      </c>
      <c r="B201" s="141" t="s">
        <v>407</v>
      </c>
      <c r="C201" s="143" t="s">
        <v>222</v>
      </c>
      <c r="D201" s="141"/>
      <c r="E201" s="142" t="n">
        <v>1000000</v>
      </c>
      <c r="F201" s="116" t="s">
        <v>213</v>
      </c>
      <c r="G201" s="174" t="n">
        <v>-0.05</v>
      </c>
      <c r="H201" s="184"/>
      <c r="I201" s="184"/>
      <c r="J201" s="174" t="n">
        <v>1</v>
      </c>
      <c r="K201" s="174"/>
      <c r="L201" s="180" t="n">
        <v>0.25</v>
      </c>
      <c r="M201" s="180" t="n">
        <v>0.25</v>
      </c>
      <c r="N201" s="180"/>
      <c r="O201" s="180"/>
      <c r="P201" s="180" t="n">
        <v>0.25</v>
      </c>
      <c r="Q201" s="180" t="n">
        <v>0</v>
      </c>
      <c r="R201" s="180" t="n">
        <v>0</v>
      </c>
      <c r="S201" s="180" t="n">
        <v>0</v>
      </c>
      <c r="T201" s="180" t="n">
        <v>0</v>
      </c>
      <c r="U201" s="180" t="n">
        <v>0</v>
      </c>
      <c r="V201" s="117" t="n">
        <v>0.5</v>
      </c>
      <c r="W201" s="185" t="n">
        <f aca="false">Таблица32[[#This Row],[Столбец7]]*Таблица32[[#This Row],[Ishga kelish nazoratchi2]]%</f>
        <v>0</v>
      </c>
      <c r="X201" s="188" t="n">
        <f aca="false">Таблица32[[#This Row],[Столбец7]]*Таблица32[[#This Row],[Ishga vaqtida kelish ketish]]%</f>
        <v>-500</v>
      </c>
      <c r="Y201" s="186" t="n">
        <f aca="false">Таблица32[[#This Row],[Столбец7]]*Таблица32[[#This Row],[Ishga kelish bank klient]]%</f>
        <v>0</v>
      </c>
      <c r="Z201" s="188" t="n">
        <f aca="false">Таблица32[[#This Row],[Столбец7]]*Таблица32[[#This Row],[Gruppa buxgalter]]%</f>
        <v>10000</v>
      </c>
      <c r="AA201" s="188" t="n">
        <f aca="false">Таблица32[[#This Row],[Столбец7]]*Таблица32[[#This Row],[Gruppa bank klient ]]%</f>
        <v>0</v>
      </c>
      <c r="AB201" s="188" t="n">
        <f aca="false">Таблица32[[#This Row],[1c]]*Таблица32[[#This Row],[Столбец7]]/100</f>
        <v>0</v>
      </c>
      <c r="AC201" s="187" t="n">
        <f aca="false">SUM(Таблица32[[#This Row],[Didox]:[ мехнат]],Таблица32[[#This Row],[Avtokameral]])*Таблица32[[#This Row],[Столбец7]]/100</f>
        <v>7500</v>
      </c>
      <c r="AD201" s="190" t="n">
        <f aca="false">SUM(Таблица32[[#This Row],[Pul oqimlari]:[Foyda va zarar]])*Таблица32[[#This Row],[Столбец7]]/100</f>
        <v>0</v>
      </c>
      <c r="AE201" s="191" t="n">
        <f aca="false">Таблица32[[#This Row],[Столбец7]]*Таблица32[[#This Row],[Nazoratchi]]%</f>
        <v>5000</v>
      </c>
      <c r="AF201" s="188" t="n">
        <f aca="false">Таблица32[[#This Row],[Ishga vaqtida kelish nazoratchi]]+Таблица32[[#This Row],[Nazoratchi2]]</f>
        <v>5000</v>
      </c>
      <c r="AG20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17000</v>
      </c>
      <c r="AH201" s="188" t="n">
        <f aca="false">Таблица32[[#This Row],[Ishga kelish bank klient3]]+Таблица32[[#This Row],[Gruppa bank klient 2]]</f>
        <v>0</v>
      </c>
    </row>
    <row r="202" customFormat="false" ht="17.35" hidden="false" customHeight="false" outlineLevel="0" collapsed="false">
      <c r="A202" s="112" t="n">
        <v>200</v>
      </c>
      <c r="B202" s="141" t="s">
        <v>408</v>
      </c>
      <c r="C202" s="143" t="s">
        <v>212</v>
      </c>
      <c r="D202" s="141"/>
      <c r="E202" s="144" t="n">
        <v>700000</v>
      </c>
      <c r="F202" s="116" t="s">
        <v>213</v>
      </c>
      <c r="G202" s="174"/>
      <c r="H202" s="184"/>
      <c r="I202" s="184"/>
      <c r="J202" s="174" t="n">
        <v>1</v>
      </c>
      <c r="K202" s="174"/>
      <c r="L202" s="180" t="n">
        <v>0.25</v>
      </c>
      <c r="M202" s="180" t="n">
        <v>0.25</v>
      </c>
      <c r="N202" s="180"/>
      <c r="O202" s="180"/>
      <c r="P202" s="180" t="n">
        <v>0.25</v>
      </c>
      <c r="Q202" s="180" t="n">
        <v>0</v>
      </c>
      <c r="R202" s="180" t="n">
        <v>0.2</v>
      </c>
      <c r="S202" s="180" t="n">
        <v>0.2</v>
      </c>
      <c r="T202" s="180" t="n">
        <v>0</v>
      </c>
      <c r="U202" s="180" t="n">
        <v>0</v>
      </c>
      <c r="V202" s="117" t="n">
        <v>0.5</v>
      </c>
      <c r="W202" s="185" t="n">
        <f aca="false">Таблица32[[#This Row],[Столбец7]]*Таблица32[[#This Row],[Ishga kelish nazoratchi2]]%</f>
        <v>0</v>
      </c>
      <c r="X202" s="188" t="n">
        <f aca="false">Таблица32[[#This Row],[Столбец7]]*Таблица32[[#This Row],[Ishga vaqtida kelish ketish]]%</f>
        <v>0</v>
      </c>
      <c r="Y202" s="186" t="n">
        <f aca="false">Таблица32[[#This Row],[Столбец7]]*Таблица32[[#This Row],[Ishga kelish bank klient]]%</f>
        <v>0</v>
      </c>
      <c r="Z202" s="188" t="n">
        <f aca="false">Таблица32[[#This Row],[Столбец7]]*Таблица32[[#This Row],[Gruppa buxgalter]]%</f>
        <v>7000</v>
      </c>
      <c r="AA202" s="188" t="n">
        <f aca="false">Таблица32[[#This Row],[Столбец7]]*Таблица32[[#This Row],[Gruppa bank klient ]]%</f>
        <v>0</v>
      </c>
      <c r="AB202" s="188" t="n">
        <f aca="false">Таблица32[[#This Row],[1c]]*Таблица32[[#This Row],[Столбец7]]/100</f>
        <v>0</v>
      </c>
      <c r="AC202" s="187" t="n">
        <f aca="false">SUM(Таблица32[[#This Row],[Didox]:[ мехнат]],Таблица32[[#This Row],[Avtokameral]])*Таблица32[[#This Row],[Столбец7]]/100</f>
        <v>5250</v>
      </c>
      <c r="AD202" s="190" t="n">
        <f aca="false">SUM(Таблица32[[#This Row],[Pul oqimlari]:[Foyda va zarar]])*Таблица32[[#This Row],[Столбец7]]/100</f>
        <v>2800</v>
      </c>
      <c r="AE202" s="191" t="n">
        <f aca="false">Таблица32[[#This Row],[Столбец7]]*Таблица32[[#This Row],[Nazoratchi]]%</f>
        <v>3500</v>
      </c>
      <c r="AF202" s="188" t="n">
        <f aca="false">Таблица32[[#This Row],[Ishga vaqtida kelish nazoratchi]]+Таблица32[[#This Row],[Nazoratchi2]]</f>
        <v>3500</v>
      </c>
      <c r="AG20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15050</v>
      </c>
      <c r="AH202" s="188" t="n">
        <f aca="false">Таблица32[[#This Row],[Ishga kelish bank klient3]]+Таблица32[[#This Row],[Gruppa bank klient 2]]</f>
        <v>0</v>
      </c>
    </row>
    <row r="203" customFormat="false" ht="17.35" hidden="false" customHeight="false" outlineLevel="0" collapsed="false">
      <c r="A203" s="112" t="n">
        <v>201</v>
      </c>
      <c r="B203" s="133" t="s">
        <v>409</v>
      </c>
      <c r="C203" s="113" t="s">
        <v>216</v>
      </c>
      <c r="D203" s="114" t="s">
        <v>238</v>
      </c>
      <c r="E203" s="129" t="n">
        <v>2000000</v>
      </c>
      <c r="F203" s="113" t="s">
        <v>210</v>
      </c>
      <c r="G203" s="174" t="n">
        <v>-0.25</v>
      </c>
      <c r="H203" s="174" t="n">
        <v>1</v>
      </c>
      <c r="I203" s="184"/>
      <c r="J203" s="174" t="n">
        <v>1</v>
      </c>
      <c r="K203" s="174" t="n">
        <v>1</v>
      </c>
      <c r="L203" s="180" t="n">
        <v>0.25</v>
      </c>
      <c r="M203" s="180" t="n">
        <v>0.25</v>
      </c>
      <c r="N203" s="180"/>
      <c r="O203" s="180" t="n">
        <v>1</v>
      </c>
      <c r="P203" s="180" t="n">
        <v>0.25</v>
      </c>
      <c r="Q203" s="180" t="n">
        <v>0.2</v>
      </c>
      <c r="R203" s="180" t="n">
        <v>0.2</v>
      </c>
      <c r="S203" s="180" t="n">
        <v>0.2</v>
      </c>
      <c r="T203" s="180" t="n">
        <v>0.2</v>
      </c>
      <c r="U203" s="180" t="n">
        <v>0.2</v>
      </c>
      <c r="V203" s="117" t="n">
        <v>0.5</v>
      </c>
      <c r="W203" s="185" t="n">
        <f aca="false">Таблица32[[#This Row],[Столбец7]]*Таблица32[[#This Row],[Ishga kelish nazoratchi2]]%</f>
        <v>0</v>
      </c>
      <c r="X203" s="188" t="n">
        <f aca="false">Таблица32[[#This Row],[Столбец7]]*Таблица32[[#This Row],[Ishga vaqtida kelish ketish]]%</f>
        <v>-5000</v>
      </c>
      <c r="Y203" s="186" t="n">
        <f aca="false">Таблица32[[#This Row],[Столбец7]]*Таблица32[[#This Row],[Ishga kelish bank klient]]%</f>
        <v>20000</v>
      </c>
      <c r="Z203" s="188" t="n">
        <f aca="false">Таблица32[[#This Row],[Столбец7]]*Таблица32[[#This Row],[Gruppa buxgalter]]%</f>
        <v>20000</v>
      </c>
      <c r="AA203" s="188" t="n">
        <f aca="false">Таблица32[[#This Row],[Столбец7]]*Таблица32[[#This Row],[Gruppa bank klient ]]%</f>
        <v>20000</v>
      </c>
      <c r="AB203" s="188" t="n">
        <f aca="false">Таблица32[[#This Row],[1c]]*Таблица32[[#This Row],[Столбец7]]/100</f>
        <v>20000</v>
      </c>
      <c r="AC203" s="187" t="n">
        <f aca="false">SUM(Таблица32[[#This Row],[Didox]:[ мехнат]],Таблица32[[#This Row],[Avtokameral]])*Таблица32[[#This Row],[Столбец7]]/100</f>
        <v>15000</v>
      </c>
      <c r="AD203" s="190" t="n">
        <f aca="false">SUM(Таблица32[[#This Row],[Pul oqimlari]:[Foyda va zarar]])*Таблица32[[#This Row],[Столбец7]]/100</f>
        <v>20000</v>
      </c>
      <c r="AE203" s="191" t="n">
        <f aca="false">Таблица32[[#This Row],[Столбец7]]*Таблица32[[#This Row],[Nazoratchi]]%</f>
        <v>10000</v>
      </c>
      <c r="AF203" s="188" t="n">
        <f aca="false">Таблица32[[#This Row],[Ishga vaqtida kelish nazoratchi]]+Таблица32[[#This Row],[Nazoratchi2]]</f>
        <v>10000</v>
      </c>
      <c r="AG20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70000</v>
      </c>
      <c r="AH203" s="188" t="n">
        <f aca="false">Таблица32[[#This Row],[Ishga kelish bank klient3]]+Таблица32[[#This Row],[Gruppa bank klient 2]]</f>
        <v>40000</v>
      </c>
    </row>
    <row r="204" customFormat="false" ht="17.35" hidden="false" customHeight="false" outlineLevel="0" collapsed="false">
      <c r="A204" s="112" t="n">
        <v>202</v>
      </c>
      <c r="B204" s="141" t="s">
        <v>410</v>
      </c>
      <c r="C204" s="141" t="s">
        <v>229</v>
      </c>
      <c r="D204" s="141"/>
      <c r="E204" s="150" t="n">
        <v>1000000</v>
      </c>
      <c r="F204" s="113" t="s">
        <v>213</v>
      </c>
      <c r="G204" s="174" t="n">
        <v>-1.05</v>
      </c>
      <c r="H204" s="184"/>
      <c r="I204" s="184"/>
      <c r="J204" s="174" t="n">
        <v>1</v>
      </c>
      <c r="K204" s="174"/>
      <c r="L204" s="180" t="n">
        <v>0.25</v>
      </c>
      <c r="M204" s="180" t="n">
        <v>-0.25</v>
      </c>
      <c r="N204" s="180"/>
      <c r="O204" s="180" t="n">
        <v>-1</v>
      </c>
      <c r="P204" s="180" t="n">
        <v>0.25</v>
      </c>
      <c r="Q204" s="180" t="n">
        <v>0</v>
      </c>
      <c r="R204" s="180" t="n">
        <v>0</v>
      </c>
      <c r="S204" s="180" t="n">
        <v>0</v>
      </c>
      <c r="T204" s="180" t="n">
        <v>0</v>
      </c>
      <c r="U204" s="180" t="n">
        <v>0</v>
      </c>
      <c r="V204" s="117" t="n">
        <v>0.5</v>
      </c>
      <c r="W204" s="185" t="n">
        <f aca="false">Таблица32[[#This Row],[Столбец7]]*Таблица32[[#This Row],[Ishga kelish nazoratchi2]]%</f>
        <v>0</v>
      </c>
      <c r="X204" s="188" t="n">
        <f aca="false">Таблица32[[#This Row],[Столбец7]]*Таблица32[[#This Row],[Ishga vaqtida kelish ketish]]%</f>
        <v>-10500</v>
      </c>
      <c r="Y204" s="186" t="n">
        <f aca="false">Таблица32[[#This Row],[Столбец7]]*Таблица32[[#This Row],[Ishga kelish bank klient]]%</f>
        <v>0</v>
      </c>
      <c r="Z204" s="188" t="n">
        <f aca="false">Таблица32[[#This Row],[Столбец7]]*Таблица32[[#This Row],[Gruppa buxgalter]]%</f>
        <v>10000</v>
      </c>
      <c r="AA204" s="188" t="n">
        <f aca="false">Таблица32[[#This Row],[Столбец7]]*Таблица32[[#This Row],[Gruppa bank klient ]]%</f>
        <v>0</v>
      </c>
      <c r="AB204" s="188" t="n">
        <f aca="false">Таблица32[[#This Row],[1c]]*Таблица32[[#This Row],[Столбец7]]/100</f>
        <v>-10000</v>
      </c>
      <c r="AC204" s="187" t="n">
        <f aca="false">SUM(Таблица32[[#This Row],[Didox]:[ мехнат]],Таблица32[[#This Row],[Avtokameral]])*Таблица32[[#This Row],[Столбец7]]/100</f>
        <v>2500</v>
      </c>
      <c r="AD204" s="190" t="n">
        <f aca="false">SUM(Таблица32[[#This Row],[Pul oqimlari]:[Foyda va zarar]])*Таблица32[[#This Row],[Столбец7]]/100</f>
        <v>0</v>
      </c>
      <c r="AE204" s="191" t="n">
        <f aca="false">Таблица32[[#This Row],[Столбец7]]*Таблица32[[#This Row],[Nazoratchi]]%</f>
        <v>5000</v>
      </c>
      <c r="AF204" s="188" t="n">
        <f aca="false">Таблица32[[#This Row],[Ishga vaqtida kelish nazoratchi]]+Таблица32[[#This Row],[Nazoratchi2]]</f>
        <v>5000</v>
      </c>
      <c r="AG20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-8000</v>
      </c>
      <c r="AH204" s="188" t="n">
        <f aca="false">Таблица32[[#This Row],[Ishga kelish bank klient3]]+Таблица32[[#This Row],[Gruppa bank klient 2]]</f>
        <v>0</v>
      </c>
    </row>
    <row r="205" customFormat="false" ht="17.35" hidden="false" customHeight="false" outlineLevel="0" collapsed="false">
      <c r="A205" s="112" t="n">
        <v>203</v>
      </c>
      <c r="B205" s="141" t="s">
        <v>411</v>
      </c>
      <c r="C205" s="141" t="s">
        <v>229</v>
      </c>
      <c r="D205" s="141"/>
      <c r="E205" s="150" t="n">
        <v>500000</v>
      </c>
      <c r="F205" s="113" t="s">
        <v>213</v>
      </c>
      <c r="G205" s="174" t="n">
        <v>-1.05</v>
      </c>
      <c r="H205" s="184"/>
      <c r="I205" s="184"/>
      <c r="J205" s="174" t="n">
        <v>1</v>
      </c>
      <c r="K205" s="174"/>
      <c r="L205" s="180" t="n">
        <v>0.25</v>
      </c>
      <c r="M205" s="180" t="n">
        <v>0.25</v>
      </c>
      <c r="N205" s="180"/>
      <c r="O205" s="180" t="n">
        <v>-1</v>
      </c>
      <c r="P205" s="180" t="n">
        <v>0.25</v>
      </c>
      <c r="Q205" s="180" t="n">
        <v>0</v>
      </c>
      <c r="R205" s="180" t="n">
        <v>0</v>
      </c>
      <c r="S205" s="180" t="n">
        <v>0</v>
      </c>
      <c r="T205" s="180" t="n">
        <v>0</v>
      </c>
      <c r="U205" s="180" t="n">
        <v>0</v>
      </c>
      <c r="V205" s="117" t="n">
        <v>0.5</v>
      </c>
      <c r="W205" s="185" t="n">
        <f aca="false">Таблица32[[#This Row],[Столбец7]]*Таблица32[[#This Row],[Ishga kelish nazoratchi2]]%</f>
        <v>0</v>
      </c>
      <c r="X205" s="188" t="n">
        <f aca="false">Таблица32[[#This Row],[Столбец7]]*Таблица32[[#This Row],[Ishga vaqtida kelish ketish]]%</f>
        <v>-5250</v>
      </c>
      <c r="Y205" s="186" t="n">
        <f aca="false">Таблица32[[#This Row],[Столбец7]]*Таблица32[[#This Row],[Ishga kelish bank klient]]%</f>
        <v>0</v>
      </c>
      <c r="Z205" s="188" t="n">
        <f aca="false">Таблица32[[#This Row],[Столбец7]]*Таблица32[[#This Row],[Gruppa buxgalter]]%</f>
        <v>5000</v>
      </c>
      <c r="AA205" s="188" t="n">
        <f aca="false">Таблица32[[#This Row],[Столбец7]]*Таблица32[[#This Row],[Gruppa bank klient ]]%</f>
        <v>0</v>
      </c>
      <c r="AB205" s="188" t="n">
        <f aca="false">Таблица32[[#This Row],[1c]]*Таблица32[[#This Row],[Столбец7]]/100</f>
        <v>-5000</v>
      </c>
      <c r="AC205" s="187" t="n">
        <f aca="false">SUM(Таблица32[[#This Row],[Didox]:[ мехнат]],Таблица32[[#This Row],[Avtokameral]])*Таблица32[[#This Row],[Столбец7]]/100</f>
        <v>3750</v>
      </c>
      <c r="AD205" s="190" t="n">
        <f aca="false">SUM(Таблица32[[#This Row],[Pul oqimlari]:[Foyda va zarar]])*Таблица32[[#This Row],[Столбец7]]/100</f>
        <v>0</v>
      </c>
      <c r="AE205" s="191" t="n">
        <f aca="false">Таблица32[[#This Row],[Столбец7]]*Таблица32[[#This Row],[Nazoratchi]]%</f>
        <v>2500</v>
      </c>
      <c r="AF205" s="188" t="n">
        <f aca="false">Таблица32[[#This Row],[Ishga vaqtida kelish nazoratchi]]+Таблица32[[#This Row],[Nazoratchi2]]</f>
        <v>2500</v>
      </c>
      <c r="AG20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-1500</v>
      </c>
      <c r="AH205" s="188" t="n">
        <f aca="false">Таблица32[[#This Row],[Ishga kelish bank klient3]]+Таблица32[[#This Row],[Gruppa bank klient 2]]</f>
        <v>0</v>
      </c>
    </row>
    <row r="206" customFormat="false" ht="17.35" hidden="false" customHeight="false" outlineLevel="0" collapsed="false">
      <c r="A206" s="112" t="n">
        <v>204</v>
      </c>
      <c r="B206" s="141" t="s">
        <v>412</v>
      </c>
      <c r="C206" s="141" t="s">
        <v>224</v>
      </c>
      <c r="D206" s="141" t="s">
        <v>224</v>
      </c>
      <c r="E206" s="150" t="n">
        <v>700000</v>
      </c>
      <c r="F206" s="113" t="s">
        <v>210</v>
      </c>
      <c r="G206" s="174"/>
      <c r="H206" s="174" t="n">
        <v>1</v>
      </c>
      <c r="I206" s="184"/>
      <c r="J206" s="174"/>
      <c r="K206" s="174" t="n">
        <v>1</v>
      </c>
      <c r="L206" s="180" t="n">
        <v>0.25</v>
      </c>
      <c r="M206" s="180" t="n">
        <v>0.25</v>
      </c>
      <c r="N206" s="180"/>
      <c r="O206" s="180"/>
      <c r="P206" s="180" t="n">
        <v>0.25</v>
      </c>
      <c r="Q206" s="180" t="n">
        <v>0</v>
      </c>
      <c r="R206" s="180" t="n">
        <v>0</v>
      </c>
      <c r="S206" s="180" t="n">
        <v>0</v>
      </c>
      <c r="T206" s="180" t="n">
        <v>0</v>
      </c>
      <c r="U206" s="180" t="n">
        <v>0</v>
      </c>
      <c r="V206" s="138"/>
      <c r="W206" s="185" t="n">
        <f aca="false">Таблица32[[#This Row],[Столбец7]]*Таблица32[[#This Row],[Ishga kelish nazoratchi2]]%</f>
        <v>0</v>
      </c>
      <c r="X206" s="188" t="n">
        <f aca="false">Таблица32[[#This Row],[Столбец7]]*Таблица32[[#This Row],[Ishga vaqtida kelish ketish]]%</f>
        <v>0</v>
      </c>
      <c r="Y206" s="186" t="n">
        <f aca="false">Таблица32[[#This Row],[Столбец7]]*Таблица32[[#This Row],[Ishga kelish bank klient]]%</f>
        <v>7000</v>
      </c>
      <c r="Z206" s="188" t="n">
        <f aca="false">Таблица32[[#This Row],[Столбец7]]*Таблица32[[#This Row],[Gruppa buxgalter]]%</f>
        <v>0</v>
      </c>
      <c r="AA206" s="188" t="n">
        <f aca="false">Таблица32[[#This Row],[Столбец7]]*Таблица32[[#This Row],[Gruppa bank klient ]]%</f>
        <v>7000</v>
      </c>
      <c r="AB206" s="188" t="n">
        <f aca="false">Таблица32[[#This Row],[1c]]*Таблица32[[#This Row],[Столбец7]]/100</f>
        <v>0</v>
      </c>
      <c r="AC206" s="187" t="n">
        <f aca="false">SUM(Таблица32[[#This Row],[Didox]:[ мехнат]],Таблица32[[#This Row],[Avtokameral]])*Таблица32[[#This Row],[Столбец7]]/100</f>
        <v>5250</v>
      </c>
      <c r="AD206" s="190" t="n">
        <f aca="false">SUM(Таблица32[[#This Row],[Pul oqimlari]:[Foyda va zarar]])*Таблица32[[#This Row],[Столбец7]]/100</f>
        <v>0</v>
      </c>
      <c r="AE206" s="191" t="n">
        <f aca="false">Таблица32[[#This Row],[Столбец7]]*Таблица32[[#This Row],[Nazoratchi]]%</f>
        <v>0</v>
      </c>
      <c r="AF206" s="188" t="n">
        <f aca="false">Таблица32[[#This Row],[Ishga vaqtida kelish nazoratchi]]+Таблица32[[#This Row],[Nazoratchi2]]</f>
        <v>0</v>
      </c>
      <c r="AG20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5250</v>
      </c>
      <c r="AH206" s="188" t="n">
        <f aca="false">Таблица32[[#This Row],[Ishga kelish bank klient3]]+Таблица32[[#This Row],[Gruppa bank klient 2]]</f>
        <v>14000</v>
      </c>
    </row>
    <row r="207" customFormat="false" ht="17.35" hidden="false" customHeight="false" outlineLevel="0" collapsed="false">
      <c r="A207" s="112" t="n">
        <v>205</v>
      </c>
      <c r="B207" s="141" t="s">
        <v>413</v>
      </c>
      <c r="C207" s="141" t="s">
        <v>217</v>
      </c>
      <c r="D207" s="114" t="s">
        <v>238</v>
      </c>
      <c r="E207" s="150" t="n">
        <v>9500000</v>
      </c>
      <c r="F207" s="113" t="s">
        <v>210</v>
      </c>
      <c r="G207" s="174" t="n">
        <v>0.9</v>
      </c>
      <c r="H207" s="174" t="n">
        <v>1</v>
      </c>
      <c r="I207" s="184"/>
      <c r="J207" s="174" t="n">
        <v>1</v>
      </c>
      <c r="K207" s="174" t="n">
        <v>1</v>
      </c>
      <c r="L207" s="180" t="n">
        <v>0</v>
      </c>
      <c r="M207" s="180" t="n">
        <v>0.25</v>
      </c>
      <c r="N207" s="180"/>
      <c r="O207" s="175"/>
      <c r="P207" s="180" t="n">
        <v>0</v>
      </c>
      <c r="Q207" s="180" t="n">
        <v>0</v>
      </c>
      <c r="R207" s="180" t="n">
        <v>0</v>
      </c>
      <c r="S207" s="180" t="n">
        <v>0</v>
      </c>
      <c r="T207" s="180" t="n">
        <v>0</v>
      </c>
      <c r="U207" s="180" t="n">
        <v>0</v>
      </c>
      <c r="V207" s="138" t="n">
        <v>0.5</v>
      </c>
      <c r="W207" s="185" t="n">
        <f aca="false">Таблица32[[#This Row],[Столбец7]]*Таблица32[[#This Row],[Ishga kelish nazoratchi2]]%</f>
        <v>0</v>
      </c>
      <c r="X207" s="188" t="n">
        <f aca="false">Таблица32[[#This Row],[Столбец7]]*Таблица32[[#This Row],[Ishga vaqtida kelish ketish]]%</f>
        <v>85500</v>
      </c>
      <c r="Y207" s="186" t="n">
        <f aca="false">Таблица32[[#This Row],[Столбец7]]*Таблица32[[#This Row],[Ishga kelish bank klient]]%</f>
        <v>95000</v>
      </c>
      <c r="Z207" s="188" t="n">
        <f aca="false">Таблица32[[#This Row],[Столбец7]]*Таблица32[[#This Row],[Gruppa buxgalter]]%</f>
        <v>95000</v>
      </c>
      <c r="AA207" s="188" t="n">
        <f aca="false">Таблица32[[#This Row],[Столбец7]]*Таблица32[[#This Row],[Gruppa bank klient ]]%</f>
        <v>95000</v>
      </c>
      <c r="AB207" s="188" t="n">
        <f aca="false">Таблица32[[#This Row],[1c]]*Таблица32[[#This Row],[Столбец7]]/100</f>
        <v>0</v>
      </c>
      <c r="AC207" s="187" t="n">
        <f aca="false">SUM(Таблица32[[#This Row],[Didox]:[ мехнат]],Таблица32[[#This Row],[Avtokameral]])*Таблица32[[#This Row],[Столбец7]]/100</f>
        <v>23750</v>
      </c>
      <c r="AD207" s="190" t="n">
        <f aca="false">SUM(Таблица32[[#This Row],[Pul oqimlari]:[Foyda va zarar]])*Таблица32[[#This Row],[Столбец7]]/100</f>
        <v>0</v>
      </c>
      <c r="AE207" s="191" t="n">
        <f aca="false">Таблица32[[#This Row],[Столбец7]]*Таблица32[[#This Row],[Nazoratchi]]%</f>
        <v>47500</v>
      </c>
      <c r="AF207" s="188" t="n">
        <f aca="false">Таблица32[[#This Row],[Ishga vaqtida kelish nazoratchi]]+Таблица32[[#This Row],[Nazoratchi2]]</f>
        <v>47500</v>
      </c>
      <c r="AG20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204250</v>
      </c>
      <c r="AH207" s="188" t="n">
        <f aca="false">Таблица32[[#This Row],[Ishga kelish bank klient3]]+Таблица32[[#This Row],[Gruppa bank klient 2]]</f>
        <v>190000</v>
      </c>
    </row>
    <row r="208" customFormat="false" ht="17.35" hidden="false" customHeight="false" outlineLevel="0" collapsed="false">
      <c r="A208" s="112" t="n">
        <v>206</v>
      </c>
      <c r="B208" s="141" t="s">
        <v>414</v>
      </c>
      <c r="C208" s="141" t="s">
        <v>222</v>
      </c>
      <c r="D208" s="114" t="s">
        <v>238</v>
      </c>
      <c r="E208" s="150" t="n">
        <v>9500000</v>
      </c>
      <c r="F208" s="113" t="s">
        <v>213</v>
      </c>
      <c r="G208" s="174" t="n">
        <v>-0.05</v>
      </c>
      <c r="H208" s="174" t="n">
        <v>1</v>
      </c>
      <c r="I208" s="184"/>
      <c r="J208" s="174" t="n">
        <v>1</v>
      </c>
      <c r="K208" s="174" t="n">
        <v>1</v>
      </c>
      <c r="L208" s="180" t="n">
        <v>-0.25</v>
      </c>
      <c r="M208" s="180" t="n">
        <v>0.25</v>
      </c>
      <c r="N208" s="180"/>
      <c r="O208" s="180"/>
      <c r="P208" s="180" t="n">
        <v>-0.25</v>
      </c>
      <c r="Q208" s="180" t="n">
        <v>0.2</v>
      </c>
      <c r="R208" s="180" t="n">
        <v>0.2</v>
      </c>
      <c r="S208" s="180" t="n">
        <v>0.2</v>
      </c>
      <c r="T208" s="180" t="n">
        <v>0.2</v>
      </c>
      <c r="U208" s="180" t="n">
        <v>-0.2</v>
      </c>
      <c r="V208" s="117" t="n">
        <v>0.5</v>
      </c>
      <c r="W208" s="185" t="n">
        <f aca="false">Таблица32[[#This Row],[Столбец7]]*Таблица32[[#This Row],[Ishga kelish nazoratchi2]]%</f>
        <v>0</v>
      </c>
      <c r="X208" s="188" t="n">
        <f aca="false">Таблица32[[#This Row],[Столбец7]]*Таблица32[[#This Row],[Ishga vaqtida kelish ketish]]%</f>
        <v>-4750</v>
      </c>
      <c r="Y208" s="186" t="n">
        <f aca="false">Таблица32[[#This Row],[Столбец7]]*Таблица32[[#This Row],[Ishga kelish bank klient]]%</f>
        <v>95000</v>
      </c>
      <c r="Z208" s="188" t="n">
        <f aca="false">Таблица32[[#This Row],[Столбец7]]*Таблица32[[#This Row],[Gruppa buxgalter]]%</f>
        <v>95000</v>
      </c>
      <c r="AA208" s="188" t="n">
        <f aca="false">Таблица32[[#This Row],[Столбец7]]*Таблица32[[#This Row],[Gruppa bank klient ]]%</f>
        <v>95000</v>
      </c>
      <c r="AB208" s="188" t="n">
        <f aca="false">Таблица32[[#This Row],[1c]]*Таблица32[[#This Row],[Столбец7]]/100</f>
        <v>0</v>
      </c>
      <c r="AC208" s="187" t="n">
        <f aca="false">SUM(Таблица32[[#This Row],[Didox]:[ мехнат]],Таблица32[[#This Row],[Avtokameral]])*Таблица32[[#This Row],[Столбец7]]/100</f>
        <v>-23750</v>
      </c>
      <c r="AD208" s="190" t="n">
        <f aca="false">SUM(Таблица32[[#This Row],[Pul oqimlari]:[Foyda va zarar]])*Таблица32[[#This Row],[Столбец7]]/100</f>
        <v>57000</v>
      </c>
      <c r="AE208" s="191" t="n">
        <f aca="false">Таблица32[[#This Row],[Столбец7]]*Таблица32[[#This Row],[Nazoratchi]]%</f>
        <v>47500</v>
      </c>
      <c r="AF208" s="188" t="n">
        <f aca="false">Таблица32[[#This Row],[Ishga vaqtida kelish nazoratchi]]+Таблица32[[#This Row],[Nazoratchi2]]</f>
        <v>47500</v>
      </c>
      <c r="AG20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123500</v>
      </c>
      <c r="AH208" s="188" t="n">
        <f aca="false">Таблица32[[#This Row],[Ishga kelish bank klient3]]+Таблица32[[#This Row],[Gruppa bank klient 2]]</f>
        <v>190000</v>
      </c>
    </row>
    <row r="209" customFormat="false" ht="17.35" hidden="false" customHeight="false" outlineLevel="0" collapsed="false">
      <c r="A209" s="112" t="n">
        <v>207</v>
      </c>
      <c r="B209" s="141" t="s">
        <v>415</v>
      </c>
      <c r="C209" s="141" t="s">
        <v>222</v>
      </c>
      <c r="D209" s="141"/>
      <c r="E209" s="150" t="n">
        <v>1000000</v>
      </c>
      <c r="F209" s="113" t="s">
        <v>213</v>
      </c>
      <c r="G209" s="174" t="n">
        <v>-0.05</v>
      </c>
      <c r="H209" s="184"/>
      <c r="I209" s="184"/>
      <c r="J209" s="174" t="n">
        <v>1</v>
      </c>
      <c r="K209" s="174"/>
      <c r="L209" s="180" t="n">
        <v>0</v>
      </c>
      <c r="M209" s="180" t="n">
        <v>0</v>
      </c>
      <c r="N209" s="180" t="n">
        <v>0</v>
      </c>
      <c r="O209" s="180"/>
      <c r="P209" s="180" t="n">
        <v>0</v>
      </c>
      <c r="Q209" s="180" t="n">
        <v>0.2</v>
      </c>
      <c r="R209" s="180" t="n">
        <v>0.2</v>
      </c>
      <c r="S209" s="180" t="n">
        <v>0.2</v>
      </c>
      <c r="T209" s="180" t="n">
        <v>0</v>
      </c>
      <c r="U209" s="180" t="n">
        <v>0</v>
      </c>
      <c r="V209" s="117" t="n">
        <v>0.5</v>
      </c>
      <c r="W209" s="185" t="n">
        <f aca="false">Таблица32[[#This Row],[Столбец7]]*Таблица32[[#This Row],[Ishga kelish nazoratchi2]]%</f>
        <v>0</v>
      </c>
      <c r="X209" s="188" t="n">
        <f aca="false">Таблица32[[#This Row],[Столбец7]]*Таблица32[[#This Row],[Ishga vaqtida kelish ketish]]%</f>
        <v>-500</v>
      </c>
      <c r="Y209" s="186" t="n">
        <f aca="false">Таблица32[[#This Row],[Столбец7]]*Таблица32[[#This Row],[Ishga kelish bank klient]]%</f>
        <v>0</v>
      </c>
      <c r="Z209" s="188" t="n">
        <f aca="false">Таблица32[[#This Row],[Столбец7]]*Таблица32[[#This Row],[Gruppa buxgalter]]%</f>
        <v>10000</v>
      </c>
      <c r="AA209" s="188" t="n">
        <f aca="false">Таблица32[[#This Row],[Столбец7]]*Таблица32[[#This Row],[Gruppa bank klient ]]%</f>
        <v>0</v>
      </c>
      <c r="AB209" s="188" t="n">
        <f aca="false">Таблица32[[#This Row],[1c]]*Таблица32[[#This Row],[Столбец7]]/100</f>
        <v>0</v>
      </c>
      <c r="AC209" s="187" t="n">
        <f aca="false">SUM(Таблица32[[#This Row],[Didox]:[ мехнат]],Таблица32[[#This Row],[Avtokameral]])*Таблица32[[#This Row],[Столбец7]]/100</f>
        <v>0</v>
      </c>
      <c r="AD209" s="190" t="n">
        <f aca="false">SUM(Таблица32[[#This Row],[Pul oqimlari]:[Foyda va zarar]])*Таблица32[[#This Row],[Столбец7]]/100</f>
        <v>6000</v>
      </c>
      <c r="AE209" s="191" t="n">
        <f aca="false">Таблица32[[#This Row],[Столбец7]]*Таблица32[[#This Row],[Nazoratchi]]%</f>
        <v>5000</v>
      </c>
      <c r="AF209" s="188" t="n">
        <f aca="false">Таблица32[[#This Row],[Ishga vaqtida kelish nazoratchi]]+Таблица32[[#This Row],[Nazoratchi2]]</f>
        <v>5000</v>
      </c>
      <c r="AG20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15500</v>
      </c>
      <c r="AH209" s="188" t="n">
        <f aca="false">Таблица32[[#This Row],[Ishga kelish bank klient3]]+Таблица32[[#This Row],[Gruppa bank klient 2]]</f>
        <v>0</v>
      </c>
    </row>
    <row r="210" customFormat="false" ht="17.35" hidden="false" customHeight="false" outlineLevel="0" collapsed="false">
      <c r="A210" s="112" t="n">
        <v>208</v>
      </c>
      <c r="B210" s="141" t="s">
        <v>416</v>
      </c>
      <c r="C210" s="141" t="s">
        <v>225</v>
      </c>
      <c r="D210" s="141" t="s">
        <v>240</v>
      </c>
      <c r="E210" s="150" t="n">
        <v>7000000</v>
      </c>
      <c r="F210" s="113" t="s">
        <v>210</v>
      </c>
      <c r="G210" s="174"/>
      <c r="H210" s="184"/>
      <c r="I210" s="184"/>
      <c r="J210" s="174" t="n">
        <v>-1</v>
      </c>
      <c r="K210" s="174" t="n">
        <v>1</v>
      </c>
      <c r="L210" s="180" t="n">
        <v>-0.25</v>
      </c>
      <c r="M210" s="180" t="n">
        <v>0.25</v>
      </c>
      <c r="N210" s="180"/>
      <c r="O210" s="180"/>
      <c r="P210" s="180" t="n">
        <v>0</v>
      </c>
      <c r="Q210" s="180" t="n">
        <v>-0.2</v>
      </c>
      <c r="R210" s="180" t="n">
        <v>-0.2</v>
      </c>
      <c r="S210" s="180" t="n">
        <v>-0.2</v>
      </c>
      <c r="T210" s="180" t="n">
        <v>0</v>
      </c>
      <c r="U210" s="180" t="n">
        <v>0</v>
      </c>
      <c r="V210" s="138" t="n">
        <v>-1</v>
      </c>
      <c r="W210" s="185" t="n">
        <f aca="false">Таблица32[[#This Row],[Столбец7]]*Таблица32[[#This Row],[Ishga kelish nazoratchi2]]%</f>
        <v>0</v>
      </c>
      <c r="X210" s="188" t="n">
        <f aca="false">Таблица32[[#This Row],[Столбец7]]*Таблица32[[#This Row],[Ishga vaqtida kelish ketish]]%</f>
        <v>0</v>
      </c>
      <c r="Y210" s="186" t="n">
        <f aca="false">Таблица32[[#This Row],[Столбец7]]*Таблица32[[#This Row],[Ishga kelish bank klient]]%</f>
        <v>0</v>
      </c>
      <c r="Z210" s="188" t="n">
        <f aca="false">Таблица32[[#This Row],[Столбец7]]*Таблица32[[#This Row],[Gruppa buxgalter]]%</f>
        <v>-70000</v>
      </c>
      <c r="AA210" s="188" t="n">
        <f aca="false">Таблица32[[#This Row],[Столбец7]]*Таблица32[[#This Row],[Gruppa bank klient ]]%</f>
        <v>70000</v>
      </c>
      <c r="AB210" s="188" t="n">
        <f aca="false">Таблица32[[#This Row],[1c]]*Таблица32[[#This Row],[Столбец7]]/100</f>
        <v>0</v>
      </c>
      <c r="AC210" s="187" t="n">
        <f aca="false">SUM(Таблица32[[#This Row],[Didox]:[ мехнат]],Таблица32[[#This Row],[Avtokameral]])*Таблица32[[#This Row],[Столбец7]]/100</f>
        <v>0</v>
      </c>
      <c r="AD210" s="190" t="n">
        <f aca="false">SUM(Таблица32[[#This Row],[Pul oqimlari]:[Foyda va zarar]])*Таблица32[[#This Row],[Столбец7]]/100</f>
        <v>-42000</v>
      </c>
      <c r="AE210" s="191" t="n">
        <f aca="false">Таблица32[[#This Row],[Столбец7]]*Таблица32[[#This Row],[Nazoratchi]]%</f>
        <v>-70000</v>
      </c>
      <c r="AF210" s="188" t="n">
        <f aca="false">Таблица32[[#This Row],[Ishga vaqtida kelish nazoratchi]]+Таблица32[[#This Row],[Nazoratchi2]]</f>
        <v>-70000</v>
      </c>
      <c r="AG21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-112000</v>
      </c>
      <c r="AH210" s="188" t="n">
        <f aca="false">Таблица32[[#This Row],[Ishga kelish bank klient3]]+Таблица32[[#This Row],[Gruppa bank klient 2]]</f>
        <v>70000</v>
      </c>
    </row>
    <row r="211" customFormat="false" ht="17.35" hidden="false" customHeight="false" outlineLevel="0" collapsed="false">
      <c r="A211" s="112" t="n">
        <v>209</v>
      </c>
      <c r="B211" s="141" t="s">
        <v>417</v>
      </c>
      <c r="C211" s="141" t="s">
        <v>225</v>
      </c>
      <c r="D211" s="141"/>
      <c r="E211" s="150" t="n">
        <v>0</v>
      </c>
      <c r="F211" s="113" t="s">
        <v>210</v>
      </c>
      <c r="G211" s="174"/>
      <c r="H211" s="184"/>
      <c r="I211" s="184"/>
      <c r="J211" s="174" t="n">
        <v>1</v>
      </c>
      <c r="K211" s="174"/>
      <c r="L211" s="180" t="n">
        <v>0</v>
      </c>
      <c r="M211" s="180" t="n">
        <v>0</v>
      </c>
      <c r="N211" s="180" t="n">
        <v>0</v>
      </c>
      <c r="O211" s="180"/>
      <c r="P211" s="180" t="n">
        <v>0</v>
      </c>
      <c r="Q211" s="180" t="n">
        <v>0</v>
      </c>
      <c r="R211" s="180" t="n">
        <v>0</v>
      </c>
      <c r="S211" s="180" t="n">
        <v>0</v>
      </c>
      <c r="T211" s="180" t="n">
        <v>0</v>
      </c>
      <c r="U211" s="180" t="n">
        <v>0</v>
      </c>
      <c r="V211" s="138" t="n">
        <v>1</v>
      </c>
      <c r="W211" s="185" t="n">
        <f aca="false">Таблица32[[#This Row],[Столбец7]]*Таблица32[[#This Row],[Ishga kelish nazoratchi2]]%</f>
        <v>0</v>
      </c>
      <c r="X211" s="188" t="n">
        <f aca="false">Таблица32[[#This Row],[Столбец7]]*Таблица32[[#This Row],[Ishga vaqtida kelish ketish]]%</f>
        <v>0</v>
      </c>
      <c r="Y211" s="186" t="n">
        <f aca="false">Таблица32[[#This Row],[Столбец7]]*Таблица32[[#This Row],[Ishga kelish bank klient]]%</f>
        <v>0</v>
      </c>
      <c r="Z211" s="188" t="n">
        <f aca="false">Таблица32[[#This Row],[Столбец7]]*Таблица32[[#This Row],[Gruppa buxgalter]]%</f>
        <v>0</v>
      </c>
      <c r="AA211" s="188" t="n">
        <f aca="false">Таблица32[[#This Row],[Столбец7]]*Таблица32[[#This Row],[Gruppa bank klient ]]%</f>
        <v>0</v>
      </c>
      <c r="AB211" s="188" t="n">
        <f aca="false">Таблица32[[#This Row],[1c]]*Таблица32[[#This Row],[Столбец7]]/100</f>
        <v>0</v>
      </c>
      <c r="AC211" s="187" t="n">
        <f aca="false">SUM(Таблица32[[#This Row],[Didox]:[ мехнат]],Таблица32[[#This Row],[Avtokameral]])*Таблица32[[#This Row],[Столбец7]]/100</f>
        <v>0</v>
      </c>
      <c r="AD211" s="190" t="n">
        <f aca="false">SUM(Таблица32[[#This Row],[Pul oqimlari]:[Foyda va zarar]])*Таблица32[[#This Row],[Столбец7]]/100</f>
        <v>0</v>
      </c>
      <c r="AE211" s="191" t="n">
        <f aca="false">Таблица32[[#This Row],[Столбец7]]*Таблица32[[#This Row],[Nazoratchi]]%</f>
        <v>0</v>
      </c>
      <c r="AF211" s="188" t="n">
        <f aca="false">Таблица32[[#This Row],[Ishga vaqtida kelish nazoratchi]]+Таблица32[[#This Row],[Nazoratchi2]]</f>
        <v>0</v>
      </c>
      <c r="AG21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11" s="188" t="n">
        <f aca="false">Таблица32[[#This Row],[Ishga kelish bank klient3]]+Таблица32[[#This Row],[Gruppa bank klient 2]]</f>
        <v>0</v>
      </c>
    </row>
    <row r="212" customFormat="false" ht="17.35" hidden="false" customHeight="false" outlineLevel="0" collapsed="false">
      <c r="A212" s="112" t="n">
        <v>210</v>
      </c>
      <c r="B212" s="141" t="s">
        <v>418</v>
      </c>
      <c r="C212" s="141" t="s">
        <v>225</v>
      </c>
      <c r="D212" s="141" t="s">
        <v>240</v>
      </c>
      <c r="E212" s="150" t="n">
        <v>3000000</v>
      </c>
      <c r="F212" s="113" t="s">
        <v>210</v>
      </c>
      <c r="G212" s="174"/>
      <c r="H212" s="184"/>
      <c r="I212" s="184"/>
      <c r="J212" s="174" t="n">
        <v>-2.5</v>
      </c>
      <c r="K212" s="174" t="n">
        <v>-0.5</v>
      </c>
      <c r="L212" s="180" t="n">
        <v>-0.25</v>
      </c>
      <c r="M212" s="180" t="n">
        <v>0.25</v>
      </c>
      <c r="N212" s="180"/>
      <c r="O212" s="180"/>
      <c r="P212" s="180" t="n">
        <v>0</v>
      </c>
      <c r="Q212" s="180" t="n">
        <v>-0.2</v>
      </c>
      <c r="R212" s="180" t="n">
        <v>-0.2</v>
      </c>
      <c r="S212" s="180" t="n">
        <v>-0.2</v>
      </c>
      <c r="T212" s="180" t="n">
        <v>0</v>
      </c>
      <c r="U212" s="180" t="n">
        <v>0</v>
      </c>
      <c r="V212" s="138" t="n">
        <v>-2.5</v>
      </c>
      <c r="W212" s="185" t="n">
        <f aca="false">Таблица32[[#This Row],[Столбец7]]*Таблица32[[#This Row],[Ishga kelish nazoratchi2]]%</f>
        <v>0</v>
      </c>
      <c r="X212" s="188" t="n">
        <f aca="false">Таблица32[[#This Row],[Столбец7]]*Таблица32[[#This Row],[Ishga vaqtida kelish ketish]]%</f>
        <v>0</v>
      </c>
      <c r="Y212" s="186" t="n">
        <f aca="false">Таблица32[[#This Row],[Столбец7]]*Таблица32[[#This Row],[Ishga kelish bank klient]]%</f>
        <v>0</v>
      </c>
      <c r="Z212" s="188" t="n">
        <f aca="false">Таблица32[[#This Row],[Столбец7]]*Таблица32[[#This Row],[Gruppa buxgalter]]%</f>
        <v>-75000</v>
      </c>
      <c r="AA212" s="188" t="n">
        <f aca="false">Таблица32[[#This Row],[Столбец7]]*Таблица32[[#This Row],[Gruppa bank klient ]]%</f>
        <v>-15000</v>
      </c>
      <c r="AB212" s="188" t="n">
        <f aca="false">Таблица32[[#This Row],[1c]]*Таблица32[[#This Row],[Столбец7]]/100</f>
        <v>0</v>
      </c>
      <c r="AC212" s="187" t="n">
        <f aca="false">SUM(Таблица32[[#This Row],[Didox]:[ мехнат]],Таблица32[[#This Row],[Avtokameral]])*Таблица32[[#This Row],[Столбец7]]/100</f>
        <v>0</v>
      </c>
      <c r="AD212" s="190" t="n">
        <f aca="false">SUM(Таблица32[[#This Row],[Pul oqimlari]:[Foyda va zarar]])*Таблица32[[#This Row],[Столбец7]]/100</f>
        <v>-18000</v>
      </c>
      <c r="AE212" s="191" t="n">
        <f aca="false">Таблица32[[#This Row],[Столбец7]]*Таблица32[[#This Row],[Nazoratchi]]%</f>
        <v>-75000</v>
      </c>
      <c r="AF212" s="188" t="n">
        <f aca="false">Таблица32[[#This Row],[Ishga vaqtida kelish nazoratchi]]+Таблица32[[#This Row],[Nazoratchi2]]</f>
        <v>-75000</v>
      </c>
      <c r="AG21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-93000</v>
      </c>
      <c r="AH212" s="188" t="n">
        <f aca="false">Таблица32[[#This Row],[Ishga kelish bank klient3]]+Таблица32[[#This Row],[Gruppa bank klient 2]]</f>
        <v>-15000</v>
      </c>
    </row>
    <row r="213" customFormat="false" ht="17.35" hidden="false" customHeight="false" outlineLevel="0" collapsed="false">
      <c r="A213" s="112" t="n">
        <v>211</v>
      </c>
      <c r="B213" s="141" t="s">
        <v>419</v>
      </c>
      <c r="C213" s="141" t="s">
        <v>228</v>
      </c>
      <c r="D213" s="141" t="s">
        <v>240</v>
      </c>
      <c r="E213" s="150" t="n">
        <v>500000</v>
      </c>
      <c r="F213" s="113" t="s">
        <v>213</v>
      </c>
      <c r="G213" s="174" t="n">
        <v>-2.9</v>
      </c>
      <c r="H213" s="184"/>
      <c r="I213" s="184"/>
      <c r="J213" s="174" t="n">
        <v>-0.5</v>
      </c>
      <c r="K213" s="174" t="n">
        <v>1</v>
      </c>
      <c r="L213" s="180" t="n">
        <v>0.25</v>
      </c>
      <c r="M213" s="180" t="n">
        <v>0.25</v>
      </c>
      <c r="N213" s="180"/>
      <c r="O213" s="180"/>
      <c r="P213" s="180" t="n">
        <v>0.25</v>
      </c>
      <c r="Q213" s="180" t="n">
        <v>-0.2</v>
      </c>
      <c r="R213" s="180" t="n">
        <v>-0.2</v>
      </c>
      <c r="S213" s="180" t="n">
        <v>-0.2</v>
      </c>
      <c r="T213" s="180" t="n">
        <v>-0.2</v>
      </c>
      <c r="U213" s="180" t="n">
        <v>-0.2</v>
      </c>
      <c r="V213" s="138" t="n">
        <v>-0.5</v>
      </c>
      <c r="W213" s="185" t="n">
        <f aca="false">Таблица32[[#This Row],[Столбец7]]*Таблица32[[#This Row],[Ishga kelish nazoratchi2]]%</f>
        <v>0</v>
      </c>
      <c r="X213" s="188" t="n">
        <f aca="false">Таблица32[[#This Row],[Столбец7]]*Таблица32[[#This Row],[Ishga vaqtida kelish ketish]]%</f>
        <v>-14500</v>
      </c>
      <c r="Y213" s="186" t="n">
        <f aca="false">Таблица32[[#This Row],[Столбец7]]*Таблица32[[#This Row],[Ishga kelish bank klient]]%</f>
        <v>0</v>
      </c>
      <c r="Z213" s="188" t="n">
        <f aca="false">Таблица32[[#This Row],[Столбец7]]*Таблица32[[#This Row],[Gruppa buxgalter]]%</f>
        <v>-2500</v>
      </c>
      <c r="AA213" s="188" t="n">
        <f aca="false">Таблица32[[#This Row],[Столбец7]]*Таблица32[[#This Row],[Gruppa bank klient ]]%</f>
        <v>5000</v>
      </c>
      <c r="AB213" s="188" t="n">
        <f aca="false">Таблица32[[#This Row],[1c]]*Таблица32[[#This Row],[Столбец7]]/100</f>
        <v>0</v>
      </c>
      <c r="AC213" s="187" t="n">
        <f aca="false">SUM(Таблица32[[#This Row],[Didox]:[ мехнат]],Таблица32[[#This Row],[Avtokameral]])*Таблица32[[#This Row],[Столбец7]]/100</f>
        <v>3750</v>
      </c>
      <c r="AD213" s="190" t="n">
        <f aca="false">SUM(Таблица32[[#This Row],[Pul oqimlari]:[Foyda va zarar]])*Таблица32[[#This Row],[Столбец7]]/100</f>
        <v>-5000</v>
      </c>
      <c r="AE213" s="191" t="n">
        <f aca="false">Таблица32[[#This Row],[Столбец7]]*Таблица32[[#This Row],[Nazoratchi]]%</f>
        <v>-2500</v>
      </c>
      <c r="AF213" s="188" t="n">
        <f aca="false">Таблица32[[#This Row],[Ishga vaqtida kelish nazoratchi]]+Таблица32[[#This Row],[Nazoratchi2]]</f>
        <v>-2500</v>
      </c>
      <c r="AG21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-18250</v>
      </c>
      <c r="AH213" s="188" t="n">
        <f aca="false">Таблица32[[#This Row],[Ishga kelish bank klient3]]+Таблица32[[#This Row],[Gruppa bank klient 2]]</f>
        <v>5000</v>
      </c>
    </row>
    <row r="214" customFormat="false" ht="17.35" hidden="false" customHeight="false" outlineLevel="0" collapsed="false">
      <c r="A214" s="112" t="n">
        <v>212</v>
      </c>
      <c r="B214" s="141" t="s">
        <v>420</v>
      </c>
      <c r="C214" s="141" t="s">
        <v>228</v>
      </c>
      <c r="D214" s="141" t="s">
        <v>240</v>
      </c>
      <c r="E214" s="150" t="n">
        <v>500000</v>
      </c>
      <c r="F214" s="113" t="s">
        <v>213</v>
      </c>
      <c r="G214" s="174" t="n">
        <v>-2.9</v>
      </c>
      <c r="H214" s="184"/>
      <c r="I214" s="184"/>
      <c r="J214" s="174" t="n">
        <v>1</v>
      </c>
      <c r="K214" s="174" t="n">
        <v>-0.5</v>
      </c>
      <c r="L214" s="180" t="n">
        <v>0.25</v>
      </c>
      <c r="M214" s="180" t="n">
        <v>0.25</v>
      </c>
      <c r="N214" s="180"/>
      <c r="O214" s="180"/>
      <c r="P214" s="180" t="n">
        <v>0.25</v>
      </c>
      <c r="Q214" s="180" t="n">
        <v>-0.2</v>
      </c>
      <c r="R214" s="180" t="n">
        <v>-0.2</v>
      </c>
      <c r="S214" s="180" t="n">
        <v>-0.2</v>
      </c>
      <c r="T214" s="180" t="n">
        <v>-0.2</v>
      </c>
      <c r="U214" s="180" t="n">
        <v>-0.2</v>
      </c>
      <c r="V214" s="138" t="n">
        <v>0.5</v>
      </c>
      <c r="W214" s="185" t="n">
        <f aca="false">Таблица32[[#This Row],[Столбец7]]*Таблица32[[#This Row],[Ishga kelish nazoratchi2]]%</f>
        <v>0</v>
      </c>
      <c r="X214" s="188" t="n">
        <f aca="false">Таблица32[[#This Row],[Столбец7]]*Таблица32[[#This Row],[Ishga vaqtida kelish ketish]]%</f>
        <v>-14500</v>
      </c>
      <c r="Y214" s="186" t="n">
        <f aca="false">Таблица32[[#This Row],[Столбец7]]*Таблица32[[#This Row],[Ishga kelish bank klient]]%</f>
        <v>0</v>
      </c>
      <c r="Z214" s="188" t="n">
        <f aca="false">Таблица32[[#This Row],[Столбец7]]*Таблица32[[#This Row],[Gruppa buxgalter]]%</f>
        <v>5000</v>
      </c>
      <c r="AA214" s="188" t="n">
        <f aca="false">Таблица32[[#This Row],[Столбец7]]*Таблица32[[#This Row],[Gruppa bank klient ]]%</f>
        <v>-2500</v>
      </c>
      <c r="AB214" s="188" t="n">
        <f aca="false">Таблица32[[#This Row],[1c]]*Таблица32[[#This Row],[Столбец7]]/100</f>
        <v>0</v>
      </c>
      <c r="AC214" s="187" t="n">
        <f aca="false">SUM(Таблица32[[#This Row],[Didox]:[ мехнат]],Таблица32[[#This Row],[Avtokameral]])*Таблица32[[#This Row],[Столбец7]]/100</f>
        <v>3750</v>
      </c>
      <c r="AD214" s="190" t="n">
        <f aca="false">SUM(Таблица32[[#This Row],[Pul oqimlari]:[Foyda va zarar]])*Таблица32[[#This Row],[Столбец7]]/100</f>
        <v>-5000</v>
      </c>
      <c r="AE214" s="191" t="n">
        <f aca="false">Таблица32[[#This Row],[Столбец7]]*Таблица32[[#This Row],[Nazoratchi]]%</f>
        <v>2500</v>
      </c>
      <c r="AF214" s="188" t="n">
        <f aca="false">Таблица32[[#This Row],[Ishga vaqtida kelish nazoratchi]]+Таблица32[[#This Row],[Nazoratchi2]]</f>
        <v>2500</v>
      </c>
      <c r="AG21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-10750</v>
      </c>
      <c r="AH214" s="188" t="n">
        <f aca="false">Таблица32[[#This Row],[Ishga kelish bank klient3]]+Таблица32[[#This Row],[Gruppa bank klient 2]]</f>
        <v>-2500</v>
      </c>
    </row>
    <row r="215" customFormat="false" ht="17.35" hidden="false" customHeight="false" outlineLevel="0" collapsed="false">
      <c r="A215" s="112" t="n">
        <v>213</v>
      </c>
      <c r="B215" s="141" t="s">
        <v>421</v>
      </c>
      <c r="C215" s="141" t="s">
        <v>228</v>
      </c>
      <c r="D215" s="141" t="s">
        <v>240</v>
      </c>
      <c r="E215" s="150" t="n">
        <v>1000000</v>
      </c>
      <c r="F215" s="113" t="s">
        <v>213</v>
      </c>
      <c r="G215" s="174" t="n">
        <v>-2.9</v>
      </c>
      <c r="H215" s="184"/>
      <c r="I215" s="184"/>
      <c r="J215" s="174" t="n">
        <v>1</v>
      </c>
      <c r="K215" s="174" t="n">
        <v>1</v>
      </c>
      <c r="L215" s="180" t="n">
        <v>0.25</v>
      </c>
      <c r="M215" s="180" t="n">
        <v>-0.25</v>
      </c>
      <c r="N215" s="180"/>
      <c r="O215" s="180"/>
      <c r="P215" s="180" t="n">
        <v>0.25</v>
      </c>
      <c r="Q215" s="180" t="n">
        <v>-0.2</v>
      </c>
      <c r="R215" s="180" t="n">
        <v>0.2</v>
      </c>
      <c r="S215" s="180" t="n">
        <v>-0.2</v>
      </c>
      <c r="T215" s="180" t="n">
        <v>-0.2</v>
      </c>
      <c r="U215" s="180" t="n">
        <v>-0.2</v>
      </c>
      <c r="V215" s="138" t="n">
        <v>0.5</v>
      </c>
      <c r="W215" s="185" t="n">
        <f aca="false">Таблица32[[#This Row],[Столбец7]]*Таблица32[[#This Row],[Ishga kelish nazoratchi2]]%</f>
        <v>0</v>
      </c>
      <c r="X215" s="188" t="n">
        <f aca="false">Таблица32[[#This Row],[Столбец7]]*Таблица32[[#This Row],[Ishga vaqtida kelish ketish]]%</f>
        <v>-29000</v>
      </c>
      <c r="Y215" s="186" t="n">
        <f aca="false">Таблица32[[#This Row],[Столбец7]]*Таблица32[[#This Row],[Ishga kelish bank klient]]%</f>
        <v>0</v>
      </c>
      <c r="Z215" s="188" t="n">
        <f aca="false">Таблица32[[#This Row],[Столбец7]]*Таблица32[[#This Row],[Gruppa buxgalter]]%</f>
        <v>10000</v>
      </c>
      <c r="AA215" s="188" t="n">
        <f aca="false">Таблица32[[#This Row],[Столбец7]]*Таблица32[[#This Row],[Gruppa bank klient ]]%</f>
        <v>10000</v>
      </c>
      <c r="AB215" s="188" t="n">
        <f aca="false">Таблица32[[#This Row],[1c]]*Таблица32[[#This Row],[Столбец7]]/100</f>
        <v>0</v>
      </c>
      <c r="AC215" s="187" t="n">
        <f aca="false">SUM(Таблица32[[#This Row],[Didox]:[ мехнат]],Таблица32[[#This Row],[Avtokameral]])*Таблица32[[#This Row],[Столбец7]]/100</f>
        <v>2500</v>
      </c>
      <c r="AD215" s="190" t="n">
        <f aca="false">SUM(Таблица32[[#This Row],[Pul oqimlari]:[Foyda va zarar]])*Таблица32[[#This Row],[Столбец7]]/100</f>
        <v>-6000</v>
      </c>
      <c r="AE215" s="191" t="n">
        <f aca="false">Таблица32[[#This Row],[Столбец7]]*Таблица32[[#This Row],[Nazoratchi]]%</f>
        <v>5000</v>
      </c>
      <c r="AF215" s="188" t="n">
        <f aca="false">Таблица32[[#This Row],[Ishga vaqtida kelish nazoratchi]]+Таблица32[[#This Row],[Nazoratchi2]]</f>
        <v>5000</v>
      </c>
      <c r="AG21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-22500</v>
      </c>
      <c r="AH215" s="188" t="n">
        <f aca="false">Таблица32[[#This Row],[Ishga kelish bank klient3]]+Таблица32[[#This Row],[Gruppa bank klient 2]]</f>
        <v>10000</v>
      </c>
    </row>
    <row r="216" customFormat="false" ht="17.35" hidden="false" customHeight="false" outlineLevel="0" collapsed="false">
      <c r="A216" s="112" t="n">
        <v>214</v>
      </c>
      <c r="B216" s="141" t="s">
        <v>422</v>
      </c>
      <c r="C216" s="141" t="s">
        <v>217</v>
      </c>
      <c r="D216" s="114" t="s">
        <v>238</v>
      </c>
      <c r="E216" s="150" t="n">
        <v>8000000</v>
      </c>
      <c r="F216" s="113" t="s">
        <v>210</v>
      </c>
      <c r="G216" s="174" t="n">
        <v>0.9</v>
      </c>
      <c r="H216" s="174" t="n">
        <v>1</v>
      </c>
      <c r="I216" s="184"/>
      <c r="J216" s="174" t="n">
        <v>1</v>
      </c>
      <c r="K216" s="174" t="n">
        <v>1</v>
      </c>
      <c r="L216" s="180" t="n">
        <v>-0.25</v>
      </c>
      <c r="M216" s="180" t="n">
        <v>0.25</v>
      </c>
      <c r="N216" s="180" t="n">
        <v>0.25</v>
      </c>
      <c r="O216" s="175"/>
      <c r="P216" s="180" t="n">
        <v>-0.25</v>
      </c>
      <c r="Q216" s="180" t="n">
        <v>0.2</v>
      </c>
      <c r="R216" s="180" t="n">
        <v>0.2</v>
      </c>
      <c r="S216" s="180" t="n">
        <v>0.2</v>
      </c>
      <c r="T216" s="180" t="n">
        <v>0.2</v>
      </c>
      <c r="U216" s="180" t="n">
        <v>0.2</v>
      </c>
      <c r="V216" s="138" t="n">
        <v>0.5</v>
      </c>
      <c r="W216" s="185" t="n">
        <f aca="false">Таблица32[[#This Row],[Столбец7]]*Таблица32[[#This Row],[Ishga kelish nazoratchi2]]%</f>
        <v>0</v>
      </c>
      <c r="X216" s="188" t="n">
        <f aca="false">Таблица32[[#This Row],[Столбец7]]*Таблица32[[#This Row],[Ishga vaqtida kelish ketish]]%</f>
        <v>72000</v>
      </c>
      <c r="Y216" s="186" t="n">
        <f aca="false">Таблица32[[#This Row],[Столбец7]]*Таблица32[[#This Row],[Ishga kelish bank klient]]%</f>
        <v>80000</v>
      </c>
      <c r="Z216" s="188" t="n">
        <f aca="false">Таблица32[[#This Row],[Столбец7]]*Таблица32[[#This Row],[Gruppa buxgalter]]%</f>
        <v>80000</v>
      </c>
      <c r="AA216" s="188" t="n">
        <f aca="false">Таблица32[[#This Row],[Столбец7]]*Таблица32[[#This Row],[Gruppa bank klient ]]%</f>
        <v>80000</v>
      </c>
      <c r="AB216" s="188" t="n">
        <f aca="false">Таблица32[[#This Row],[1c]]*Таблица32[[#This Row],[Столбец7]]/100</f>
        <v>0</v>
      </c>
      <c r="AC216" s="187" t="n">
        <f aca="false">SUM(Таблица32[[#This Row],[Didox]:[ мехнат]],Таблица32[[#This Row],[Avtokameral]])*Таблица32[[#This Row],[Столбец7]]/100</f>
        <v>0</v>
      </c>
      <c r="AD216" s="190" t="n">
        <f aca="false">SUM(Таблица32[[#This Row],[Pul oqimlari]:[Foyda va zarar]])*Таблица32[[#This Row],[Столбец7]]/100</f>
        <v>80000</v>
      </c>
      <c r="AE216" s="191" t="n">
        <f aca="false">Таблица32[[#This Row],[Столбец7]]*Таблица32[[#This Row],[Nazoratchi]]%</f>
        <v>40000</v>
      </c>
      <c r="AF216" s="188" t="n">
        <f aca="false">Таблица32[[#This Row],[Ishga vaqtida kelish nazoratchi]]+Таблица32[[#This Row],[Nazoratchi2]]</f>
        <v>40000</v>
      </c>
      <c r="AG21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232000</v>
      </c>
      <c r="AH216" s="188" t="n">
        <f aca="false">Таблица32[[#This Row],[Ishga kelish bank klient3]]+Таблица32[[#This Row],[Gruppa bank klient 2]]</f>
        <v>160000</v>
      </c>
    </row>
    <row r="217" customFormat="false" ht="17.35" hidden="false" customHeight="false" outlineLevel="0" collapsed="false">
      <c r="A217" s="112" t="n">
        <v>215</v>
      </c>
      <c r="B217" s="141" t="s">
        <v>423</v>
      </c>
      <c r="C217" s="141" t="s">
        <v>228</v>
      </c>
      <c r="D217" s="141"/>
      <c r="E217" s="150" t="n">
        <v>6000000</v>
      </c>
      <c r="F217" s="113" t="s">
        <v>213</v>
      </c>
      <c r="G217" s="174" t="n">
        <v>-2.9</v>
      </c>
      <c r="H217" s="184"/>
      <c r="I217" s="184"/>
      <c r="J217" s="174" t="n">
        <v>-0.5</v>
      </c>
      <c r="K217" s="174"/>
      <c r="L217" s="180" t="n">
        <v>0.25</v>
      </c>
      <c r="M217" s="180" t="n">
        <v>0.25</v>
      </c>
      <c r="N217" s="180"/>
      <c r="O217" s="180"/>
      <c r="P217" s="180" t="n">
        <v>-0.25</v>
      </c>
      <c r="Q217" s="180" t="n">
        <v>-0.2</v>
      </c>
      <c r="R217" s="180" t="n">
        <v>-0.2</v>
      </c>
      <c r="S217" s="180" t="n">
        <v>-0.2</v>
      </c>
      <c r="T217" s="180" t="n">
        <v>-0.2</v>
      </c>
      <c r="U217" s="180" t="n">
        <v>-0.2</v>
      </c>
      <c r="V217" s="138" t="n">
        <v>-0.5</v>
      </c>
      <c r="W217" s="185" t="n">
        <f aca="false">Таблица32[[#This Row],[Столбец7]]*Таблица32[[#This Row],[Ishga kelish nazoratchi2]]%</f>
        <v>0</v>
      </c>
      <c r="X217" s="188" t="n">
        <f aca="false">Таблица32[[#This Row],[Столбец7]]*Таблица32[[#This Row],[Ishga vaqtida kelish ketish]]%</f>
        <v>-174000</v>
      </c>
      <c r="Y217" s="186" t="n">
        <f aca="false">Таблица32[[#This Row],[Столбец7]]*Таблица32[[#This Row],[Ishga kelish bank klient]]%</f>
        <v>0</v>
      </c>
      <c r="Z217" s="188" t="n">
        <f aca="false">Таблица32[[#This Row],[Столбец7]]*Таблица32[[#This Row],[Gruppa buxgalter]]%</f>
        <v>-30000</v>
      </c>
      <c r="AA217" s="188" t="n">
        <f aca="false">Таблица32[[#This Row],[Столбец7]]*Таблица32[[#This Row],[Gruppa bank klient ]]%</f>
        <v>0</v>
      </c>
      <c r="AB217" s="188" t="n">
        <f aca="false">Таблица32[[#This Row],[1c]]*Таблица32[[#This Row],[Столбец7]]/100</f>
        <v>0</v>
      </c>
      <c r="AC217" s="187" t="n">
        <f aca="false">SUM(Таблица32[[#This Row],[Didox]:[ мехнат]],Таблица32[[#This Row],[Avtokameral]])*Таблица32[[#This Row],[Столбец7]]/100</f>
        <v>15000</v>
      </c>
      <c r="AD217" s="190" t="n">
        <f aca="false">SUM(Таблица32[[#This Row],[Pul oqimlari]:[Foyda va zarar]])*Таблица32[[#This Row],[Столбец7]]/100</f>
        <v>-60000</v>
      </c>
      <c r="AE217" s="191" t="n">
        <f aca="false">Таблица32[[#This Row],[Столбец7]]*Таблица32[[#This Row],[Nazoratchi]]%</f>
        <v>-30000</v>
      </c>
      <c r="AF217" s="188" t="n">
        <f aca="false">Таблица32[[#This Row],[Ishga vaqtida kelish nazoratchi]]+Таблица32[[#This Row],[Nazoratchi2]]</f>
        <v>-30000</v>
      </c>
      <c r="AG21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-249000</v>
      </c>
      <c r="AH217" s="188" t="n">
        <f aca="false">Таблица32[[#This Row],[Ishga kelish bank klient3]]+Таблица32[[#This Row],[Gruppa bank klient 2]]</f>
        <v>0</v>
      </c>
    </row>
    <row r="218" customFormat="false" ht="17.35" hidden="false" customHeight="false" outlineLevel="0" collapsed="false">
      <c r="A218" s="112" t="n">
        <v>216</v>
      </c>
      <c r="B218" s="141" t="s">
        <v>424</v>
      </c>
      <c r="C218" s="114" t="s">
        <v>227</v>
      </c>
      <c r="D218" s="141" t="s">
        <v>240</v>
      </c>
      <c r="E218" s="150" t="n">
        <v>1300000</v>
      </c>
      <c r="F218" s="113" t="s">
        <v>213</v>
      </c>
      <c r="G218" s="174" t="n">
        <v>0.65</v>
      </c>
      <c r="H218" s="184"/>
      <c r="I218" s="184"/>
      <c r="J218" s="174" t="n">
        <v>-0.5</v>
      </c>
      <c r="K218" s="174" t="n">
        <v>-0.5</v>
      </c>
      <c r="L218" s="180" t="n">
        <v>0.25</v>
      </c>
      <c r="M218" s="180" t="n">
        <v>0.25</v>
      </c>
      <c r="N218" s="180" t="n">
        <v>-0.25</v>
      </c>
      <c r="O218" s="180"/>
      <c r="P218" s="180" t="n">
        <v>0.25</v>
      </c>
      <c r="Q218" s="180" t="n">
        <v>0</v>
      </c>
      <c r="R218" s="180" t="n">
        <v>-0.2</v>
      </c>
      <c r="S218" s="180" t="n">
        <v>-0.2</v>
      </c>
      <c r="T218" s="180" t="n">
        <v>0</v>
      </c>
      <c r="U218" s="180" t="n">
        <v>0</v>
      </c>
      <c r="V218" s="138" t="n">
        <v>-0.5</v>
      </c>
      <c r="W218" s="185" t="n">
        <f aca="false">Таблица32[[#This Row],[Столбец7]]*Таблица32[[#This Row],[Ishga kelish nazoratchi2]]%</f>
        <v>0</v>
      </c>
      <c r="X218" s="188" t="n">
        <f aca="false">Таблица32[[#This Row],[Столбец7]]*Таблица32[[#This Row],[Ishga vaqtida kelish ketish]]%</f>
        <v>8450</v>
      </c>
      <c r="Y218" s="186" t="n">
        <f aca="false">Таблица32[[#This Row],[Столбец7]]*Таблица32[[#This Row],[Ishga kelish bank klient]]%</f>
        <v>0</v>
      </c>
      <c r="Z218" s="188" t="n">
        <f aca="false">Таблица32[[#This Row],[Столбец7]]*Таблица32[[#This Row],[Gruppa buxgalter]]%</f>
        <v>-6500</v>
      </c>
      <c r="AA218" s="188" t="n">
        <f aca="false">Таблица32[[#This Row],[Столбец7]]*Таблица32[[#This Row],[Gruppa bank klient ]]%</f>
        <v>-6500</v>
      </c>
      <c r="AB218" s="188" t="n">
        <f aca="false">Таблица32[[#This Row],[1c]]*Таблица32[[#This Row],[Столбец7]]/100</f>
        <v>0</v>
      </c>
      <c r="AC218" s="187" t="n">
        <f aca="false">SUM(Таблица32[[#This Row],[Didox]:[ мехнат]],Таблица32[[#This Row],[Avtokameral]])*Таблица32[[#This Row],[Столбец7]]/100</f>
        <v>6500</v>
      </c>
      <c r="AD218" s="190" t="n">
        <f aca="false">SUM(Таблица32[[#This Row],[Pul oqimlari]:[Foyda va zarar]])*Таблица32[[#This Row],[Столбец7]]/100</f>
        <v>-5200</v>
      </c>
      <c r="AE218" s="191" t="n">
        <f aca="false">Таблица32[[#This Row],[Столбец7]]*Таблица32[[#This Row],[Nazoratchi]]%</f>
        <v>-6500</v>
      </c>
      <c r="AF218" s="188" t="n">
        <f aca="false">Таблица32[[#This Row],[Ishga vaqtida kelish nazoratchi]]+Таблица32[[#This Row],[Nazoratchi2]]</f>
        <v>-6500</v>
      </c>
      <c r="AG21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3250</v>
      </c>
      <c r="AH218" s="188" t="n">
        <f aca="false">Таблица32[[#This Row],[Ishga kelish bank klient3]]+Таблица32[[#This Row],[Gruppa bank klient 2]]</f>
        <v>-6500</v>
      </c>
    </row>
    <row r="219" customFormat="false" ht="17.35" hidden="false" customHeight="false" outlineLevel="0" collapsed="false">
      <c r="A219" s="112" t="n">
        <v>217</v>
      </c>
      <c r="B219" s="141" t="s">
        <v>425</v>
      </c>
      <c r="C219" s="114" t="s">
        <v>227</v>
      </c>
      <c r="D219" s="141"/>
      <c r="E219" s="150" t="n">
        <v>1500000</v>
      </c>
      <c r="F219" s="113" t="s">
        <v>213</v>
      </c>
      <c r="G219" s="174" t="n">
        <v>0.65</v>
      </c>
      <c r="H219" s="184"/>
      <c r="I219" s="184"/>
      <c r="J219" s="174" t="n">
        <v>-2</v>
      </c>
      <c r="K219" s="174"/>
      <c r="L219" s="180" t="n">
        <v>0.25</v>
      </c>
      <c r="M219" s="180" t="n">
        <v>0.25</v>
      </c>
      <c r="N219" s="180"/>
      <c r="O219" s="180"/>
      <c r="P219" s="180" t="n">
        <v>0.25</v>
      </c>
      <c r="Q219" s="180" t="n">
        <v>0</v>
      </c>
      <c r="R219" s="180" t="n">
        <v>-0.2</v>
      </c>
      <c r="S219" s="180" t="n">
        <v>-0.2</v>
      </c>
      <c r="T219" s="180" t="n">
        <v>0</v>
      </c>
      <c r="U219" s="180" t="n">
        <v>0</v>
      </c>
      <c r="V219" s="138" t="n">
        <v>-2</v>
      </c>
      <c r="W219" s="185" t="n">
        <f aca="false">Таблица32[[#This Row],[Столбец7]]*Таблица32[[#This Row],[Ishga kelish nazoratchi2]]%</f>
        <v>0</v>
      </c>
      <c r="X219" s="188" t="n">
        <f aca="false">Таблица32[[#This Row],[Столбец7]]*Таблица32[[#This Row],[Ishga vaqtida kelish ketish]]%</f>
        <v>9750</v>
      </c>
      <c r="Y219" s="186" t="n">
        <f aca="false">Таблица32[[#This Row],[Столбец7]]*Таблица32[[#This Row],[Ishga kelish bank klient]]%</f>
        <v>0</v>
      </c>
      <c r="Z219" s="188" t="n">
        <f aca="false">Таблица32[[#This Row],[Столбец7]]*Таблица32[[#This Row],[Gruppa buxgalter]]%</f>
        <v>-30000</v>
      </c>
      <c r="AA219" s="188" t="n">
        <f aca="false">Таблица32[[#This Row],[Столбец7]]*Таблица32[[#This Row],[Gruppa bank klient ]]%</f>
        <v>0</v>
      </c>
      <c r="AB219" s="188" t="n">
        <f aca="false">Таблица32[[#This Row],[1c]]*Таблица32[[#This Row],[Столбец7]]/100</f>
        <v>0</v>
      </c>
      <c r="AC219" s="187" t="n">
        <f aca="false">SUM(Таблица32[[#This Row],[Didox]:[ мехнат]],Таблица32[[#This Row],[Avtokameral]])*Таблица32[[#This Row],[Столбец7]]/100</f>
        <v>11250</v>
      </c>
      <c r="AD219" s="190" t="n">
        <f aca="false">SUM(Таблица32[[#This Row],[Pul oqimlari]:[Foyda va zarar]])*Таблица32[[#This Row],[Столбец7]]/100</f>
        <v>-6000</v>
      </c>
      <c r="AE219" s="191" t="n">
        <f aca="false">Таблица32[[#This Row],[Столбец7]]*Таблица32[[#This Row],[Nazoratchi]]%</f>
        <v>-30000</v>
      </c>
      <c r="AF219" s="188" t="n">
        <f aca="false">Таблица32[[#This Row],[Ishga vaqtida kelish nazoratchi]]+Таблица32[[#This Row],[Nazoratchi2]]</f>
        <v>-30000</v>
      </c>
      <c r="AG21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-15000</v>
      </c>
      <c r="AH219" s="188" t="n">
        <f aca="false">Таблица32[[#This Row],[Ishga kelish bank klient3]]+Таблица32[[#This Row],[Gruppa bank klient 2]]</f>
        <v>0</v>
      </c>
    </row>
    <row r="220" customFormat="false" ht="32.8" hidden="false" customHeight="false" outlineLevel="0" collapsed="false">
      <c r="A220" s="112" t="n">
        <v>218</v>
      </c>
      <c r="B220" s="141" t="s">
        <v>426</v>
      </c>
      <c r="C220" s="114" t="s">
        <v>227</v>
      </c>
      <c r="D220" s="141" t="s">
        <v>240</v>
      </c>
      <c r="E220" s="150" t="n">
        <v>800000</v>
      </c>
      <c r="F220" s="113" t="s">
        <v>213</v>
      </c>
      <c r="G220" s="174" t="n">
        <v>0.65</v>
      </c>
      <c r="H220" s="184"/>
      <c r="I220" s="184"/>
      <c r="J220" s="174" t="n">
        <v>1</v>
      </c>
      <c r="K220" s="174" t="n">
        <v>-0.5</v>
      </c>
      <c r="L220" s="180" t="n">
        <v>0.25</v>
      </c>
      <c r="M220" s="180" t="n">
        <v>-0.25</v>
      </c>
      <c r="N220" s="180"/>
      <c r="O220" s="180"/>
      <c r="P220" s="180" t="n">
        <v>0.25</v>
      </c>
      <c r="Q220" s="180" t="n">
        <v>0.2</v>
      </c>
      <c r="R220" s="180" t="n">
        <v>-0.2</v>
      </c>
      <c r="S220" s="180" t="n">
        <v>-0.2</v>
      </c>
      <c r="T220" s="180" t="n">
        <v>-0.2</v>
      </c>
      <c r="U220" s="180" t="n">
        <v>-0.2</v>
      </c>
      <c r="V220" s="138" t="n">
        <v>0.5</v>
      </c>
      <c r="W220" s="185" t="n">
        <f aca="false">Таблица32[[#This Row],[Столбец7]]*Таблица32[[#This Row],[Ishga kelish nazoratchi2]]%</f>
        <v>0</v>
      </c>
      <c r="X220" s="188" t="n">
        <f aca="false">Таблица32[[#This Row],[Столбец7]]*Таблица32[[#This Row],[Ishga vaqtida kelish ketish]]%</f>
        <v>5200</v>
      </c>
      <c r="Y220" s="186" t="n">
        <f aca="false">Таблица32[[#This Row],[Столбец7]]*Таблица32[[#This Row],[Ishga kelish bank klient]]%</f>
        <v>0</v>
      </c>
      <c r="Z220" s="188" t="n">
        <f aca="false">Таблица32[[#This Row],[Столбец7]]*Таблица32[[#This Row],[Gruppa buxgalter]]%</f>
        <v>8000</v>
      </c>
      <c r="AA220" s="188" t="n">
        <f aca="false">Таблица32[[#This Row],[Столбец7]]*Таблица32[[#This Row],[Gruppa bank klient ]]%</f>
        <v>-4000</v>
      </c>
      <c r="AB220" s="188" t="n">
        <f aca="false">Таблица32[[#This Row],[1c]]*Таблица32[[#This Row],[Столбец7]]/100</f>
        <v>0</v>
      </c>
      <c r="AC220" s="187" t="n">
        <f aca="false">SUM(Таблица32[[#This Row],[Didox]:[ мехнат]],Таблица32[[#This Row],[Avtokameral]])*Таблица32[[#This Row],[Столбец7]]/100</f>
        <v>2000</v>
      </c>
      <c r="AD220" s="190" t="n">
        <f aca="false">SUM(Таблица32[[#This Row],[Pul oqimlari]:[Foyda va zarar]])*Таблица32[[#This Row],[Столбец7]]/100</f>
        <v>-4800</v>
      </c>
      <c r="AE220" s="191" t="n">
        <f aca="false">Таблица32[[#This Row],[Столбец7]]*Таблица32[[#This Row],[Nazoratchi]]%</f>
        <v>4000</v>
      </c>
      <c r="AF220" s="188" t="n">
        <f aca="false">Таблица32[[#This Row],[Ishga vaqtida kelish nazoratchi]]+Таблица32[[#This Row],[Nazoratchi2]]</f>
        <v>4000</v>
      </c>
      <c r="AG22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10400</v>
      </c>
      <c r="AH220" s="188" t="n">
        <f aca="false">Таблица32[[#This Row],[Ishga kelish bank klient3]]+Таблица32[[#This Row],[Gruppa bank klient 2]]</f>
        <v>-4000</v>
      </c>
    </row>
    <row r="221" customFormat="false" ht="17.35" hidden="false" customHeight="false" outlineLevel="0" collapsed="false">
      <c r="A221" s="112" t="n">
        <v>219</v>
      </c>
      <c r="B221" s="141" t="s">
        <v>427</v>
      </c>
      <c r="C221" s="114" t="s">
        <v>227</v>
      </c>
      <c r="D221" s="141"/>
      <c r="E221" s="150" t="n">
        <v>1000000</v>
      </c>
      <c r="F221" s="113" t="s">
        <v>213</v>
      </c>
      <c r="G221" s="174" t="n">
        <v>0.65</v>
      </c>
      <c r="H221" s="184"/>
      <c r="I221" s="184"/>
      <c r="J221" s="174" t="n">
        <v>1</v>
      </c>
      <c r="K221" s="174"/>
      <c r="L221" s="180" t="n">
        <v>0.25</v>
      </c>
      <c r="M221" s="180" t="n">
        <v>0.25</v>
      </c>
      <c r="N221" s="180"/>
      <c r="O221" s="180"/>
      <c r="P221" s="180" t="n">
        <v>0.25</v>
      </c>
      <c r="Q221" s="180" t="n">
        <v>0</v>
      </c>
      <c r="R221" s="180" t="n">
        <v>0</v>
      </c>
      <c r="S221" s="180" t="n">
        <v>0</v>
      </c>
      <c r="T221" s="180" t="n">
        <v>0</v>
      </c>
      <c r="U221" s="180" t="n">
        <v>0</v>
      </c>
      <c r="V221" s="138" t="n">
        <v>0.5</v>
      </c>
      <c r="W221" s="185" t="n">
        <f aca="false">Таблица32[[#This Row],[Столбец7]]*Таблица32[[#This Row],[Ishga kelish nazoratchi2]]%</f>
        <v>0</v>
      </c>
      <c r="X221" s="188" t="n">
        <f aca="false">Таблица32[[#This Row],[Столбец7]]*Таблица32[[#This Row],[Ishga vaqtida kelish ketish]]%</f>
        <v>6500</v>
      </c>
      <c r="Y221" s="186" t="n">
        <f aca="false">Таблица32[[#This Row],[Столбец7]]*Таблица32[[#This Row],[Ishga kelish bank klient]]%</f>
        <v>0</v>
      </c>
      <c r="Z221" s="188" t="n">
        <f aca="false">Таблица32[[#This Row],[Столбец7]]*Таблица32[[#This Row],[Gruppa buxgalter]]%</f>
        <v>10000</v>
      </c>
      <c r="AA221" s="188" t="n">
        <f aca="false">Таблица32[[#This Row],[Столбец7]]*Таблица32[[#This Row],[Gruppa bank klient ]]%</f>
        <v>0</v>
      </c>
      <c r="AB221" s="188" t="n">
        <f aca="false">Таблица32[[#This Row],[1c]]*Таблица32[[#This Row],[Столбец7]]/100</f>
        <v>0</v>
      </c>
      <c r="AC221" s="187" t="n">
        <f aca="false">SUM(Таблица32[[#This Row],[Didox]:[ мехнат]],Таблица32[[#This Row],[Avtokameral]])*Таблица32[[#This Row],[Столбец7]]/100</f>
        <v>7500</v>
      </c>
      <c r="AD221" s="190" t="n">
        <f aca="false">SUM(Таблица32[[#This Row],[Pul oqimlari]:[Foyda va zarar]])*Таблица32[[#This Row],[Столбец7]]/100</f>
        <v>0</v>
      </c>
      <c r="AE221" s="191" t="n">
        <f aca="false">Таблица32[[#This Row],[Столбец7]]*Таблица32[[#This Row],[Nazoratchi]]%</f>
        <v>5000</v>
      </c>
      <c r="AF221" s="188" t="n">
        <f aca="false">Таблица32[[#This Row],[Ishga vaqtida kelish nazoratchi]]+Таблица32[[#This Row],[Nazoratchi2]]</f>
        <v>5000</v>
      </c>
      <c r="AG22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24000</v>
      </c>
      <c r="AH221" s="188" t="n">
        <f aca="false">Таблица32[[#This Row],[Ishga kelish bank klient3]]+Таблица32[[#This Row],[Gruppa bank klient 2]]</f>
        <v>0</v>
      </c>
    </row>
    <row r="222" customFormat="false" ht="17.35" hidden="false" customHeight="false" outlineLevel="0" collapsed="false">
      <c r="A222" s="112" t="n">
        <v>220</v>
      </c>
      <c r="B222" s="141" t="s">
        <v>428</v>
      </c>
      <c r="C222" s="114" t="s">
        <v>227</v>
      </c>
      <c r="D222" s="141"/>
      <c r="E222" s="150" t="n">
        <v>1000000</v>
      </c>
      <c r="F222" s="113" t="s">
        <v>213</v>
      </c>
      <c r="G222" s="174" t="n">
        <v>0.65</v>
      </c>
      <c r="H222" s="184"/>
      <c r="I222" s="184"/>
      <c r="J222" s="174" t="n">
        <v>1</v>
      </c>
      <c r="K222" s="174"/>
      <c r="L222" s="180" t="n">
        <v>0.25</v>
      </c>
      <c r="M222" s="180" t="n">
        <v>0.25</v>
      </c>
      <c r="N222" s="180"/>
      <c r="O222" s="180" t="n">
        <v>1</v>
      </c>
      <c r="P222" s="180" t="n">
        <v>0.25</v>
      </c>
      <c r="Q222" s="180" t="n">
        <v>0.2</v>
      </c>
      <c r="R222" s="180" t="n">
        <v>-0.2</v>
      </c>
      <c r="S222" s="180" t="n">
        <v>-0.2</v>
      </c>
      <c r="T222" s="180" t="n">
        <v>0.2</v>
      </c>
      <c r="U222" s="180" t="n">
        <v>-0.2</v>
      </c>
      <c r="V222" s="138" t="n">
        <v>0.5</v>
      </c>
      <c r="W222" s="185" t="n">
        <f aca="false">Таблица32[[#This Row],[Столбец7]]*Таблица32[[#This Row],[Ishga kelish nazoratchi2]]%</f>
        <v>0</v>
      </c>
      <c r="X222" s="188" t="n">
        <f aca="false">Таблица32[[#This Row],[Столбец7]]*Таблица32[[#This Row],[Ishga vaqtida kelish ketish]]%</f>
        <v>6500</v>
      </c>
      <c r="Y222" s="186" t="n">
        <f aca="false">Таблица32[[#This Row],[Столбец7]]*Таблица32[[#This Row],[Ishga kelish bank klient]]%</f>
        <v>0</v>
      </c>
      <c r="Z222" s="188" t="n">
        <f aca="false">Таблица32[[#This Row],[Столбец7]]*Таблица32[[#This Row],[Gruppa buxgalter]]%</f>
        <v>10000</v>
      </c>
      <c r="AA222" s="188" t="n">
        <f aca="false">Таблица32[[#This Row],[Столбец7]]*Таблица32[[#This Row],[Gruppa bank klient ]]%</f>
        <v>0</v>
      </c>
      <c r="AB222" s="188" t="n">
        <f aca="false">Таблица32[[#This Row],[1c]]*Таблица32[[#This Row],[Столбец7]]/100</f>
        <v>10000</v>
      </c>
      <c r="AC222" s="187" t="n">
        <f aca="false">SUM(Таблица32[[#This Row],[Didox]:[ мехнат]],Таблица32[[#This Row],[Avtokameral]])*Таблица32[[#This Row],[Столбец7]]/100</f>
        <v>7500</v>
      </c>
      <c r="AD222" s="190" t="n">
        <f aca="false">SUM(Таблица32[[#This Row],[Pul oqimlari]:[Foyda va zarar]])*Таблица32[[#This Row],[Столбец7]]/100</f>
        <v>-2000</v>
      </c>
      <c r="AE222" s="191" t="n">
        <f aca="false">Таблица32[[#This Row],[Столбец7]]*Таблица32[[#This Row],[Nazoratchi]]%</f>
        <v>5000</v>
      </c>
      <c r="AF222" s="188" t="n">
        <f aca="false">Таблица32[[#This Row],[Ishga vaqtida kelish nazoratchi]]+Таблица32[[#This Row],[Nazoratchi2]]</f>
        <v>5000</v>
      </c>
      <c r="AG22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32000</v>
      </c>
      <c r="AH222" s="188" t="n">
        <f aca="false">Таблица32[[#This Row],[Ishga kelish bank klient3]]+Таблица32[[#This Row],[Gruppa bank klient 2]]</f>
        <v>0</v>
      </c>
    </row>
    <row r="223" customFormat="false" ht="17.35" hidden="false" customHeight="false" outlineLevel="0" collapsed="false">
      <c r="A223" s="112" t="n">
        <v>221</v>
      </c>
      <c r="B223" s="141" t="s">
        <v>429</v>
      </c>
      <c r="C223" s="141" t="s">
        <v>228</v>
      </c>
      <c r="D223" s="141" t="s">
        <v>240</v>
      </c>
      <c r="E223" s="150" t="n">
        <v>2000000</v>
      </c>
      <c r="F223" s="113" t="s">
        <v>213</v>
      </c>
      <c r="G223" s="174" t="n">
        <v>-2.9</v>
      </c>
      <c r="H223" s="184"/>
      <c r="I223" s="184"/>
      <c r="J223" s="174" t="n">
        <v>-0.5</v>
      </c>
      <c r="K223" s="174" t="n">
        <v>1</v>
      </c>
      <c r="L223" s="180" t="n">
        <v>-0.25</v>
      </c>
      <c r="M223" s="180" t="n">
        <v>0.25</v>
      </c>
      <c r="N223" s="180"/>
      <c r="O223" s="180"/>
      <c r="P223" s="180" t="n">
        <v>0.25</v>
      </c>
      <c r="Q223" s="180" t="n">
        <v>-0.2</v>
      </c>
      <c r="R223" s="180" t="n">
        <v>0.2</v>
      </c>
      <c r="S223" s="180" t="n">
        <v>-0.2</v>
      </c>
      <c r="T223" s="180" t="n">
        <v>-0.2</v>
      </c>
      <c r="U223" s="180" t="n">
        <v>-0.2</v>
      </c>
      <c r="V223" s="138" t="n">
        <v>-0.5</v>
      </c>
      <c r="W223" s="185" t="n">
        <f aca="false">Таблица32[[#This Row],[Столбец7]]*Таблица32[[#This Row],[Ishga kelish nazoratchi2]]%</f>
        <v>0</v>
      </c>
      <c r="X223" s="188" t="n">
        <f aca="false">Таблица32[[#This Row],[Столбец7]]*Таблица32[[#This Row],[Ishga vaqtida kelish ketish]]%</f>
        <v>-58000</v>
      </c>
      <c r="Y223" s="186" t="n">
        <f aca="false">Таблица32[[#This Row],[Столбец7]]*Таблица32[[#This Row],[Ishga kelish bank klient]]%</f>
        <v>0</v>
      </c>
      <c r="Z223" s="188" t="n">
        <f aca="false">Таблица32[[#This Row],[Столбец7]]*Таблица32[[#This Row],[Gruppa buxgalter]]%</f>
        <v>-10000</v>
      </c>
      <c r="AA223" s="188" t="n">
        <f aca="false">Таблица32[[#This Row],[Столбец7]]*Таблица32[[#This Row],[Gruppa bank klient ]]%</f>
        <v>20000</v>
      </c>
      <c r="AB223" s="188" t="n">
        <f aca="false">Таблица32[[#This Row],[1c]]*Таблица32[[#This Row],[Столбец7]]/100</f>
        <v>0</v>
      </c>
      <c r="AC223" s="187" t="n">
        <f aca="false">SUM(Таблица32[[#This Row],[Didox]:[ мехнат]],Таблица32[[#This Row],[Avtokameral]])*Таблица32[[#This Row],[Столбец7]]/100</f>
        <v>5000</v>
      </c>
      <c r="AD223" s="190" t="n">
        <f aca="false">SUM(Таблица32[[#This Row],[Pul oqimlari]:[Foyda va zarar]])*Таблица32[[#This Row],[Столбец7]]/100</f>
        <v>-12000</v>
      </c>
      <c r="AE223" s="191" t="n">
        <f aca="false">Таблица32[[#This Row],[Столбец7]]*Таблица32[[#This Row],[Nazoratchi]]%</f>
        <v>-10000</v>
      </c>
      <c r="AF223" s="188" t="n">
        <f aca="false">Таблица32[[#This Row],[Ishga vaqtida kelish nazoratchi]]+Таблица32[[#This Row],[Nazoratchi2]]</f>
        <v>-10000</v>
      </c>
      <c r="AG22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-75000</v>
      </c>
      <c r="AH223" s="188" t="n">
        <f aca="false">Таблица32[[#This Row],[Ishga kelish bank klient3]]+Таблица32[[#This Row],[Gruppa bank klient 2]]</f>
        <v>20000</v>
      </c>
    </row>
    <row r="224" customFormat="false" ht="17.35" hidden="false" customHeight="false" outlineLevel="0" collapsed="false">
      <c r="A224" s="112" t="n">
        <v>222</v>
      </c>
      <c r="B224" s="141" t="s">
        <v>430</v>
      </c>
      <c r="C224" s="141" t="s">
        <v>228</v>
      </c>
      <c r="D224" s="141"/>
      <c r="E224" s="150" t="n">
        <v>2500000</v>
      </c>
      <c r="F224" s="113" t="s">
        <v>213</v>
      </c>
      <c r="G224" s="174" t="n">
        <v>-2.9</v>
      </c>
      <c r="H224" s="184"/>
      <c r="I224" s="184"/>
      <c r="J224" s="174" t="n">
        <v>1</v>
      </c>
      <c r="K224" s="174"/>
      <c r="L224" s="180" t="n">
        <v>0.25</v>
      </c>
      <c r="M224" s="180" t="n">
        <v>0.25</v>
      </c>
      <c r="N224" s="180"/>
      <c r="O224" s="180"/>
      <c r="P224" s="180" t="n">
        <v>0.25</v>
      </c>
      <c r="Q224" s="180" t="n">
        <v>-0.2</v>
      </c>
      <c r="R224" s="180" t="n">
        <v>0.2</v>
      </c>
      <c r="S224" s="180" t="n">
        <v>-0.2</v>
      </c>
      <c r="T224" s="180" t="n">
        <v>-0.2</v>
      </c>
      <c r="U224" s="180" t="n">
        <v>-0.2</v>
      </c>
      <c r="V224" s="138" t="n">
        <v>0.5</v>
      </c>
      <c r="W224" s="185" t="n">
        <f aca="false">Таблица32[[#This Row],[Столбец7]]*Таблица32[[#This Row],[Ishga kelish nazoratchi2]]%</f>
        <v>0</v>
      </c>
      <c r="X224" s="188" t="n">
        <f aca="false">Таблица32[[#This Row],[Столбец7]]*Таблица32[[#This Row],[Ishga vaqtida kelish ketish]]%</f>
        <v>-72500</v>
      </c>
      <c r="Y224" s="186" t="n">
        <f aca="false">Таблица32[[#This Row],[Столбец7]]*Таблица32[[#This Row],[Ishga kelish bank klient]]%</f>
        <v>0</v>
      </c>
      <c r="Z224" s="188" t="n">
        <f aca="false">Таблица32[[#This Row],[Столбец7]]*Таблица32[[#This Row],[Gruppa buxgalter]]%</f>
        <v>25000</v>
      </c>
      <c r="AA224" s="188" t="n">
        <f aca="false">Таблица32[[#This Row],[Столбец7]]*Таблица32[[#This Row],[Gruppa bank klient ]]%</f>
        <v>0</v>
      </c>
      <c r="AB224" s="188" t="n">
        <f aca="false">Таблица32[[#This Row],[1c]]*Таблица32[[#This Row],[Столбец7]]/100</f>
        <v>0</v>
      </c>
      <c r="AC224" s="187" t="n">
        <f aca="false">SUM(Таблица32[[#This Row],[Didox]:[ мехнат]],Таблица32[[#This Row],[Avtokameral]])*Таблица32[[#This Row],[Столбец7]]/100</f>
        <v>18750</v>
      </c>
      <c r="AD224" s="190" t="n">
        <f aca="false">SUM(Таблица32[[#This Row],[Pul oqimlari]:[Foyda va zarar]])*Таблица32[[#This Row],[Столбец7]]/100</f>
        <v>-15000</v>
      </c>
      <c r="AE224" s="191" t="n">
        <f aca="false">Таблица32[[#This Row],[Столбец7]]*Таблица32[[#This Row],[Nazoratchi]]%</f>
        <v>12500</v>
      </c>
      <c r="AF224" s="188" t="n">
        <f aca="false">Таблица32[[#This Row],[Ishga vaqtida kelish nazoratchi]]+Таблица32[[#This Row],[Nazoratchi2]]</f>
        <v>12500</v>
      </c>
      <c r="AG22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-43750</v>
      </c>
      <c r="AH224" s="188" t="n">
        <f aca="false">Таблица32[[#This Row],[Ishga kelish bank klient3]]+Таблица32[[#This Row],[Gruppa bank klient 2]]</f>
        <v>0</v>
      </c>
    </row>
    <row r="225" customFormat="false" ht="17.35" hidden="false" customHeight="false" outlineLevel="0" collapsed="false">
      <c r="A225" s="112" t="n">
        <v>223</v>
      </c>
      <c r="B225" s="141" t="s">
        <v>431</v>
      </c>
      <c r="C225" s="141" t="s">
        <v>208</v>
      </c>
      <c r="D225" s="141" t="s">
        <v>240</v>
      </c>
      <c r="E225" s="150" t="n">
        <v>6000000</v>
      </c>
      <c r="F225" s="113" t="s">
        <v>210</v>
      </c>
      <c r="G225" s="174"/>
      <c r="H225" s="184"/>
      <c r="I225" s="184"/>
      <c r="J225" s="174" t="n">
        <v>1</v>
      </c>
      <c r="K225" s="174" t="n">
        <v>1</v>
      </c>
      <c r="L225" s="180" t="n">
        <v>0.25</v>
      </c>
      <c r="M225" s="180" t="n">
        <v>0.25</v>
      </c>
      <c r="N225" s="180"/>
      <c r="O225" s="180"/>
      <c r="P225" s="180" t="n">
        <v>-0.25</v>
      </c>
      <c r="Q225" s="180" t="n">
        <v>0</v>
      </c>
      <c r="R225" s="180" t="n">
        <v>0.2</v>
      </c>
      <c r="S225" s="180" t="n">
        <v>0</v>
      </c>
      <c r="T225" s="180" t="n">
        <v>-0.2</v>
      </c>
      <c r="U225" s="180" t="n">
        <v>0</v>
      </c>
      <c r="V225" s="117" t="n">
        <v>0.5</v>
      </c>
      <c r="W225" s="185" t="n">
        <f aca="false">Таблица32[[#This Row],[Столбец7]]*Таблица32[[#This Row],[Ishga kelish nazoratchi2]]%</f>
        <v>0</v>
      </c>
      <c r="X225" s="188" t="n">
        <f aca="false">Таблица32[[#This Row],[Столбец7]]*Таблица32[[#This Row],[Ishga vaqtida kelish ketish]]%</f>
        <v>0</v>
      </c>
      <c r="Y225" s="186" t="n">
        <f aca="false">Таблица32[[#This Row],[Столбец7]]*Таблица32[[#This Row],[Ishga kelish bank klient]]%</f>
        <v>0</v>
      </c>
      <c r="Z225" s="188" t="n">
        <f aca="false">Таблица32[[#This Row],[Столбец7]]*Таблица32[[#This Row],[Gruppa buxgalter]]%</f>
        <v>60000</v>
      </c>
      <c r="AA225" s="188" t="n">
        <f aca="false">Таблица32[[#This Row],[Столбец7]]*Таблица32[[#This Row],[Gruppa bank klient ]]%</f>
        <v>60000</v>
      </c>
      <c r="AB225" s="188" t="n">
        <f aca="false">Таблица32[[#This Row],[1c]]*Таблица32[[#This Row],[Столбец7]]/100</f>
        <v>0</v>
      </c>
      <c r="AC225" s="187" t="n">
        <f aca="false">SUM(Таблица32[[#This Row],[Didox]:[ мехнат]],Таблица32[[#This Row],[Avtokameral]])*Таблица32[[#This Row],[Столбец7]]/100</f>
        <v>15000</v>
      </c>
      <c r="AD225" s="190" t="n">
        <f aca="false">SUM(Таблица32[[#This Row],[Pul oqimlari]:[Foyda va zarar]])*Таблица32[[#This Row],[Столбец7]]/100</f>
        <v>0</v>
      </c>
      <c r="AE225" s="191" t="n">
        <f aca="false">Таблица32[[#This Row],[Столбец7]]*Таблица32[[#This Row],[Nazoratchi]]%</f>
        <v>30000</v>
      </c>
      <c r="AF225" s="188" t="n">
        <f aca="false">Таблица32[[#This Row],[Ishga vaqtida kelish nazoratchi]]+Таблица32[[#This Row],[Nazoratchi2]]</f>
        <v>30000</v>
      </c>
      <c r="AG22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75000</v>
      </c>
      <c r="AH225" s="188" t="n">
        <f aca="false">Таблица32[[#This Row],[Ishga kelish bank klient3]]+Таблица32[[#This Row],[Gruppa bank klient 2]]</f>
        <v>60000</v>
      </c>
    </row>
    <row r="226" customFormat="false" ht="17.35" hidden="false" customHeight="false" outlineLevel="0" collapsed="false">
      <c r="A226" s="112" t="n">
        <v>224</v>
      </c>
      <c r="B226" s="141" t="s">
        <v>432</v>
      </c>
      <c r="C226" s="141" t="s">
        <v>212</v>
      </c>
      <c r="D226" s="141" t="s">
        <v>240</v>
      </c>
      <c r="E226" s="150" t="n">
        <v>1500000</v>
      </c>
      <c r="F226" s="113" t="s">
        <v>213</v>
      </c>
      <c r="G226" s="174"/>
      <c r="H226" s="184"/>
      <c r="I226" s="184"/>
      <c r="J226" s="174" t="n">
        <v>1</v>
      </c>
      <c r="K226" s="174" t="n">
        <v>1</v>
      </c>
      <c r="L226" s="180" t="n">
        <v>0.25</v>
      </c>
      <c r="M226" s="180" t="n">
        <v>0.25</v>
      </c>
      <c r="N226" s="180"/>
      <c r="O226" s="180"/>
      <c r="P226" s="180" t="n">
        <v>0.25</v>
      </c>
      <c r="Q226" s="180" t="n">
        <v>-0.2</v>
      </c>
      <c r="R226" s="180" t="n">
        <v>0.2</v>
      </c>
      <c r="S226" s="180" t="n">
        <v>-0.2</v>
      </c>
      <c r="T226" s="180" t="n">
        <v>-0.2</v>
      </c>
      <c r="U226" s="180" t="n">
        <v>-0.2</v>
      </c>
      <c r="V226" s="117" t="n">
        <v>0.5</v>
      </c>
      <c r="W226" s="185" t="n">
        <f aca="false">Таблица32[[#This Row],[Столбец7]]*Таблица32[[#This Row],[Ishga kelish nazoratchi2]]%</f>
        <v>0</v>
      </c>
      <c r="X226" s="188" t="n">
        <f aca="false">Таблица32[[#This Row],[Столбец7]]*Таблица32[[#This Row],[Ishga vaqtida kelish ketish]]%</f>
        <v>0</v>
      </c>
      <c r="Y226" s="186" t="n">
        <f aca="false">Таблица32[[#This Row],[Столбец7]]*Таблица32[[#This Row],[Ishga kelish bank klient]]%</f>
        <v>0</v>
      </c>
      <c r="Z226" s="188" t="n">
        <f aca="false">Таблица32[[#This Row],[Столбец7]]*Таблица32[[#This Row],[Gruppa buxgalter]]%</f>
        <v>15000</v>
      </c>
      <c r="AA226" s="188" t="n">
        <f aca="false">Таблица32[[#This Row],[Столбец7]]*Таблица32[[#This Row],[Gruppa bank klient ]]%</f>
        <v>15000</v>
      </c>
      <c r="AB226" s="188" t="n">
        <f aca="false">Таблица32[[#This Row],[1c]]*Таблица32[[#This Row],[Столбец7]]/100</f>
        <v>0</v>
      </c>
      <c r="AC226" s="187" t="n">
        <f aca="false">SUM(Таблица32[[#This Row],[Didox]:[ мехнат]],Таблица32[[#This Row],[Avtokameral]])*Таблица32[[#This Row],[Столбец7]]/100</f>
        <v>11250</v>
      </c>
      <c r="AD226" s="190" t="n">
        <f aca="false">SUM(Таблица32[[#This Row],[Pul oqimlari]:[Foyda va zarar]])*Таблица32[[#This Row],[Столбец7]]/100</f>
        <v>-9000</v>
      </c>
      <c r="AE226" s="191" t="n">
        <f aca="false">Таблица32[[#This Row],[Столбец7]]*Таблица32[[#This Row],[Nazoratchi]]%</f>
        <v>7500</v>
      </c>
      <c r="AF226" s="188" t="n">
        <f aca="false">Таблица32[[#This Row],[Ishga vaqtida kelish nazoratchi]]+Таблица32[[#This Row],[Nazoratchi2]]</f>
        <v>7500</v>
      </c>
      <c r="AG22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17250</v>
      </c>
      <c r="AH226" s="188" t="n">
        <f aca="false">Таблица32[[#This Row],[Ishga kelish bank klient3]]+Таблица32[[#This Row],[Gruppa bank klient 2]]</f>
        <v>15000</v>
      </c>
    </row>
    <row r="227" customFormat="false" ht="17.35" hidden="false" customHeight="false" outlineLevel="0" collapsed="false">
      <c r="A227" s="112" t="n">
        <v>225</v>
      </c>
      <c r="B227" s="141" t="s">
        <v>433</v>
      </c>
      <c r="C227" s="114" t="s">
        <v>212</v>
      </c>
      <c r="D227" s="141" t="s">
        <v>240</v>
      </c>
      <c r="E227" s="150" t="n">
        <v>0</v>
      </c>
      <c r="F227" s="113" t="s">
        <v>213</v>
      </c>
      <c r="G227" s="174"/>
      <c r="H227" s="184"/>
      <c r="I227" s="184"/>
      <c r="J227" s="174" t="n">
        <v>1</v>
      </c>
      <c r="K227" s="174" t="n">
        <v>1</v>
      </c>
      <c r="L227" s="180" t="n">
        <v>0</v>
      </c>
      <c r="M227" s="180" t="n">
        <v>0</v>
      </c>
      <c r="N227" s="180" t="n">
        <v>0</v>
      </c>
      <c r="O227" s="180"/>
      <c r="P227" s="180" t="n">
        <v>0</v>
      </c>
      <c r="Q227" s="180" t="n">
        <v>0</v>
      </c>
      <c r="R227" s="180" t="n">
        <v>0</v>
      </c>
      <c r="S227" s="180" t="n">
        <v>0</v>
      </c>
      <c r="T227" s="180" t="n">
        <v>0</v>
      </c>
      <c r="U227" s="180" t="n">
        <v>0</v>
      </c>
      <c r="V227" s="117" t="n">
        <v>0.5</v>
      </c>
      <c r="W227" s="185" t="n">
        <f aca="false">Таблица32[[#This Row],[Столбец7]]*Таблица32[[#This Row],[Ishga kelish nazoratchi2]]%</f>
        <v>0</v>
      </c>
      <c r="X227" s="188" t="n">
        <f aca="false">Таблица32[[#This Row],[Столбец7]]*Таблица32[[#This Row],[Ishga vaqtida kelish ketish]]%</f>
        <v>0</v>
      </c>
      <c r="Y227" s="186" t="n">
        <f aca="false">Таблица32[[#This Row],[Столбец7]]*Таблица32[[#This Row],[Ishga kelish bank klient]]%</f>
        <v>0</v>
      </c>
      <c r="Z227" s="188" t="n">
        <f aca="false">Таблица32[[#This Row],[Столбец7]]*Таблица32[[#This Row],[Gruppa buxgalter]]%</f>
        <v>0</v>
      </c>
      <c r="AA227" s="188" t="n">
        <f aca="false">Таблица32[[#This Row],[Столбец7]]*Таблица32[[#This Row],[Gruppa bank klient ]]%</f>
        <v>0</v>
      </c>
      <c r="AB227" s="188" t="n">
        <f aca="false">Таблица32[[#This Row],[1c]]*Таблица32[[#This Row],[Столбец7]]/100</f>
        <v>0</v>
      </c>
      <c r="AC227" s="187" t="n">
        <f aca="false">SUM(Таблица32[[#This Row],[Didox]:[ мехнат]],Таблица32[[#This Row],[Avtokameral]])*Таблица32[[#This Row],[Столбец7]]/100</f>
        <v>0</v>
      </c>
      <c r="AD227" s="190" t="n">
        <f aca="false">SUM(Таблица32[[#This Row],[Pul oqimlari]:[Foyda va zarar]])*Таблица32[[#This Row],[Столбец7]]/100</f>
        <v>0</v>
      </c>
      <c r="AE227" s="191" t="n">
        <f aca="false">Таблица32[[#This Row],[Столбец7]]*Таблица32[[#This Row],[Nazoratchi]]%</f>
        <v>0</v>
      </c>
      <c r="AF227" s="188" t="n">
        <f aca="false">Таблица32[[#This Row],[Ishga vaqtida kelish nazoratchi]]+Таблица32[[#This Row],[Nazoratchi2]]</f>
        <v>0</v>
      </c>
      <c r="AG22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27" s="188" t="n">
        <f aca="false">Таблица32[[#This Row],[Ishga kelish bank klient3]]+Таблица32[[#This Row],[Gruppa bank klient 2]]</f>
        <v>0</v>
      </c>
    </row>
    <row r="228" customFormat="false" ht="17.35" hidden="false" customHeight="false" outlineLevel="0" collapsed="false">
      <c r="A228" s="112" t="n">
        <v>226</v>
      </c>
      <c r="B228" s="141" t="s">
        <v>434</v>
      </c>
      <c r="C228" s="114" t="s">
        <v>227</v>
      </c>
      <c r="D228" s="141" t="s">
        <v>240</v>
      </c>
      <c r="E228" s="150" t="n">
        <v>0</v>
      </c>
      <c r="F228" s="113" t="s">
        <v>213</v>
      </c>
      <c r="G228" s="174" t="n">
        <v>0.65</v>
      </c>
      <c r="H228" s="184"/>
      <c r="I228" s="184"/>
      <c r="J228" s="174" t="n">
        <v>1</v>
      </c>
      <c r="K228" s="174" t="n">
        <v>1</v>
      </c>
      <c r="L228" s="180" t="n">
        <v>0.25</v>
      </c>
      <c r="M228" s="180" t="n">
        <v>0.25</v>
      </c>
      <c r="N228" s="180"/>
      <c r="O228" s="180"/>
      <c r="P228" s="180" t="n">
        <v>0.25</v>
      </c>
      <c r="Q228" s="180" t="n">
        <v>0</v>
      </c>
      <c r="R228" s="180" t="n">
        <v>0</v>
      </c>
      <c r="S228" s="180" t="n">
        <v>0</v>
      </c>
      <c r="T228" s="180" t="n">
        <v>0</v>
      </c>
      <c r="U228" s="180" t="n">
        <v>0</v>
      </c>
      <c r="V228" s="138" t="n">
        <v>0.5</v>
      </c>
      <c r="W228" s="185" t="n">
        <f aca="false">Таблица32[[#This Row],[Столбец7]]*Таблица32[[#This Row],[Ishga kelish nazoratchi2]]%</f>
        <v>0</v>
      </c>
      <c r="X228" s="188" t="n">
        <f aca="false">Таблица32[[#This Row],[Столбец7]]*Таблица32[[#This Row],[Ishga vaqtida kelish ketish]]%</f>
        <v>0</v>
      </c>
      <c r="Y228" s="186" t="n">
        <f aca="false">Таблица32[[#This Row],[Столбец7]]*Таблица32[[#This Row],[Ishga kelish bank klient]]%</f>
        <v>0</v>
      </c>
      <c r="Z228" s="188" t="n">
        <f aca="false">Таблица32[[#This Row],[Столбец7]]*Таблица32[[#This Row],[Gruppa buxgalter]]%</f>
        <v>0</v>
      </c>
      <c r="AA228" s="188" t="n">
        <f aca="false">Таблица32[[#This Row],[Столбец7]]*Таблица32[[#This Row],[Gruppa bank klient ]]%</f>
        <v>0</v>
      </c>
      <c r="AB228" s="188" t="n">
        <f aca="false">Таблица32[[#This Row],[1c]]*Таблица32[[#This Row],[Столбец7]]/100</f>
        <v>0</v>
      </c>
      <c r="AC228" s="187" t="n">
        <f aca="false">SUM(Таблица32[[#This Row],[Didox]:[ мехнат]],Таблица32[[#This Row],[Avtokameral]])*Таблица32[[#This Row],[Столбец7]]/100</f>
        <v>0</v>
      </c>
      <c r="AD228" s="190" t="n">
        <f aca="false">SUM(Таблица32[[#This Row],[Pul oqimlari]:[Foyda va zarar]])*Таблица32[[#This Row],[Столбец7]]/100</f>
        <v>0</v>
      </c>
      <c r="AE228" s="191" t="n">
        <f aca="false">Таблица32[[#This Row],[Столбец7]]*Таблица32[[#This Row],[Nazoratchi]]%</f>
        <v>0</v>
      </c>
      <c r="AF228" s="188" t="n">
        <f aca="false">Таблица32[[#This Row],[Ishga vaqtida kelish nazoratchi]]+Таблица32[[#This Row],[Nazoratchi2]]</f>
        <v>0</v>
      </c>
      <c r="AG22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28" s="188" t="n">
        <f aca="false">Таблица32[[#This Row],[Ishga kelish bank klient3]]+Таблица32[[#This Row],[Gruppa bank klient 2]]</f>
        <v>0</v>
      </c>
    </row>
    <row r="229" customFormat="false" ht="17.35" hidden="false" customHeight="false" outlineLevel="0" collapsed="false">
      <c r="A229" s="112" t="n">
        <v>227</v>
      </c>
      <c r="B229" s="141" t="s">
        <v>435</v>
      </c>
      <c r="C229" s="114" t="s">
        <v>227</v>
      </c>
      <c r="D229" s="141" t="s">
        <v>240</v>
      </c>
      <c r="E229" s="150" t="n">
        <v>0</v>
      </c>
      <c r="F229" s="113" t="s">
        <v>213</v>
      </c>
      <c r="G229" s="174" t="n">
        <v>0.65</v>
      </c>
      <c r="H229" s="184"/>
      <c r="I229" s="184"/>
      <c r="J229" s="174" t="n">
        <v>1</v>
      </c>
      <c r="K229" s="174" t="n">
        <v>1</v>
      </c>
      <c r="L229" s="180" t="n">
        <v>0</v>
      </c>
      <c r="M229" s="180" t="n">
        <v>0</v>
      </c>
      <c r="N229" s="180" t="n">
        <v>0</v>
      </c>
      <c r="O229" s="180"/>
      <c r="P229" s="180" t="n">
        <v>0</v>
      </c>
      <c r="Q229" s="180" t="n">
        <v>0</v>
      </c>
      <c r="R229" s="180" t="n">
        <v>0</v>
      </c>
      <c r="S229" s="180" t="n">
        <v>0</v>
      </c>
      <c r="T229" s="180" t="n">
        <v>0</v>
      </c>
      <c r="U229" s="180" t="n">
        <v>0</v>
      </c>
      <c r="V229" s="138" t="n">
        <v>0.5</v>
      </c>
      <c r="W229" s="185" t="n">
        <f aca="false">Таблица32[[#This Row],[Столбец7]]*Таблица32[[#This Row],[Ishga kelish nazoratchi2]]%</f>
        <v>0</v>
      </c>
      <c r="X229" s="188" t="n">
        <f aca="false">Таблица32[[#This Row],[Столбец7]]*Таблица32[[#This Row],[Ishga vaqtida kelish ketish]]%</f>
        <v>0</v>
      </c>
      <c r="Y229" s="186" t="n">
        <f aca="false">Таблица32[[#This Row],[Столбец7]]*Таблица32[[#This Row],[Ishga kelish bank klient]]%</f>
        <v>0</v>
      </c>
      <c r="Z229" s="188" t="n">
        <f aca="false">Таблица32[[#This Row],[Столбец7]]*Таблица32[[#This Row],[Gruppa buxgalter]]%</f>
        <v>0</v>
      </c>
      <c r="AA229" s="188" t="n">
        <f aca="false">Таблица32[[#This Row],[Столбец7]]*Таблица32[[#This Row],[Gruppa bank klient ]]%</f>
        <v>0</v>
      </c>
      <c r="AB229" s="188" t="n">
        <f aca="false">Таблица32[[#This Row],[1c]]*Таблица32[[#This Row],[Столбец7]]/100</f>
        <v>0</v>
      </c>
      <c r="AC229" s="187" t="n">
        <f aca="false">SUM(Таблица32[[#This Row],[Didox]:[ мехнат]],Таблица32[[#This Row],[Avtokameral]])*Таблица32[[#This Row],[Столбец7]]/100</f>
        <v>0</v>
      </c>
      <c r="AD229" s="190" t="n">
        <f aca="false">SUM(Таблица32[[#This Row],[Pul oqimlari]:[Foyda va zarar]])*Таблица32[[#This Row],[Столбец7]]/100</f>
        <v>0</v>
      </c>
      <c r="AE229" s="191" t="n">
        <f aca="false">Таблица32[[#This Row],[Столбец7]]*Таблица32[[#This Row],[Nazoratchi]]%</f>
        <v>0</v>
      </c>
      <c r="AF229" s="188" t="n">
        <f aca="false">Таблица32[[#This Row],[Ishga vaqtida kelish nazoratchi]]+Таблица32[[#This Row],[Nazoratchi2]]</f>
        <v>0</v>
      </c>
      <c r="AG22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29" s="188" t="n">
        <f aca="false">Таблица32[[#This Row],[Ishga kelish bank klient3]]+Таблица32[[#This Row],[Gruppa bank klient 2]]</f>
        <v>0</v>
      </c>
    </row>
    <row r="230" customFormat="false" ht="17.35" hidden="false" customHeight="false" outlineLevel="0" collapsed="false">
      <c r="A230" s="112" t="n">
        <v>228</v>
      </c>
      <c r="B230" s="141" t="s">
        <v>436</v>
      </c>
      <c r="C230" s="114" t="s">
        <v>227</v>
      </c>
      <c r="D230" s="141"/>
      <c r="E230" s="150" t="n">
        <v>1400000</v>
      </c>
      <c r="F230" s="113" t="s">
        <v>213</v>
      </c>
      <c r="G230" s="174" t="n">
        <v>0.65</v>
      </c>
      <c r="H230" s="184"/>
      <c r="I230" s="184"/>
      <c r="J230" s="174" t="n">
        <v>1</v>
      </c>
      <c r="K230" s="174"/>
      <c r="L230" s="180" t="n">
        <v>0.25</v>
      </c>
      <c r="M230" s="180" t="n">
        <v>0.25</v>
      </c>
      <c r="N230" s="180"/>
      <c r="O230" s="180" t="n">
        <v>1</v>
      </c>
      <c r="P230" s="180" t="n">
        <v>0.25</v>
      </c>
      <c r="Q230" s="180" t="n">
        <v>0.2</v>
      </c>
      <c r="R230" s="180" t="n">
        <v>-0.2</v>
      </c>
      <c r="S230" s="180" t="n">
        <v>-0.2</v>
      </c>
      <c r="T230" s="180" t="n">
        <v>-0.2</v>
      </c>
      <c r="U230" s="180" t="n">
        <v>-0.2</v>
      </c>
      <c r="V230" s="138" t="n">
        <v>0.5</v>
      </c>
      <c r="W230" s="185" t="n">
        <f aca="false">Таблица32[[#This Row],[Столбец7]]*Таблица32[[#This Row],[Ishga kelish nazoratchi2]]%</f>
        <v>0</v>
      </c>
      <c r="X230" s="188" t="n">
        <f aca="false">Таблица32[[#This Row],[Столбец7]]*Таблица32[[#This Row],[Ishga vaqtida kelish ketish]]%</f>
        <v>9100</v>
      </c>
      <c r="Y230" s="186" t="n">
        <f aca="false">Таблица32[[#This Row],[Столбец7]]*Таблица32[[#This Row],[Ishga kelish bank klient]]%</f>
        <v>0</v>
      </c>
      <c r="Z230" s="188" t="n">
        <f aca="false">Таблица32[[#This Row],[Столбец7]]*Таблица32[[#This Row],[Gruppa buxgalter]]%</f>
        <v>14000</v>
      </c>
      <c r="AA230" s="188" t="n">
        <f aca="false">Таблица32[[#This Row],[Столбец7]]*Таблица32[[#This Row],[Gruppa bank klient ]]%</f>
        <v>0</v>
      </c>
      <c r="AB230" s="188" t="n">
        <f aca="false">Таблица32[[#This Row],[1c]]*Таблица32[[#This Row],[Столбец7]]/100</f>
        <v>14000</v>
      </c>
      <c r="AC230" s="187" t="n">
        <f aca="false">SUM(Таблица32[[#This Row],[Didox]:[ мехнат]],Таблица32[[#This Row],[Avtokameral]])*Таблица32[[#This Row],[Столбец7]]/100</f>
        <v>10500</v>
      </c>
      <c r="AD230" s="190" t="n">
        <f aca="false">SUM(Таблица32[[#This Row],[Pul oqimlari]:[Foyda va zarar]])*Таблица32[[#This Row],[Столбец7]]/100</f>
        <v>-8400</v>
      </c>
      <c r="AE230" s="191" t="n">
        <f aca="false">Таблица32[[#This Row],[Столбец7]]*Таблица32[[#This Row],[Nazoratchi]]%</f>
        <v>7000</v>
      </c>
      <c r="AF230" s="188" t="n">
        <f aca="false">Таблица32[[#This Row],[Ishga vaqtida kelish nazoratchi]]+Таблица32[[#This Row],[Nazoratchi2]]</f>
        <v>7000</v>
      </c>
      <c r="AG23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39200</v>
      </c>
      <c r="AH230" s="188" t="n">
        <f aca="false">Таблица32[[#This Row],[Ishga kelish bank klient3]]+Таблица32[[#This Row],[Gruppa bank klient 2]]</f>
        <v>0</v>
      </c>
    </row>
    <row r="231" customFormat="false" ht="17.35" hidden="false" customHeight="false" outlineLevel="0" collapsed="false">
      <c r="A231" s="112" t="n">
        <v>229</v>
      </c>
      <c r="B231" s="141" t="s">
        <v>437</v>
      </c>
      <c r="C231" s="141" t="s">
        <v>226</v>
      </c>
      <c r="D231" s="141"/>
      <c r="E231" s="150" t="n">
        <v>500000</v>
      </c>
      <c r="F231" s="113" t="s">
        <v>213</v>
      </c>
      <c r="G231" s="174"/>
      <c r="H231" s="184"/>
      <c r="I231" s="184"/>
      <c r="J231" s="174" t="n">
        <v>1</v>
      </c>
      <c r="K231" s="174"/>
      <c r="L231" s="180" t="n">
        <v>0.25</v>
      </c>
      <c r="M231" s="180" t="n">
        <v>0.25</v>
      </c>
      <c r="N231" s="180"/>
      <c r="O231" s="180"/>
      <c r="P231" s="180" t="n">
        <v>-0.25</v>
      </c>
      <c r="Q231" s="180" t="n">
        <v>0</v>
      </c>
      <c r="R231" s="180" t="n">
        <v>0</v>
      </c>
      <c r="S231" s="180" t="n">
        <v>0</v>
      </c>
      <c r="T231" s="180" t="n">
        <v>0</v>
      </c>
      <c r="U231" s="180" t="n">
        <v>0</v>
      </c>
      <c r="V231" s="117" t="n">
        <v>0.5</v>
      </c>
      <c r="W231" s="185" t="n">
        <f aca="false">Таблица32[[#This Row],[Столбец7]]*Таблица32[[#This Row],[Ishga kelish nazoratchi2]]%</f>
        <v>0</v>
      </c>
      <c r="X231" s="188" t="n">
        <f aca="false">Таблица32[[#This Row],[Столбец7]]*Таблица32[[#This Row],[Ishga vaqtida kelish ketish]]%</f>
        <v>0</v>
      </c>
      <c r="Y231" s="186" t="n">
        <f aca="false">Таблица32[[#This Row],[Столбец7]]*Таблица32[[#This Row],[Ishga kelish bank klient]]%</f>
        <v>0</v>
      </c>
      <c r="Z231" s="188" t="n">
        <f aca="false">Таблица32[[#This Row],[Столбец7]]*Таблица32[[#This Row],[Gruppa buxgalter]]%</f>
        <v>5000</v>
      </c>
      <c r="AA231" s="188" t="n">
        <f aca="false">Таблица32[[#This Row],[Столбец7]]*Таблица32[[#This Row],[Gruppa bank klient ]]%</f>
        <v>0</v>
      </c>
      <c r="AB231" s="188" t="n">
        <f aca="false">Таблица32[[#This Row],[1c]]*Таблица32[[#This Row],[Столбец7]]/100</f>
        <v>0</v>
      </c>
      <c r="AC231" s="187" t="n">
        <f aca="false">SUM(Таблица32[[#This Row],[Didox]:[ мехнат]],Таблица32[[#This Row],[Avtokameral]])*Таблица32[[#This Row],[Столбец7]]/100</f>
        <v>1250</v>
      </c>
      <c r="AD231" s="190" t="n">
        <f aca="false">SUM(Таблица32[[#This Row],[Pul oqimlari]:[Foyda va zarar]])*Таблица32[[#This Row],[Столбец7]]/100</f>
        <v>0</v>
      </c>
      <c r="AE231" s="191" t="n">
        <f aca="false">Таблица32[[#This Row],[Столбец7]]*Таблица32[[#This Row],[Nazoratchi]]%</f>
        <v>2500</v>
      </c>
      <c r="AF231" s="188" t="n">
        <f aca="false">Таблица32[[#This Row],[Ishga vaqtida kelish nazoratchi]]+Таблица32[[#This Row],[Nazoratchi2]]</f>
        <v>2500</v>
      </c>
      <c r="AG23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6250</v>
      </c>
      <c r="AH231" s="188" t="n">
        <f aca="false">Таблица32[[#This Row],[Ishga kelish bank klient3]]+Таблица32[[#This Row],[Gruppa bank klient 2]]</f>
        <v>0</v>
      </c>
    </row>
    <row r="232" customFormat="false" ht="17.35" hidden="false" customHeight="false" outlineLevel="0" collapsed="false">
      <c r="A232" s="112" t="n">
        <v>230</v>
      </c>
      <c r="B232" s="141" t="s">
        <v>438</v>
      </c>
      <c r="C232" s="141" t="s">
        <v>226</v>
      </c>
      <c r="D232" s="141" t="s">
        <v>240</v>
      </c>
      <c r="E232" s="150" t="n">
        <v>500000</v>
      </c>
      <c r="F232" s="113" t="s">
        <v>213</v>
      </c>
      <c r="G232" s="174"/>
      <c r="H232" s="184"/>
      <c r="I232" s="184"/>
      <c r="J232" s="174" t="n">
        <v>1</v>
      </c>
      <c r="K232" s="174" t="n">
        <v>1</v>
      </c>
      <c r="L232" s="180" t="n">
        <v>0.25</v>
      </c>
      <c r="M232" s="180" t="n">
        <v>0.25</v>
      </c>
      <c r="N232" s="180"/>
      <c r="O232" s="180" t="n">
        <v>1</v>
      </c>
      <c r="P232" s="180" t="n">
        <v>0.25</v>
      </c>
      <c r="Q232" s="180" t="n">
        <v>0</v>
      </c>
      <c r="R232" s="180" t="n">
        <v>0.2</v>
      </c>
      <c r="S232" s="180" t="n">
        <v>-0.2</v>
      </c>
      <c r="T232" s="180" t="n">
        <v>0</v>
      </c>
      <c r="U232" s="180" t="n">
        <v>0</v>
      </c>
      <c r="V232" s="117" t="n">
        <v>0.5</v>
      </c>
      <c r="W232" s="185" t="n">
        <f aca="false">Таблица32[[#This Row],[Столбец7]]*Таблица32[[#This Row],[Ishga kelish nazoratchi2]]%</f>
        <v>0</v>
      </c>
      <c r="X232" s="188" t="n">
        <f aca="false">Таблица32[[#This Row],[Столбец7]]*Таблица32[[#This Row],[Ishga vaqtida kelish ketish]]%</f>
        <v>0</v>
      </c>
      <c r="Y232" s="186" t="n">
        <f aca="false">Таблица32[[#This Row],[Столбец7]]*Таблица32[[#This Row],[Ishga kelish bank klient]]%</f>
        <v>0</v>
      </c>
      <c r="Z232" s="188" t="n">
        <f aca="false">Таблица32[[#This Row],[Столбец7]]*Таблица32[[#This Row],[Gruppa buxgalter]]%</f>
        <v>5000</v>
      </c>
      <c r="AA232" s="188" t="n">
        <f aca="false">Таблица32[[#This Row],[Столбец7]]*Таблица32[[#This Row],[Gruppa bank klient ]]%</f>
        <v>5000</v>
      </c>
      <c r="AB232" s="188" t="n">
        <f aca="false">Таблица32[[#This Row],[1c]]*Таблица32[[#This Row],[Столбец7]]/100</f>
        <v>5000</v>
      </c>
      <c r="AC232" s="187" t="n">
        <f aca="false">SUM(Таблица32[[#This Row],[Didox]:[ мехнат]],Таблица32[[#This Row],[Avtokameral]])*Таблица32[[#This Row],[Столбец7]]/100</f>
        <v>3750</v>
      </c>
      <c r="AD232" s="190" t="n">
        <f aca="false">SUM(Таблица32[[#This Row],[Pul oqimlari]:[Foyda va zarar]])*Таблица32[[#This Row],[Столбец7]]/100</f>
        <v>0</v>
      </c>
      <c r="AE232" s="191" t="n">
        <f aca="false">Таблица32[[#This Row],[Столбец7]]*Таблица32[[#This Row],[Nazoratchi]]%</f>
        <v>2500</v>
      </c>
      <c r="AF232" s="188" t="n">
        <f aca="false">Таблица32[[#This Row],[Ishga vaqtida kelish nazoratchi]]+Таблица32[[#This Row],[Nazoratchi2]]</f>
        <v>2500</v>
      </c>
      <c r="AG23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13750</v>
      </c>
      <c r="AH232" s="188" t="n">
        <f aca="false">Таблица32[[#This Row],[Ishga kelish bank klient3]]+Таблица32[[#This Row],[Gruppa bank klient 2]]</f>
        <v>5000</v>
      </c>
    </row>
    <row r="233" customFormat="false" ht="17.35" hidden="false" customHeight="false" outlineLevel="0" collapsed="false">
      <c r="A233" s="112" t="n">
        <v>231</v>
      </c>
      <c r="B233" s="141" t="s">
        <v>439</v>
      </c>
      <c r="C233" s="141" t="s">
        <v>212</v>
      </c>
      <c r="D233" s="141" t="s">
        <v>240</v>
      </c>
      <c r="E233" s="150" t="n">
        <v>2500000</v>
      </c>
      <c r="F233" s="113" t="s">
        <v>213</v>
      </c>
      <c r="G233" s="174"/>
      <c r="H233" s="184"/>
      <c r="I233" s="184"/>
      <c r="J233" s="174" t="n">
        <v>1</v>
      </c>
      <c r="K233" s="174" t="n">
        <v>1</v>
      </c>
      <c r="L233" s="180" t="n">
        <v>0.25</v>
      </c>
      <c r="M233" s="180" t="n">
        <v>0.25</v>
      </c>
      <c r="N233" s="180"/>
      <c r="O233" s="180"/>
      <c r="P233" s="180" t="n">
        <v>0.25</v>
      </c>
      <c r="Q233" s="180" t="n">
        <v>-0.2</v>
      </c>
      <c r="R233" s="180" t="n">
        <v>0.2</v>
      </c>
      <c r="S233" s="180" t="n">
        <v>0.2</v>
      </c>
      <c r="T233" s="180" t="n">
        <v>-0.2</v>
      </c>
      <c r="U233" s="180" t="n">
        <v>-0.2</v>
      </c>
      <c r="V233" s="117" t="n">
        <v>0.5</v>
      </c>
      <c r="W233" s="185" t="n">
        <f aca="false">Таблица32[[#This Row],[Столбец7]]*Таблица32[[#This Row],[Ishga kelish nazoratchi2]]%</f>
        <v>0</v>
      </c>
      <c r="X233" s="188" t="n">
        <f aca="false">Таблица32[[#This Row],[Столбец7]]*Таблица32[[#This Row],[Ishga vaqtida kelish ketish]]%</f>
        <v>0</v>
      </c>
      <c r="Y233" s="186" t="n">
        <f aca="false">Таблица32[[#This Row],[Столбец7]]*Таблица32[[#This Row],[Ishga kelish bank klient]]%</f>
        <v>0</v>
      </c>
      <c r="Z233" s="188" t="n">
        <f aca="false">Таблица32[[#This Row],[Столбец7]]*Таблица32[[#This Row],[Gruppa buxgalter]]%</f>
        <v>25000</v>
      </c>
      <c r="AA233" s="188" t="n">
        <f aca="false">Таблица32[[#This Row],[Столбец7]]*Таблица32[[#This Row],[Gruppa bank klient ]]%</f>
        <v>25000</v>
      </c>
      <c r="AB233" s="188" t="n">
        <f aca="false">Таблица32[[#This Row],[1c]]*Таблица32[[#This Row],[Столбец7]]/100</f>
        <v>0</v>
      </c>
      <c r="AC233" s="187" t="n">
        <f aca="false">SUM(Таблица32[[#This Row],[Didox]:[ мехнат]],Таблица32[[#This Row],[Avtokameral]])*Таблица32[[#This Row],[Столбец7]]/100</f>
        <v>18750</v>
      </c>
      <c r="AD233" s="190" t="n">
        <f aca="false">SUM(Таблица32[[#This Row],[Pul oqimlari]:[Foyda va zarar]])*Таблица32[[#This Row],[Столбец7]]/100</f>
        <v>-5000</v>
      </c>
      <c r="AE233" s="191" t="n">
        <f aca="false">Таблица32[[#This Row],[Столбец7]]*Таблица32[[#This Row],[Nazoratchi]]%</f>
        <v>12500</v>
      </c>
      <c r="AF233" s="188" t="n">
        <f aca="false">Таблица32[[#This Row],[Ishga vaqtida kelish nazoratchi]]+Таблица32[[#This Row],[Nazoratchi2]]</f>
        <v>12500</v>
      </c>
      <c r="AG23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38750</v>
      </c>
      <c r="AH233" s="188" t="n">
        <f aca="false">Таблица32[[#This Row],[Ishga kelish bank klient3]]+Таблица32[[#This Row],[Gruppa bank klient 2]]</f>
        <v>25000</v>
      </c>
    </row>
    <row r="234" customFormat="false" ht="17.35" hidden="false" customHeight="false" outlineLevel="0" collapsed="false">
      <c r="A234" s="112" t="n">
        <v>232</v>
      </c>
      <c r="B234" s="141" t="s">
        <v>440</v>
      </c>
      <c r="C234" s="141" t="s">
        <v>226</v>
      </c>
      <c r="D234" s="141"/>
      <c r="E234" s="150" t="n">
        <v>500000</v>
      </c>
      <c r="F234" s="113" t="s">
        <v>213</v>
      </c>
      <c r="G234" s="174"/>
      <c r="H234" s="184"/>
      <c r="I234" s="184"/>
      <c r="J234" s="174" t="n">
        <v>1</v>
      </c>
      <c r="K234" s="174"/>
      <c r="L234" s="180" t="n">
        <v>0.25</v>
      </c>
      <c r="M234" s="180" t="n">
        <v>0.25</v>
      </c>
      <c r="N234" s="180"/>
      <c r="O234" s="180"/>
      <c r="P234" s="180" t="n">
        <v>0.25</v>
      </c>
      <c r="Q234" s="180" t="n">
        <v>0</v>
      </c>
      <c r="R234" s="180" t="n">
        <v>0.2</v>
      </c>
      <c r="S234" s="180" t="n">
        <v>-0.2</v>
      </c>
      <c r="T234" s="180" t="n">
        <v>0</v>
      </c>
      <c r="U234" s="180" t="n">
        <v>0</v>
      </c>
      <c r="V234" s="117" t="n">
        <v>0.5</v>
      </c>
      <c r="W234" s="185" t="n">
        <f aca="false">Таблица32[[#This Row],[Столбец7]]*Таблица32[[#This Row],[Ishga kelish nazoratchi2]]%</f>
        <v>0</v>
      </c>
      <c r="X234" s="188" t="n">
        <f aca="false">Таблица32[[#This Row],[Столбец7]]*Таблица32[[#This Row],[Ishga vaqtida kelish ketish]]%</f>
        <v>0</v>
      </c>
      <c r="Y234" s="186" t="n">
        <f aca="false">Таблица32[[#This Row],[Столбец7]]*Таблица32[[#This Row],[Ishga kelish bank klient]]%</f>
        <v>0</v>
      </c>
      <c r="Z234" s="188" t="n">
        <f aca="false">Таблица32[[#This Row],[Столбец7]]*Таблица32[[#This Row],[Gruppa buxgalter]]%</f>
        <v>5000</v>
      </c>
      <c r="AA234" s="188" t="n">
        <f aca="false">Таблица32[[#This Row],[Столбец7]]*Таблица32[[#This Row],[Gruppa bank klient ]]%</f>
        <v>0</v>
      </c>
      <c r="AB234" s="188" t="n">
        <f aca="false">Таблица32[[#This Row],[1c]]*Таблица32[[#This Row],[Столбец7]]/100</f>
        <v>0</v>
      </c>
      <c r="AC234" s="187" t="n">
        <f aca="false">SUM(Таблица32[[#This Row],[Didox]:[ мехнат]],Таблица32[[#This Row],[Avtokameral]])*Таблица32[[#This Row],[Столбец7]]/100</f>
        <v>3750</v>
      </c>
      <c r="AD234" s="190" t="n">
        <f aca="false">SUM(Таблица32[[#This Row],[Pul oqimlari]:[Foyda va zarar]])*Таблица32[[#This Row],[Столбец7]]/100</f>
        <v>0</v>
      </c>
      <c r="AE234" s="191" t="n">
        <f aca="false">Таблица32[[#This Row],[Столбец7]]*Таблица32[[#This Row],[Nazoratchi]]%</f>
        <v>2500</v>
      </c>
      <c r="AF234" s="188" t="n">
        <f aca="false">Таблица32[[#This Row],[Ishga vaqtida kelish nazoratchi]]+Таблица32[[#This Row],[Nazoratchi2]]</f>
        <v>2500</v>
      </c>
      <c r="AG23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8750</v>
      </c>
      <c r="AH234" s="188" t="n">
        <f aca="false">Таблица32[[#This Row],[Ishga kelish bank klient3]]+Таблица32[[#This Row],[Gruppa bank klient 2]]</f>
        <v>0</v>
      </c>
    </row>
    <row r="235" customFormat="false" ht="17.35" hidden="false" customHeight="false" outlineLevel="0" collapsed="false">
      <c r="A235" s="112" t="n">
        <v>233</v>
      </c>
      <c r="B235" s="141" t="s">
        <v>441</v>
      </c>
      <c r="C235" s="141" t="s">
        <v>226</v>
      </c>
      <c r="D235" s="141" t="s">
        <v>238</v>
      </c>
      <c r="E235" s="150" t="n">
        <v>900000</v>
      </c>
      <c r="F235" s="113" t="s">
        <v>213</v>
      </c>
      <c r="G235" s="174"/>
      <c r="H235" s="174" t="n">
        <v>1</v>
      </c>
      <c r="I235" s="184"/>
      <c r="J235" s="174" t="n">
        <v>1</v>
      </c>
      <c r="K235" s="174" t="n">
        <v>1</v>
      </c>
      <c r="L235" s="180" t="n">
        <v>0.25</v>
      </c>
      <c r="M235" s="180" t="n">
        <v>0.25</v>
      </c>
      <c r="N235" s="180"/>
      <c r="O235" s="180" t="n">
        <v>1</v>
      </c>
      <c r="P235" s="180" t="n">
        <v>0.25</v>
      </c>
      <c r="Q235" s="180" t="n">
        <v>0.2</v>
      </c>
      <c r="R235" s="180" t="n">
        <v>0.2</v>
      </c>
      <c r="S235" s="180" t="n">
        <v>0</v>
      </c>
      <c r="T235" s="180" t="n">
        <v>0.2</v>
      </c>
      <c r="U235" s="180" t="n">
        <v>0.2</v>
      </c>
      <c r="V235" s="117" t="n">
        <v>0.5</v>
      </c>
      <c r="W235" s="185" t="n">
        <f aca="false">Таблица32[[#This Row],[Столбец7]]*Таблица32[[#This Row],[Ishga kelish nazoratchi2]]%</f>
        <v>0</v>
      </c>
      <c r="X235" s="188" t="n">
        <f aca="false">Таблица32[[#This Row],[Столбец7]]*Таблица32[[#This Row],[Ishga vaqtida kelish ketish]]%</f>
        <v>0</v>
      </c>
      <c r="Y235" s="186" t="n">
        <f aca="false">Таблица32[[#This Row],[Столбец7]]*Таблица32[[#This Row],[Ishga kelish bank klient]]%</f>
        <v>9000</v>
      </c>
      <c r="Z235" s="188" t="n">
        <f aca="false">Таблица32[[#This Row],[Столбец7]]*Таблица32[[#This Row],[Gruppa buxgalter]]%</f>
        <v>9000</v>
      </c>
      <c r="AA235" s="188" t="n">
        <f aca="false">Таблица32[[#This Row],[Столбец7]]*Таблица32[[#This Row],[Gruppa bank klient ]]%</f>
        <v>9000</v>
      </c>
      <c r="AB235" s="188" t="n">
        <f aca="false">Таблица32[[#This Row],[1c]]*Таблица32[[#This Row],[Столбец7]]/100</f>
        <v>9000</v>
      </c>
      <c r="AC235" s="187" t="n">
        <f aca="false">SUM(Таблица32[[#This Row],[Didox]:[ мехнат]],Таблица32[[#This Row],[Avtokameral]])*Таблица32[[#This Row],[Столбец7]]/100</f>
        <v>6750</v>
      </c>
      <c r="AD235" s="190" t="n">
        <f aca="false">SUM(Таблица32[[#This Row],[Pul oqimlari]:[Foyda va zarar]])*Таблица32[[#This Row],[Столбец7]]/100</f>
        <v>7200</v>
      </c>
      <c r="AE235" s="191" t="n">
        <f aca="false">Таблица32[[#This Row],[Столбец7]]*Таблица32[[#This Row],[Nazoratchi]]%</f>
        <v>4500</v>
      </c>
      <c r="AF235" s="188" t="n">
        <f aca="false">Таблица32[[#This Row],[Ishga vaqtida kelish nazoratchi]]+Таблица32[[#This Row],[Nazoratchi2]]</f>
        <v>4500</v>
      </c>
      <c r="AG23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31950</v>
      </c>
      <c r="AH235" s="188" t="n">
        <f aca="false">Таблица32[[#This Row],[Ishga kelish bank klient3]]+Таблица32[[#This Row],[Gruppa bank klient 2]]</f>
        <v>18000</v>
      </c>
    </row>
    <row r="236" customFormat="false" ht="17.35" hidden="false" customHeight="false" outlineLevel="0" collapsed="false">
      <c r="A236" s="112" t="n">
        <v>234</v>
      </c>
      <c r="B236" s="141" t="s">
        <v>442</v>
      </c>
      <c r="C236" s="141" t="s">
        <v>229</v>
      </c>
      <c r="D236" s="141" t="s">
        <v>240</v>
      </c>
      <c r="E236" s="150" t="n">
        <v>700000</v>
      </c>
      <c r="F236" s="113" t="s">
        <v>213</v>
      </c>
      <c r="G236" s="174" t="n">
        <v>-1.05</v>
      </c>
      <c r="H236" s="184"/>
      <c r="I236" s="184"/>
      <c r="J236" s="174" t="n">
        <v>1</v>
      </c>
      <c r="K236" s="174" t="n">
        <v>1</v>
      </c>
      <c r="L236" s="180" t="n">
        <v>0.25</v>
      </c>
      <c r="M236" s="180" t="n">
        <v>0.25</v>
      </c>
      <c r="N236" s="180"/>
      <c r="O236" s="180" t="n">
        <v>-1</v>
      </c>
      <c r="P236" s="180" t="n">
        <v>0.25</v>
      </c>
      <c r="Q236" s="180" t="n">
        <v>0</v>
      </c>
      <c r="R236" s="180" t="n">
        <v>-0.2</v>
      </c>
      <c r="S236" s="180" t="n">
        <v>-0.2</v>
      </c>
      <c r="T236" s="180" t="n">
        <v>0</v>
      </c>
      <c r="U236" s="180" t="n">
        <v>0</v>
      </c>
      <c r="V236" s="117" t="n">
        <v>0.5</v>
      </c>
      <c r="W236" s="185" t="n">
        <f aca="false">Таблица32[[#This Row],[Столбец7]]*Таблица32[[#This Row],[Ishga kelish nazoratchi2]]%</f>
        <v>0</v>
      </c>
      <c r="X236" s="188" t="n">
        <f aca="false">Таблица32[[#This Row],[Столбец7]]*Таблица32[[#This Row],[Ishga vaqtida kelish ketish]]%</f>
        <v>-7350</v>
      </c>
      <c r="Y236" s="186" t="n">
        <f aca="false">Таблица32[[#This Row],[Столбец7]]*Таблица32[[#This Row],[Ishga kelish bank klient]]%</f>
        <v>0</v>
      </c>
      <c r="Z236" s="188" t="n">
        <f aca="false">Таблица32[[#This Row],[Столбец7]]*Таблица32[[#This Row],[Gruppa buxgalter]]%</f>
        <v>7000</v>
      </c>
      <c r="AA236" s="188" t="n">
        <f aca="false">Таблица32[[#This Row],[Столбец7]]*Таблица32[[#This Row],[Gruppa bank klient ]]%</f>
        <v>7000</v>
      </c>
      <c r="AB236" s="188" t="n">
        <f aca="false">Таблица32[[#This Row],[1c]]*Таблица32[[#This Row],[Столбец7]]/100</f>
        <v>-7000</v>
      </c>
      <c r="AC236" s="187" t="n">
        <f aca="false">SUM(Таблица32[[#This Row],[Didox]:[ мехнат]],Таблица32[[#This Row],[Avtokameral]])*Таблица32[[#This Row],[Столбец7]]/100</f>
        <v>5250</v>
      </c>
      <c r="AD236" s="190" t="n">
        <f aca="false">SUM(Таблица32[[#This Row],[Pul oqimlari]:[Foyda va zarar]])*Таблица32[[#This Row],[Столбец7]]/100</f>
        <v>-2800</v>
      </c>
      <c r="AE236" s="191" t="n">
        <f aca="false">Таблица32[[#This Row],[Столбец7]]*Таблица32[[#This Row],[Nazoratchi]]%</f>
        <v>3500</v>
      </c>
      <c r="AF236" s="188" t="n">
        <f aca="false">Таблица32[[#This Row],[Ishga vaqtida kelish nazoratchi]]+Таблица32[[#This Row],[Nazoratchi2]]</f>
        <v>3500</v>
      </c>
      <c r="AG23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-4900</v>
      </c>
      <c r="AH236" s="188" t="n">
        <f aca="false">Таблица32[[#This Row],[Ishga kelish bank klient3]]+Таблица32[[#This Row],[Gruppa bank klient 2]]</f>
        <v>7000</v>
      </c>
    </row>
    <row r="237" customFormat="false" ht="17.35" hidden="false" customHeight="false" outlineLevel="0" collapsed="false">
      <c r="A237" s="112" t="n">
        <v>235</v>
      </c>
      <c r="B237" s="141" t="s">
        <v>443</v>
      </c>
      <c r="C237" s="141" t="s">
        <v>229</v>
      </c>
      <c r="D237" s="141"/>
      <c r="E237" s="150" t="n">
        <v>1000000</v>
      </c>
      <c r="F237" s="113" t="s">
        <v>213</v>
      </c>
      <c r="G237" s="174" t="n">
        <v>-1.05</v>
      </c>
      <c r="H237" s="184"/>
      <c r="I237" s="184"/>
      <c r="J237" s="174" t="n">
        <v>1</v>
      </c>
      <c r="K237" s="174"/>
      <c r="L237" s="180" t="n">
        <v>0.25</v>
      </c>
      <c r="M237" s="180" t="n">
        <v>-0.25</v>
      </c>
      <c r="N237" s="180"/>
      <c r="O237" s="180" t="n">
        <v>-1</v>
      </c>
      <c r="P237" s="180" t="n">
        <v>0.25</v>
      </c>
      <c r="Q237" s="180" t="n">
        <v>-0.2</v>
      </c>
      <c r="R237" s="180" t="n">
        <v>-0.2</v>
      </c>
      <c r="S237" s="180" t="n">
        <v>-0.2</v>
      </c>
      <c r="T237" s="180" t="n">
        <v>-0.2</v>
      </c>
      <c r="U237" s="180" t="n">
        <v>-0.2</v>
      </c>
      <c r="V237" s="117" t="n">
        <v>0.5</v>
      </c>
      <c r="W237" s="185" t="n">
        <f aca="false">Таблица32[[#This Row],[Столбец7]]*Таблица32[[#This Row],[Ishga kelish nazoratchi2]]%</f>
        <v>0</v>
      </c>
      <c r="X237" s="188" t="n">
        <f aca="false">Таблица32[[#This Row],[Столбец7]]*Таблица32[[#This Row],[Ishga vaqtida kelish ketish]]%</f>
        <v>-10500</v>
      </c>
      <c r="Y237" s="186" t="n">
        <f aca="false">Таблица32[[#This Row],[Столбец7]]*Таблица32[[#This Row],[Ishga kelish bank klient]]%</f>
        <v>0</v>
      </c>
      <c r="Z237" s="188" t="n">
        <f aca="false">Таблица32[[#This Row],[Столбец7]]*Таблица32[[#This Row],[Gruppa buxgalter]]%</f>
        <v>10000</v>
      </c>
      <c r="AA237" s="188" t="n">
        <f aca="false">Таблица32[[#This Row],[Столбец7]]*Таблица32[[#This Row],[Gruppa bank klient ]]%</f>
        <v>0</v>
      </c>
      <c r="AB237" s="188" t="n">
        <f aca="false">Таблица32[[#This Row],[1c]]*Таблица32[[#This Row],[Столбец7]]/100</f>
        <v>-10000</v>
      </c>
      <c r="AC237" s="187" t="n">
        <f aca="false">SUM(Таблица32[[#This Row],[Didox]:[ мехнат]],Таблица32[[#This Row],[Avtokameral]])*Таблица32[[#This Row],[Столбец7]]/100</f>
        <v>2500</v>
      </c>
      <c r="AD237" s="190" t="n">
        <f aca="false">SUM(Таблица32[[#This Row],[Pul oqimlari]:[Foyda va zarar]])*Таблица32[[#This Row],[Столбец7]]/100</f>
        <v>-10000</v>
      </c>
      <c r="AE237" s="191" t="n">
        <f aca="false">Таблица32[[#This Row],[Столбец7]]*Таблица32[[#This Row],[Nazoratchi]]%</f>
        <v>5000</v>
      </c>
      <c r="AF237" s="188" t="n">
        <f aca="false">Таблица32[[#This Row],[Ishga vaqtida kelish nazoratchi]]+Таблица32[[#This Row],[Nazoratchi2]]</f>
        <v>5000</v>
      </c>
      <c r="AG23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-18000</v>
      </c>
      <c r="AH237" s="188" t="n">
        <f aca="false">Таблица32[[#This Row],[Ishga kelish bank klient3]]+Таблица32[[#This Row],[Gruppa bank klient 2]]</f>
        <v>0</v>
      </c>
    </row>
    <row r="238" customFormat="false" ht="17.35" hidden="false" customHeight="false" outlineLevel="0" collapsed="false">
      <c r="A238" s="112" t="n">
        <v>236</v>
      </c>
      <c r="B238" s="141" t="s">
        <v>444</v>
      </c>
      <c r="C238" s="141" t="s">
        <v>229</v>
      </c>
      <c r="D238" s="141" t="s">
        <v>240</v>
      </c>
      <c r="E238" s="150" t="n">
        <v>700000</v>
      </c>
      <c r="F238" s="113" t="s">
        <v>213</v>
      </c>
      <c r="G238" s="174" t="n">
        <v>-1.05</v>
      </c>
      <c r="H238" s="184"/>
      <c r="I238" s="184"/>
      <c r="J238" s="174" t="n">
        <v>1</v>
      </c>
      <c r="K238" s="174" t="n">
        <v>1</v>
      </c>
      <c r="L238" s="180" t="n">
        <v>0.25</v>
      </c>
      <c r="M238" s="180" t="n">
        <v>0.25</v>
      </c>
      <c r="N238" s="180"/>
      <c r="O238" s="180" t="n">
        <v>-1</v>
      </c>
      <c r="P238" s="180" t="n">
        <v>0.25</v>
      </c>
      <c r="Q238" s="180" t="n">
        <v>-0.2</v>
      </c>
      <c r="R238" s="180" t="n">
        <v>-0.2</v>
      </c>
      <c r="S238" s="180" t="n">
        <v>-0.2</v>
      </c>
      <c r="T238" s="180" t="n">
        <v>-0.2</v>
      </c>
      <c r="U238" s="180" t="n">
        <v>-0.2</v>
      </c>
      <c r="V238" s="117" t="n">
        <v>0.5</v>
      </c>
      <c r="W238" s="185" t="n">
        <f aca="false">Таблица32[[#This Row],[Столбец7]]*Таблица32[[#This Row],[Ishga kelish nazoratchi2]]%</f>
        <v>0</v>
      </c>
      <c r="X238" s="188" t="n">
        <f aca="false">Таблица32[[#This Row],[Столбец7]]*Таблица32[[#This Row],[Ishga vaqtida kelish ketish]]%</f>
        <v>-7350</v>
      </c>
      <c r="Y238" s="186" t="n">
        <f aca="false">Таблица32[[#This Row],[Столбец7]]*Таблица32[[#This Row],[Ishga kelish bank klient]]%</f>
        <v>0</v>
      </c>
      <c r="Z238" s="188" t="n">
        <f aca="false">Таблица32[[#This Row],[Столбец7]]*Таблица32[[#This Row],[Gruppa buxgalter]]%</f>
        <v>7000</v>
      </c>
      <c r="AA238" s="188" t="n">
        <f aca="false">Таблица32[[#This Row],[Столбец7]]*Таблица32[[#This Row],[Gruppa bank klient ]]%</f>
        <v>7000</v>
      </c>
      <c r="AB238" s="188" t="n">
        <f aca="false">Таблица32[[#This Row],[1c]]*Таблица32[[#This Row],[Столбец7]]/100</f>
        <v>-7000</v>
      </c>
      <c r="AC238" s="187" t="n">
        <f aca="false">SUM(Таблица32[[#This Row],[Didox]:[ мехнат]],Таблица32[[#This Row],[Avtokameral]])*Таблица32[[#This Row],[Столбец7]]/100</f>
        <v>5250</v>
      </c>
      <c r="AD238" s="190" t="n">
        <f aca="false">SUM(Таблица32[[#This Row],[Pul oqimlari]:[Foyda va zarar]])*Таблица32[[#This Row],[Столбец7]]/100</f>
        <v>-7000</v>
      </c>
      <c r="AE238" s="191" t="n">
        <f aca="false">Таблица32[[#This Row],[Столбец7]]*Таблица32[[#This Row],[Nazoratchi]]%</f>
        <v>3500</v>
      </c>
      <c r="AF238" s="188" t="n">
        <f aca="false">Таблица32[[#This Row],[Ishga vaqtida kelish nazoratchi]]+Таблица32[[#This Row],[Nazoratchi2]]</f>
        <v>3500</v>
      </c>
      <c r="AG23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-9100</v>
      </c>
      <c r="AH238" s="188" t="n">
        <f aca="false">Таблица32[[#This Row],[Ishga kelish bank klient3]]+Таблица32[[#This Row],[Gruppa bank klient 2]]</f>
        <v>7000</v>
      </c>
    </row>
    <row r="239" customFormat="false" ht="17.35" hidden="false" customHeight="false" outlineLevel="0" collapsed="false">
      <c r="A239" s="112" t="n">
        <v>237</v>
      </c>
      <c r="B239" s="141" t="s">
        <v>445</v>
      </c>
      <c r="C239" s="141" t="s">
        <v>229</v>
      </c>
      <c r="D239" s="141" t="s">
        <v>240</v>
      </c>
      <c r="E239" s="150" t="n">
        <v>1300000</v>
      </c>
      <c r="F239" s="113" t="s">
        <v>213</v>
      </c>
      <c r="G239" s="174" t="n">
        <v>-1.05</v>
      </c>
      <c r="H239" s="184"/>
      <c r="I239" s="184"/>
      <c r="J239" s="174" t="n">
        <v>1</v>
      </c>
      <c r="K239" s="174" t="n">
        <v>1</v>
      </c>
      <c r="L239" s="180" t="n">
        <v>0.25</v>
      </c>
      <c r="M239" s="180" t="n">
        <v>0.25</v>
      </c>
      <c r="N239" s="180"/>
      <c r="O239" s="180" t="n">
        <v>-1</v>
      </c>
      <c r="P239" s="180" t="n">
        <v>0.25</v>
      </c>
      <c r="Q239" s="180" t="n">
        <v>0</v>
      </c>
      <c r="R239" s="180" t="n">
        <v>-0.2</v>
      </c>
      <c r="S239" s="180" t="n">
        <v>0.2</v>
      </c>
      <c r="T239" s="180" t="n">
        <v>0.2</v>
      </c>
      <c r="U239" s="180" t="n">
        <v>0</v>
      </c>
      <c r="V239" s="117" t="n">
        <v>0.5</v>
      </c>
      <c r="W239" s="185" t="n">
        <f aca="false">Таблица32[[#This Row],[Столбец7]]*Таблица32[[#This Row],[Ishga kelish nazoratchi2]]%</f>
        <v>0</v>
      </c>
      <c r="X239" s="188" t="n">
        <f aca="false">Таблица32[[#This Row],[Столбец7]]*Таблица32[[#This Row],[Ishga vaqtida kelish ketish]]%</f>
        <v>-13650</v>
      </c>
      <c r="Y239" s="186" t="n">
        <f aca="false">Таблица32[[#This Row],[Столбец7]]*Таблица32[[#This Row],[Ishga kelish bank klient]]%</f>
        <v>0</v>
      </c>
      <c r="Z239" s="188" t="n">
        <f aca="false">Таблица32[[#This Row],[Столбец7]]*Таблица32[[#This Row],[Gruppa buxgalter]]%</f>
        <v>13000</v>
      </c>
      <c r="AA239" s="188" t="n">
        <f aca="false">Таблица32[[#This Row],[Столбец7]]*Таблица32[[#This Row],[Gruppa bank klient ]]%</f>
        <v>13000</v>
      </c>
      <c r="AB239" s="188" t="n">
        <f aca="false">Таблица32[[#This Row],[1c]]*Таблица32[[#This Row],[Столбец7]]/100</f>
        <v>-13000</v>
      </c>
      <c r="AC239" s="187" t="n">
        <f aca="false">SUM(Таблица32[[#This Row],[Didox]:[ мехнат]],Таблица32[[#This Row],[Avtokameral]])*Таблица32[[#This Row],[Столбец7]]/100</f>
        <v>9750</v>
      </c>
      <c r="AD239" s="190" t="n">
        <f aca="false">SUM(Таблица32[[#This Row],[Pul oqimlari]:[Foyda va zarar]])*Таблица32[[#This Row],[Столбец7]]/100</f>
        <v>2600</v>
      </c>
      <c r="AE239" s="191" t="n">
        <f aca="false">Таблица32[[#This Row],[Столбец7]]*Таблица32[[#This Row],[Nazoratchi]]%</f>
        <v>6500</v>
      </c>
      <c r="AF239" s="188" t="n">
        <f aca="false">Таблица32[[#This Row],[Ishga vaqtida kelish nazoratchi]]+Таблица32[[#This Row],[Nazoratchi2]]</f>
        <v>6500</v>
      </c>
      <c r="AG23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-1300</v>
      </c>
      <c r="AH239" s="188" t="n">
        <f aca="false">Таблица32[[#This Row],[Ishga kelish bank klient3]]+Таблица32[[#This Row],[Gruppa bank klient 2]]</f>
        <v>13000</v>
      </c>
    </row>
    <row r="240" customFormat="false" ht="17.35" hidden="false" customHeight="false" outlineLevel="0" collapsed="false">
      <c r="A240" s="112" t="n">
        <v>238</v>
      </c>
      <c r="B240" s="141" t="s">
        <v>446</v>
      </c>
      <c r="C240" s="141" t="s">
        <v>229</v>
      </c>
      <c r="D240" s="141" t="s">
        <v>240</v>
      </c>
      <c r="E240" s="150" t="n">
        <v>1300000</v>
      </c>
      <c r="F240" s="113" t="s">
        <v>213</v>
      </c>
      <c r="G240" s="174" t="n">
        <v>-1.05</v>
      </c>
      <c r="H240" s="184"/>
      <c r="I240" s="184"/>
      <c r="J240" s="174" t="n">
        <v>1</v>
      </c>
      <c r="K240" s="174" t="n">
        <v>1</v>
      </c>
      <c r="L240" s="180" t="n">
        <v>0.25</v>
      </c>
      <c r="M240" s="180" t="n">
        <v>-0.25</v>
      </c>
      <c r="N240" s="180"/>
      <c r="O240" s="180" t="n">
        <v>-1</v>
      </c>
      <c r="P240" s="180" t="n">
        <v>0.25</v>
      </c>
      <c r="Q240" s="180" t="n">
        <v>0</v>
      </c>
      <c r="R240" s="180" t="n">
        <v>-0.2</v>
      </c>
      <c r="S240" s="180" t="n">
        <v>0.2</v>
      </c>
      <c r="T240" s="180" t="n">
        <v>0</v>
      </c>
      <c r="U240" s="180" t="n">
        <v>0</v>
      </c>
      <c r="V240" s="117" t="n">
        <v>0.5</v>
      </c>
      <c r="W240" s="185" t="n">
        <f aca="false">Таблица32[[#This Row],[Столбец7]]*Таблица32[[#This Row],[Ishga kelish nazoratchi2]]%</f>
        <v>0</v>
      </c>
      <c r="X240" s="188" t="n">
        <f aca="false">Таблица32[[#This Row],[Столбец7]]*Таблица32[[#This Row],[Ishga vaqtida kelish ketish]]%</f>
        <v>-13650</v>
      </c>
      <c r="Y240" s="186" t="n">
        <f aca="false">Таблица32[[#This Row],[Столбец7]]*Таблица32[[#This Row],[Ishga kelish bank klient]]%</f>
        <v>0</v>
      </c>
      <c r="Z240" s="188" t="n">
        <f aca="false">Таблица32[[#This Row],[Столбец7]]*Таблица32[[#This Row],[Gruppa buxgalter]]%</f>
        <v>13000</v>
      </c>
      <c r="AA240" s="188" t="n">
        <f aca="false">Таблица32[[#This Row],[Столбец7]]*Таблица32[[#This Row],[Gruppa bank klient ]]%</f>
        <v>13000</v>
      </c>
      <c r="AB240" s="188" t="n">
        <f aca="false">Таблица32[[#This Row],[1c]]*Таблица32[[#This Row],[Столбец7]]/100</f>
        <v>-13000</v>
      </c>
      <c r="AC240" s="187" t="n">
        <f aca="false">SUM(Таблица32[[#This Row],[Didox]:[ мехнат]],Таблица32[[#This Row],[Avtokameral]])*Таблица32[[#This Row],[Столбец7]]/100</f>
        <v>3250</v>
      </c>
      <c r="AD240" s="190" t="n">
        <f aca="false">SUM(Таблица32[[#This Row],[Pul oqimlari]:[Foyda va zarar]])*Таблица32[[#This Row],[Столбец7]]/100</f>
        <v>0</v>
      </c>
      <c r="AE240" s="191" t="n">
        <f aca="false">Таблица32[[#This Row],[Столбец7]]*Таблица32[[#This Row],[Nazoratchi]]%</f>
        <v>6500</v>
      </c>
      <c r="AF240" s="188" t="n">
        <f aca="false">Таблица32[[#This Row],[Ishga vaqtida kelish nazoratchi]]+Таблица32[[#This Row],[Nazoratchi2]]</f>
        <v>6500</v>
      </c>
      <c r="AG24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-10400</v>
      </c>
      <c r="AH240" s="188" t="n">
        <f aca="false">Таблица32[[#This Row],[Ishga kelish bank klient3]]+Таблица32[[#This Row],[Gruppa bank klient 2]]</f>
        <v>13000</v>
      </c>
    </row>
    <row r="241" customFormat="false" ht="17.35" hidden="false" customHeight="false" outlineLevel="0" collapsed="false">
      <c r="A241" s="112" t="n">
        <v>239</v>
      </c>
      <c r="B241" s="141" t="s">
        <v>447</v>
      </c>
      <c r="C241" s="141" t="s">
        <v>229</v>
      </c>
      <c r="D241" s="141" t="s">
        <v>240</v>
      </c>
      <c r="E241" s="150" t="n">
        <v>8000000</v>
      </c>
      <c r="F241" s="113" t="s">
        <v>213</v>
      </c>
      <c r="G241" s="174" t="n">
        <v>-1.05</v>
      </c>
      <c r="H241" s="184"/>
      <c r="I241" s="184"/>
      <c r="J241" s="174" t="n">
        <v>1</v>
      </c>
      <c r="K241" s="174" t="n">
        <v>1</v>
      </c>
      <c r="L241" s="180" t="n">
        <v>0.25</v>
      </c>
      <c r="M241" s="180" t="n">
        <v>0.25</v>
      </c>
      <c r="N241" s="180"/>
      <c r="O241" s="180" t="n">
        <v>-1</v>
      </c>
      <c r="P241" s="180" t="n">
        <v>0.25</v>
      </c>
      <c r="Q241" s="180" t="n">
        <v>-0.2</v>
      </c>
      <c r="R241" s="180" t="n">
        <v>-0.2</v>
      </c>
      <c r="S241" s="180" t="n">
        <v>0.2</v>
      </c>
      <c r="T241" s="180" t="n">
        <v>0.2</v>
      </c>
      <c r="U241" s="180" t="n">
        <v>-0.2</v>
      </c>
      <c r="V241" s="117" t="n">
        <v>0.5</v>
      </c>
      <c r="W241" s="185" t="n">
        <f aca="false">Таблица32[[#This Row],[Столбец7]]*Таблица32[[#This Row],[Ishga kelish nazoratchi2]]%</f>
        <v>0</v>
      </c>
      <c r="X241" s="188" t="n">
        <f aca="false">Таблица32[[#This Row],[Столбец7]]*Таблица32[[#This Row],[Ishga vaqtida kelish ketish]]%</f>
        <v>-84000</v>
      </c>
      <c r="Y241" s="186" t="n">
        <f aca="false">Таблица32[[#This Row],[Столбец7]]*Таблица32[[#This Row],[Ishga kelish bank klient]]%</f>
        <v>0</v>
      </c>
      <c r="Z241" s="188" t="n">
        <f aca="false">Таблица32[[#This Row],[Столбец7]]*Таблица32[[#This Row],[Gruppa buxgalter]]%</f>
        <v>80000</v>
      </c>
      <c r="AA241" s="188" t="n">
        <f aca="false">Таблица32[[#This Row],[Столбец7]]*Таблица32[[#This Row],[Gruppa bank klient ]]%</f>
        <v>80000</v>
      </c>
      <c r="AB241" s="188" t="n">
        <f aca="false">Таблица32[[#This Row],[1c]]*Таблица32[[#This Row],[Столбец7]]/100</f>
        <v>-80000</v>
      </c>
      <c r="AC241" s="187" t="n">
        <f aca="false">SUM(Таблица32[[#This Row],[Didox]:[ мехнат]],Таблица32[[#This Row],[Avtokameral]])*Таблица32[[#This Row],[Столбец7]]/100</f>
        <v>60000</v>
      </c>
      <c r="AD241" s="190" t="n">
        <f aca="false">SUM(Таблица32[[#This Row],[Pul oqimlari]:[Foyda va zarar]])*Таблица32[[#This Row],[Столбец7]]/100</f>
        <v>-16000</v>
      </c>
      <c r="AE241" s="191" t="n">
        <f aca="false">Таблица32[[#This Row],[Столбец7]]*Таблица32[[#This Row],[Nazoratchi]]%</f>
        <v>40000</v>
      </c>
      <c r="AF241" s="188" t="n">
        <f aca="false">Таблица32[[#This Row],[Ishga vaqtida kelish nazoratchi]]+Таблица32[[#This Row],[Nazoratchi2]]</f>
        <v>40000</v>
      </c>
      <c r="AG24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-40000</v>
      </c>
      <c r="AH241" s="188" t="n">
        <f aca="false">Таблица32[[#This Row],[Ishga kelish bank klient3]]+Таблица32[[#This Row],[Gruppa bank klient 2]]</f>
        <v>80000</v>
      </c>
    </row>
    <row r="242" customFormat="false" ht="17.35" hidden="false" customHeight="false" outlineLevel="0" collapsed="false">
      <c r="A242" s="112" t="n">
        <v>240</v>
      </c>
      <c r="B242" s="141" t="s">
        <v>448</v>
      </c>
      <c r="C242" s="141" t="s">
        <v>229</v>
      </c>
      <c r="D242" s="141"/>
      <c r="E242" s="150" t="n">
        <v>1200000</v>
      </c>
      <c r="F242" s="113" t="s">
        <v>213</v>
      </c>
      <c r="G242" s="174" t="n">
        <v>-1.05</v>
      </c>
      <c r="H242" s="184"/>
      <c r="I242" s="184"/>
      <c r="J242" s="174" t="n">
        <v>1</v>
      </c>
      <c r="K242" s="174"/>
      <c r="L242" s="180" t="n">
        <v>0</v>
      </c>
      <c r="M242" s="180" t="n">
        <v>-0.25</v>
      </c>
      <c r="N242" s="180"/>
      <c r="O242" s="180" t="n">
        <v>-1</v>
      </c>
      <c r="P242" s="180" t="n">
        <v>0.25</v>
      </c>
      <c r="Q242" s="180" t="n">
        <v>0</v>
      </c>
      <c r="R242" s="180" t="n">
        <v>0</v>
      </c>
      <c r="S242" s="180" t="n">
        <v>0</v>
      </c>
      <c r="T242" s="180" t="n">
        <v>0</v>
      </c>
      <c r="U242" s="180" t="n">
        <v>0</v>
      </c>
      <c r="V242" s="117" t="n">
        <v>0.5</v>
      </c>
      <c r="W242" s="185" t="n">
        <f aca="false">Таблица32[[#This Row],[Столбец7]]*Таблица32[[#This Row],[Ishga kelish nazoratchi2]]%</f>
        <v>0</v>
      </c>
      <c r="X242" s="188" t="n">
        <f aca="false">Таблица32[[#This Row],[Столбец7]]*Таблица32[[#This Row],[Ishga vaqtida kelish ketish]]%</f>
        <v>-12600</v>
      </c>
      <c r="Y242" s="186" t="n">
        <f aca="false">Таблица32[[#This Row],[Столбец7]]*Таблица32[[#This Row],[Ishga kelish bank klient]]%</f>
        <v>0</v>
      </c>
      <c r="Z242" s="188" t="n">
        <f aca="false">Таблица32[[#This Row],[Столбец7]]*Таблица32[[#This Row],[Gruppa buxgalter]]%</f>
        <v>12000</v>
      </c>
      <c r="AA242" s="188" t="n">
        <f aca="false">Таблица32[[#This Row],[Столбец7]]*Таблица32[[#This Row],[Gruppa bank klient ]]%</f>
        <v>0</v>
      </c>
      <c r="AB242" s="188" t="n">
        <f aca="false">Таблица32[[#This Row],[1c]]*Таблица32[[#This Row],[Столбец7]]/100</f>
        <v>-12000</v>
      </c>
      <c r="AC242" s="187" t="n">
        <f aca="false">SUM(Таблица32[[#This Row],[Didox]:[ мехнат]],Таблица32[[#This Row],[Avtokameral]])*Таблица32[[#This Row],[Столбец7]]/100</f>
        <v>0</v>
      </c>
      <c r="AD242" s="190" t="n">
        <f aca="false">SUM(Таблица32[[#This Row],[Pul oqimlari]:[Foyda va zarar]])*Таблица32[[#This Row],[Столбец7]]/100</f>
        <v>0</v>
      </c>
      <c r="AE242" s="191" t="n">
        <f aca="false">Таблица32[[#This Row],[Столбец7]]*Таблица32[[#This Row],[Nazoratchi]]%</f>
        <v>6000</v>
      </c>
      <c r="AF242" s="188" t="n">
        <f aca="false">Таблица32[[#This Row],[Ishga vaqtida kelish nazoratchi]]+Таблица32[[#This Row],[Nazoratchi2]]</f>
        <v>6000</v>
      </c>
      <c r="AG24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-12600</v>
      </c>
      <c r="AH242" s="188" t="n">
        <f aca="false">Таблица32[[#This Row],[Ishga kelish bank klient3]]+Таблица32[[#This Row],[Gruppa bank klient 2]]</f>
        <v>0</v>
      </c>
    </row>
    <row r="243" customFormat="false" ht="17.35" hidden="false" customHeight="false" outlineLevel="0" collapsed="false">
      <c r="A243" s="112" t="n">
        <v>241</v>
      </c>
      <c r="B243" s="141" t="s">
        <v>449</v>
      </c>
      <c r="C243" s="141" t="s">
        <v>228</v>
      </c>
      <c r="D243" s="141"/>
      <c r="E243" s="150" t="n">
        <v>700000</v>
      </c>
      <c r="F243" s="113" t="s">
        <v>213</v>
      </c>
      <c r="G243" s="174" t="n">
        <v>-2.9</v>
      </c>
      <c r="H243" s="184"/>
      <c r="I243" s="184"/>
      <c r="J243" s="174" t="n">
        <v>1</v>
      </c>
      <c r="K243" s="174"/>
      <c r="L243" s="180" t="n">
        <v>0.25</v>
      </c>
      <c r="M243" s="180" t="n">
        <v>0.25</v>
      </c>
      <c r="N243" s="180"/>
      <c r="O243" s="180"/>
      <c r="P243" s="180" t="n">
        <v>0</v>
      </c>
      <c r="Q243" s="180" t="n">
        <v>0</v>
      </c>
      <c r="R243" s="180" t="n">
        <v>0.2</v>
      </c>
      <c r="S243" s="180" t="n">
        <v>0.2</v>
      </c>
      <c r="T243" s="180" t="n">
        <v>0</v>
      </c>
      <c r="U243" s="180" t="n">
        <v>0</v>
      </c>
      <c r="V243" s="138" t="n">
        <v>0.5</v>
      </c>
      <c r="W243" s="185" t="n">
        <f aca="false">Таблица32[[#This Row],[Столбец7]]*Таблица32[[#This Row],[Ishga kelish nazoratchi2]]%</f>
        <v>0</v>
      </c>
      <c r="X243" s="188" t="n">
        <f aca="false">Таблица32[[#This Row],[Столбец7]]*Таблица32[[#This Row],[Ishga vaqtida kelish ketish]]%</f>
        <v>-20300</v>
      </c>
      <c r="Y243" s="186" t="n">
        <f aca="false">Таблица32[[#This Row],[Столбец7]]*Таблица32[[#This Row],[Ishga kelish bank klient]]%</f>
        <v>0</v>
      </c>
      <c r="Z243" s="188" t="n">
        <f aca="false">Таблица32[[#This Row],[Столбец7]]*Таблица32[[#This Row],[Gruppa buxgalter]]%</f>
        <v>7000</v>
      </c>
      <c r="AA243" s="188" t="n">
        <f aca="false">Таблица32[[#This Row],[Столбец7]]*Таблица32[[#This Row],[Gruppa bank klient ]]%</f>
        <v>0</v>
      </c>
      <c r="AB243" s="188" t="n">
        <f aca="false">Таблица32[[#This Row],[1c]]*Таблица32[[#This Row],[Столбец7]]/100</f>
        <v>0</v>
      </c>
      <c r="AC243" s="187" t="n">
        <f aca="false">SUM(Таблица32[[#This Row],[Didox]:[ мехнат]],Таблица32[[#This Row],[Avtokameral]])*Таблица32[[#This Row],[Столбец7]]/100</f>
        <v>3500</v>
      </c>
      <c r="AD243" s="190" t="n">
        <f aca="false">SUM(Таблица32[[#This Row],[Pul oqimlari]:[Foyda va zarar]])*Таблица32[[#This Row],[Столбец7]]/100</f>
        <v>2800</v>
      </c>
      <c r="AE243" s="191" t="n">
        <f aca="false">Таблица32[[#This Row],[Столбец7]]*Таблица32[[#This Row],[Nazoratchi]]%</f>
        <v>3500</v>
      </c>
      <c r="AF243" s="188" t="n">
        <f aca="false">Таблица32[[#This Row],[Ishga vaqtida kelish nazoratchi]]+Таблица32[[#This Row],[Nazoratchi2]]</f>
        <v>3500</v>
      </c>
      <c r="AG24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-7000</v>
      </c>
      <c r="AH243" s="188" t="n">
        <f aca="false">Таблица32[[#This Row],[Ishga kelish bank klient3]]+Таблица32[[#This Row],[Gruppa bank klient 2]]</f>
        <v>0</v>
      </c>
    </row>
    <row r="244" customFormat="false" ht="17.35" hidden="false" customHeight="false" outlineLevel="0" collapsed="false">
      <c r="A244" s="112" t="n">
        <v>242</v>
      </c>
      <c r="B244" s="141" t="s">
        <v>450</v>
      </c>
      <c r="C244" s="141" t="s">
        <v>228</v>
      </c>
      <c r="D244" s="141" t="s">
        <v>240</v>
      </c>
      <c r="E244" s="150" t="n">
        <v>1200000</v>
      </c>
      <c r="F244" s="113" t="s">
        <v>213</v>
      </c>
      <c r="G244" s="174" t="n">
        <v>-2.9</v>
      </c>
      <c r="H244" s="184"/>
      <c r="I244" s="184"/>
      <c r="J244" s="174" t="n">
        <v>-0.5</v>
      </c>
      <c r="K244" s="174" t="n">
        <v>1</v>
      </c>
      <c r="L244" s="180" t="n">
        <v>0.25</v>
      </c>
      <c r="M244" s="180" t="n">
        <v>0.25</v>
      </c>
      <c r="N244" s="180"/>
      <c r="O244" s="180"/>
      <c r="P244" s="180" t="n">
        <v>0.25</v>
      </c>
      <c r="Q244" s="180" t="n">
        <v>-0.2</v>
      </c>
      <c r="R244" s="180" t="n">
        <v>-0.2</v>
      </c>
      <c r="S244" s="180" t="n">
        <v>-0.2</v>
      </c>
      <c r="T244" s="180" t="n">
        <v>0.2</v>
      </c>
      <c r="U244" s="180" t="n">
        <v>-0.2</v>
      </c>
      <c r="V244" s="138" t="n">
        <v>-0.5</v>
      </c>
      <c r="W244" s="185" t="n">
        <f aca="false">Таблица32[[#This Row],[Столбец7]]*Таблица32[[#This Row],[Ishga kelish nazoratchi2]]%</f>
        <v>0</v>
      </c>
      <c r="X244" s="188" t="n">
        <f aca="false">Таблица32[[#This Row],[Столбец7]]*Таблица32[[#This Row],[Ishga vaqtida kelish ketish]]%</f>
        <v>-34800</v>
      </c>
      <c r="Y244" s="186" t="n">
        <f aca="false">Таблица32[[#This Row],[Столбец7]]*Таблица32[[#This Row],[Ishga kelish bank klient]]%</f>
        <v>0</v>
      </c>
      <c r="Z244" s="188" t="n">
        <f aca="false">Таблица32[[#This Row],[Столбец7]]*Таблица32[[#This Row],[Gruppa buxgalter]]%</f>
        <v>-6000</v>
      </c>
      <c r="AA244" s="188" t="n">
        <f aca="false">Таблица32[[#This Row],[Столбец7]]*Таблица32[[#This Row],[Gruppa bank klient ]]%</f>
        <v>12000</v>
      </c>
      <c r="AB244" s="188" t="n">
        <f aca="false">Таблица32[[#This Row],[1c]]*Таблица32[[#This Row],[Столбец7]]/100</f>
        <v>0</v>
      </c>
      <c r="AC244" s="187" t="n">
        <f aca="false">SUM(Таблица32[[#This Row],[Didox]:[ мехнат]],Таблица32[[#This Row],[Avtokameral]])*Таблица32[[#This Row],[Столбец7]]/100</f>
        <v>9000</v>
      </c>
      <c r="AD244" s="190" t="n">
        <f aca="false">SUM(Таблица32[[#This Row],[Pul oqimlari]:[Foyda va zarar]])*Таблица32[[#This Row],[Столбец7]]/100</f>
        <v>-7200</v>
      </c>
      <c r="AE244" s="191" t="n">
        <f aca="false">Таблица32[[#This Row],[Столбец7]]*Таблица32[[#This Row],[Nazoratchi]]%</f>
        <v>-6000</v>
      </c>
      <c r="AF244" s="188" t="n">
        <f aca="false">Таблица32[[#This Row],[Ishga vaqtida kelish nazoratchi]]+Таблица32[[#This Row],[Nazoratchi2]]</f>
        <v>-6000</v>
      </c>
      <c r="AG24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-39000</v>
      </c>
      <c r="AH244" s="188" t="n">
        <f aca="false">Таблица32[[#This Row],[Ishga kelish bank klient3]]+Таблица32[[#This Row],[Gruppa bank klient 2]]</f>
        <v>12000</v>
      </c>
    </row>
    <row r="245" customFormat="false" ht="17.35" hidden="false" customHeight="false" outlineLevel="0" collapsed="false">
      <c r="A245" s="112" t="n">
        <v>243</v>
      </c>
      <c r="B245" s="141" t="s">
        <v>451</v>
      </c>
      <c r="C245" s="141" t="s">
        <v>228</v>
      </c>
      <c r="D245" s="141" t="s">
        <v>240</v>
      </c>
      <c r="E245" s="150" t="n">
        <v>800000</v>
      </c>
      <c r="F245" s="113" t="s">
        <v>213</v>
      </c>
      <c r="G245" s="174" t="n">
        <v>-2.9</v>
      </c>
      <c r="H245" s="184"/>
      <c r="I245" s="184"/>
      <c r="J245" s="174" t="n">
        <v>1</v>
      </c>
      <c r="K245" s="174" t="n">
        <v>1</v>
      </c>
      <c r="L245" s="180" t="n">
        <v>-0.25</v>
      </c>
      <c r="M245" s="180" t="n">
        <v>0.25</v>
      </c>
      <c r="N245" s="180"/>
      <c r="O245" s="180"/>
      <c r="P245" s="180" t="n">
        <v>0.25</v>
      </c>
      <c r="Q245" s="180" t="n">
        <v>0</v>
      </c>
      <c r="R245" s="180" t="n">
        <v>0</v>
      </c>
      <c r="S245" s="180" t="n">
        <v>0</v>
      </c>
      <c r="T245" s="180" t="n">
        <v>0</v>
      </c>
      <c r="U245" s="180" t="n">
        <v>0</v>
      </c>
      <c r="V245" s="138" t="n">
        <v>0.5</v>
      </c>
      <c r="W245" s="185" t="n">
        <f aca="false">Таблица32[[#This Row],[Столбец7]]*Таблица32[[#This Row],[Ishga kelish nazoratchi2]]%</f>
        <v>0</v>
      </c>
      <c r="X245" s="188" t="n">
        <f aca="false">Таблица32[[#This Row],[Столбец7]]*Таблица32[[#This Row],[Ishga vaqtida kelish ketish]]%</f>
        <v>-23200</v>
      </c>
      <c r="Y245" s="186" t="n">
        <f aca="false">Таблица32[[#This Row],[Столбец7]]*Таблица32[[#This Row],[Ishga kelish bank klient]]%</f>
        <v>0</v>
      </c>
      <c r="Z245" s="188" t="n">
        <f aca="false">Таблица32[[#This Row],[Столбец7]]*Таблица32[[#This Row],[Gruppa buxgalter]]%</f>
        <v>8000</v>
      </c>
      <c r="AA245" s="188" t="n">
        <f aca="false">Таблица32[[#This Row],[Столбец7]]*Таблица32[[#This Row],[Gruppa bank klient ]]%</f>
        <v>8000</v>
      </c>
      <c r="AB245" s="188" t="n">
        <f aca="false">Таблица32[[#This Row],[1c]]*Таблица32[[#This Row],[Столбец7]]/100</f>
        <v>0</v>
      </c>
      <c r="AC245" s="187" t="n">
        <f aca="false">SUM(Таблица32[[#This Row],[Didox]:[ мехнат]],Таблица32[[#This Row],[Avtokameral]])*Таблица32[[#This Row],[Столбец7]]/100</f>
        <v>2000</v>
      </c>
      <c r="AD245" s="190" t="n">
        <f aca="false">SUM(Таблица32[[#This Row],[Pul oqimlari]:[Foyda va zarar]])*Таблица32[[#This Row],[Столбец7]]/100</f>
        <v>0</v>
      </c>
      <c r="AE245" s="191" t="n">
        <f aca="false">Таблица32[[#This Row],[Столбец7]]*Таблица32[[#This Row],[Nazoratchi]]%</f>
        <v>4000</v>
      </c>
      <c r="AF245" s="188" t="n">
        <f aca="false">Таблица32[[#This Row],[Ishga vaqtida kelish nazoratchi]]+Таблица32[[#This Row],[Nazoratchi2]]</f>
        <v>4000</v>
      </c>
      <c r="AG24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-13200</v>
      </c>
      <c r="AH245" s="188" t="n">
        <f aca="false">Таблица32[[#This Row],[Ishga kelish bank klient3]]+Таблица32[[#This Row],[Gruppa bank klient 2]]</f>
        <v>8000</v>
      </c>
    </row>
    <row r="246" customFormat="false" ht="17.35" hidden="false" customHeight="false" outlineLevel="0" collapsed="false">
      <c r="A246" s="112" t="n">
        <v>244</v>
      </c>
      <c r="B246" s="141" t="s">
        <v>452</v>
      </c>
      <c r="C246" s="141" t="s">
        <v>228</v>
      </c>
      <c r="D246" s="141" t="s">
        <v>240</v>
      </c>
      <c r="E246" s="150" t="n">
        <v>0</v>
      </c>
      <c r="F246" s="113" t="s">
        <v>213</v>
      </c>
      <c r="G246" s="174" t="n">
        <v>-2.9</v>
      </c>
      <c r="H246" s="184"/>
      <c r="I246" s="184"/>
      <c r="J246" s="174" t="n">
        <v>1</v>
      </c>
      <c r="K246" s="174" t="n">
        <v>1</v>
      </c>
      <c r="L246" s="180" t="n">
        <v>0</v>
      </c>
      <c r="M246" s="180" t="n">
        <v>0</v>
      </c>
      <c r="N246" s="180" t="n">
        <v>0</v>
      </c>
      <c r="O246" s="180"/>
      <c r="P246" s="180" t="n">
        <v>0</v>
      </c>
      <c r="Q246" s="180" t="n">
        <v>0</v>
      </c>
      <c r="R246" s="180" t="n">
        <v>0</v>
      </c>
      <c r="S246" s="180" t="n">
        <v>0</v>
      </c>
      <c r="T246" s="180" t="n">
        <v>0</v>
      </c>
      <c r="U246" s="180" t="n">
        <v>0</v>
      </c>
      <c r="V246" s="138" t="n">
        <v>0.5</v>
      </c>
      <c r="W246" s="185" t="n">
        <f aca="false">Таблица32[[#This Row],[Столбец7]]*Таблица32[[#This Row],[Ishga kelish nazoratchi2]]%</f>
        <v>0</v>
      </c>
      <c r="X246" s="188" t="n">
        <f aca="false">Таблица32[[#This Row],[Столбец7]]*Таблица32[[#This Row],[Ishga vaqtida kelish ketish]]%</f>
        <v>0</v>
      </c>
      <c r="Y246" s="186" t="n">
        <f aca="false">Таблица32[[#This Row],[Столбец7]]*Таблица32[[#This Row],[Ishga kelish bank klient]]%</f>
        <v>0</v>
      </c>
      <c r="Z246" s="188" t="n">
        <f aca="false">Таблица32[[#This Row],[Столбец7]]*Таблица32[[#This Row],[Gruppa buxgalter]]%</f>
        <v>0</v>
      </c>
      <c r="AA246" s="188" t="n">
        <f aca="false">Таблица32[[#This Row],[Столбец7]]*Таблица32[[#This Row],[Gruppa bank klient ]]%</f>
        <v>0</v>
      </c>
      <c r="AB246" s="188" t="n">
        <f aca="false">Таблица32[[#This Row],[1c]]*Таблица32[[#This Row],[Столбец7]]/100</f>
        <v>0</v>
      </c>
      <c r="AC246" s="187" t="n">
        <f aca="false">SUM(Таблица32[[#This Row],[Didox]:[ мехнат]],Таблица32[[#This Row],[Avtokameral]])*Таблица32[[#This Row],[Столбец7]]/100</f>
        <v>0</v>
      </c>
      <c r="AD246" s="190" t="n">
        <f aca="false">SUM(Таблица32[[#This Row],[Pul oqimlari]:[Foyda va zarar]])*Таблица32[[#This Row],[Столбец7]]/100</f>
        <v>0</v>
      </c>
      <c r="AE246" s="191" t="n">
        <f aca="false">Таблица32[[#This Row],[Столбец7]]*Таблица32[[#This Row],[Nazoratchi]]%</f>
        <v>0</v>
      </c>
      <c r="AF246" s="188" t="n">
        <f aca="false">Таблица32[[#This Row],[Ishga vaqtida kelish nazoratchi]]+Таблица32[[#This Row],[Nazoratchi2]]</f>
        <v>0</v>
      </c>
      <c r="AG24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46" s="188" t="n">
        <f aca="false">Таблица32[[#This Row],[Ishga kelish bank klient3]]+Таблица32[[#This Row],[Gruppa bank klient 2]]</f>
        <v>0</v>
      </c>
    </row>
    <row r="247" customFormat="false" ht="17.35" hidden="false" customHeight="false" outlineLevel="0" collapsed="false">
      <c r="A247" s="112" t="n">
        <v>245</v>
      </c>
      <c r="B247" s="141" t="s">
        <v>453</v>
      </c>
      <c r="C247" s="141" t="s">
        <v>218</v>
      </c>
      <c r="D247" s="141"/>
      <c r="E247" s="150" t="n">
        <v>500000</v>
      </c>
      <c r="F247" s="113" t="s">
        <v>210</v>
      </c>
      <c r="G247" s="174" t="n">
        <v>-0.35</v>
      </c>
      <c r="H247" s="184"/>
      <c r="I247" s="184"/>
      <c r="J247" s="174" t="n">
        <v>1</v>
      </c>
      <c r="K247" s="174"/>
      <c r="L247" s="180" t="n">
        <v>0.25</v>
      </c>
      <c r="M247" s="180" t="n">
        <v>0.25</v>
      </c>
      <c r="N247" s="180"/>
      <c r="O247" s="180"/>
      <c r="P247" s="180" t="n">
        <v>0.25</v>
      </c>
      <c r="Q247" s="180" t="n">
        <v>0</v>
      </c>
      <c r="R247" s="180" t="n">
        <v>0.2</v>
      </c>
      <c r="S247" s="180" t="n">
        <v>0.2</v>
      </c>
      <c r="T247" s="180" t="n">
        <v>0</v>
      </c>
      <c r="U247" s="180" t="n">
        <v>0</v>
      </c>
      <c r="V247" s="117" t="n">
        <v>0.5</v>
      </c>
      <c r="W247" s="185" t="n">
        <f aca="false">Таблица32[[#This Row],[Столбец7]]*Таблица32[[#This Row],[Ishga kelish nazoratchi2]]%</f>
        <v>0</v>
      </c>
      <c r="X247" s="188" t="n">
        <f aca="false">Таблица32[[#This Row],[Столбец7]]*Таблица32[[#This Row],[Ishga vaqtida kelish ketish]]%</f>
        <v>-1750</v>
      </c>
      <c r="Y247" s="186" t="n">
        <f aca="false">Таблица32[[#This Row],[Столбец7]]*Таблица32[[#This Row],[Ishga kelish bank klient]]%</f>
        <v>0</v>
      </c>
      <c r="Z247" s="188" t="n">
        <f aca="false">Таблица32[[#This Row],[Столбец7]]*Таблица32[[#This Row],[Gruppa buxgalter]]%</f>
        <v>5000</v>
      </c>
      <c r="AA247" s="188" t="n">
        <f aca="false">Таблица32[[#This Row],[Столбец7]]*Таблица32[[#This Row],[Gruppa bank klient ]]%</f>
        <v>0</v>
      </c>
      <c r="AB247" s="188" t="n">
        <f aca="false">Таблица32[[#This Row],[1c]]*Таблица32[[#This Row],[Столбец7]]/100</f>
        <v>0</v>
      </c>
      <c r="AC247" s="187" t="n">
        <f aca="false">SUM(Таблица32[[#This Row],[Didox]:[ мехнат]],Таблица32[[#This Row],[Avtokameral]])*Таблица32[[#This Row],[Столбец7]]/100</f>
        <v>3750</v>
      </c>
      <c r="AD247" s="190" t="n">
        <f aca="false">SUM(Таблица32[[#This Row],[Pul oqimlari]:[Foyda va zarar]])*Таблица32[[#This Row],[Столбец7]]/100</f>
        <v>2000</v>
      </c>
      <c r="AE247" s="191" t="n">
        <f aca="false">Таблица32[[#This Row],[Столбец7]]*Таблица32[[#This Row],[Nazoratchi]]%</f>
        <v>2500</v>
      </c>
      <c r="AF247" s="188" t="n">
        <f aca="false">Таблица32[[#This Row],[Ishga vaqtida kelish nazoratchi]]+Таблица32[[#This Row],[Nazoratchi2]]</f>
        <v>2500</v>
      </c>
      <c r="AG24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9000</v>
      </c>
      <c r="AH247" s="188" t="n">
        <f aca="false">Таблица32[[#This Row],[Ishga kelish bank klient3]]+Таблица32[[#This Row],[Gruppa bank klient 2]]</f>
        <v>0</v>
      </c>
    </row>
    <row r="248" customFormat="false" ht="17.35" hidden="false" customHeight="false" outlineLevel="0" collapsed="false">
      <c r="A248" s="112" t="n">
        <v>246</v>
      </c>
      <c r="B248" s="141" t="s">
        <v>454</v>
      </c>
      <c r="C248" s="141" t="s">
        <v>218</v>
      </c>
      <c r="D248" s="141"/>
      <c r="E248" s="150" t="n">
        <v>1000000</v>
      </c>
      <c r="F248" s="113" t="s">
        <v>210</v>
      </c>
      <c r="G248" s="174" t="n">
        <v>-0.35</v>
      </c>
      <c r="H248" s="184"/>
      <c r="I248" s="184"/>
      <c r="J248" s="174" t="n">
        <v>1</v>
      </c>
      <c r="K248" s="174"/>
      <c r="L248" s="180" t="n">
        <v>0.25</v>
      </c>
      <c r="M248" s="180" t="n">
        <v>-0.25</v>
      </c>
      <c r="N248" s="180"/>
      <c r="O248" s="180"/>
      <c r="P248" s="180" t="n">
        <v>0.25</v>
      </c>
      <c r="Q248" s="180" t="n">
        <v>0</v>
      </c>
      <c r="R248" s="180" t="n">
        <v>0.2</v>
      </c>
      <c r="S248" s="180" t="n">
        <v>0.2</v>
      </c>
      <c r="T248" s="180" t="n">
        <v>0</v>
      </c>
      <c r="U248" s="180" t="n">
        <v>0</v>
      </c>
      <c r="V248" s="117" t="n">
        <v>0.5</v>
      </c>
      <c r="W248" s="185" t="n">
        <f aca="false">Таблица32[[#This Row],[Столбец7]]*Таблица32[[#This Row],[Ishga kelish nazoratchi2]]%</f>
        <v>0</v>
      </c>
      <c r="X248" s="188" t="n">
        <f aca="false">Таблица32[[#This Row],[Столбец7]]*Таблица32[[#This Row],[Ishga vaqtida kelish ketish]]%</f>
        <v>-3500</v>
      </c>
      <c r="Y248" s="186" t="n">
        <f aca="false">Таблица32[[#This Row],[Столбец7]]*Таблица32[[#This Row],[Ishga kelish bank klient]]%</f>
        <v>0</v>
      </c>
      <c r="Z248" s="188" t="n">
        <f aca="false">Таблица32[[#This Row],[Столбец7]]*Таблица32[[#This Row],[Gruppa buxgalter]]%</f>
        <v>10000</v>
      </c>
      <c r="AA248" s="188" t="n">
        <f aca="false">Таблица32[[#This Row],[Столбец7]]*Таблица32[[#This Row],[Gruppa bank klient ]]%</f>
        <v>0</v>
      </c>
      <c r="AB248" s="188" t="n">
        <f aca="false">Таблица32[[#This Row],[1c]]*Таблица32[[#This Row],[Столбец7]]/100</f>
        <v>0</v>
      </c>
      <c r="AC248" s="187" t="n">
        <f aca="false">SUM(Таблица32[[#This Row],[Didox]:[ мехнат]],Таблица32[[#This Row],[Avtokameral]])*Таблица32[[#This Row],[Столбец7]]/100</f>
        <v>2500</v>
      </c>
      <c r="AD248" s="190" t="n">
        <f aca="false">SUM(Таблица32[[#This Row],[Pul oqimlari]:[Foyda va zarar]])*Таблица32[[#This Row],[Столбец7]]/100</f>
        <v>4000</v>
      </c>
      <c r="AE248" s="191" t="n">
        <f aca="false">Таблица32[[#This Row],[Столбец7]]*Таблица32[[#This Row],[Nazoratchi]]%</f>
        <v>5000</v>
      </c>
      <c r="AF248" s="188" t="n">
        <f aca="false">Таблица32[[#This Row],[Ishga vaqtida kelish nazoratchi]]+Таблица32[[#This Row],[Nazoratchi2]]</f>
        <v>5000</v>
      </c>
      <c r="AG24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13000</v>
      </c>
      <c r="AH248" s="188" t="n">
        <f aca="false">Таблица32[[#This Row],[Ishga kelish bank klient3]]+Таблица32[[#This Row],[Gruppa bank klient 2]]</f>
        <v>0</v>
      </c>
    </row>
    <row r="249" customFormat="false" ht="17.35" hidden="false" customHeight="false" outlineLevel="0" collapsed="false">
      <c r="A249" s="112" t="n">
        <v>247</v>
      </c>
      <c r="B249" s="141" t="s">
        <v>455</v>
      </c>
      <c r="C249" s="141" t="s">
        <v>218</v>
      </c>
      <c r="D249" s="141"/>
      <c r="E249" s="150" t="n">
        <v>500000</v>
      </c>
      <c r="F249" s="113" t="s">
        <v>210</v>
      </c>
      <c r="G249" s="174" t="n">
        <v>-0.35</v>
      </c>
      <c r="H249" s="184"/>
      <c r="I249" s="184"/>
      <c r="J249" s="174" t="n">
        <v>1</v>
      </c>
      <c r="K249" s="174"/>
      <c r="L249" s="180" t="n">
        <v>0.25</v>
      </c>
      <c r="M249" s="180" t="n">
        <v>0.25</v>
      </c>
      <c r="N249" s="180"/>
      <c r="O249" s="180"/>
      <c r="P249" s="180" t="n">
        <v>0</v>
      </c>
      <c r="Q249" s="180" t="n">
        <v>0</v>
      </c>
      <c r="R249" s="180" t="n">
        <v>0.2</v>
      </c>
      <c r="S249" s="180" t="n">
        <v>0.2</v>
      </c>
      <c r="T249" s="180" t="n">
        <v>0</v>
      </c>
      <c r="U249" s="180" t="n">
        <v>0</v>
      </c>
      <c r="V249" s="117" t="n">
        <v>0.5</v>
      </c>
      <c r="W249" s="185" t="n">
        <f aca="false">Таблица32[[#This Row],[Столбец7]]*Таблица32[[#This Row],[Ishga kelish nazoratchi2]]%</f>
        <v>0</v>
      </c>
      <c r="X249" s="188" t="n">
        <f aca="false">Таблица32[[#This Row],[Столбец7]]*Таблица32[[#This Row],[Ishga vaqtida kelish ketish]]%</f>
        <v>-1750</v>
      </c>
      <c r="Y249" s="186" t="n">
        <f aca="false">Таблица32[[#This Row],[Столбец7]]*Таблица32[[#This Row],[Ishga kelish bank klient]]%</f>
        <v>0</v>
      </c>
      <c r="Z249" s="188" t="n">
        <f aca="false">Таблица32[[#This Row],[Столбец7]]*Таблица32[[#This Row],[Gruppa buxgalter]]%</f>
        <v>5000</v>
      </c>
      <c r="AA249" s="188" t="n">
        <f aca="false">Таблица32[[#This Row],[Столбец7]]*Таблица32[[#This Row],[Gruppa bank klient ]]%</f>
        <v>0</v>
      </c>
      <c r="AB249" s="188" t="n">
        <f aca="false">Таблица32[[#This Row],[1c]]*Таблица32[[#This Row],[Столбец7]]/100</f>
        <v>0</v>
      </c>
      <c r="AC249" s="187" t="n">
        <f aca="false">SUM(Таблица32[[#This Row],[Didox]:[ мехнат]],Таблица32[[#This Row],[Avtokameral]])*Таблица32[[#This Row],[Столбец7]]/100</f>
        <v>2500</v>
      </c>
      <c r="AD249" s="190" t="n">
        <f aca="false">SUM(Таблица32[[#This Row],[Pul oqimlari]:[Foyda va zarar]])*Таблица32[[#This Row],[Столбец7]]/100</f>
        <v>2000</v>
      </c>
      <c r="AE249" s="191" t="n">
        <f aca="false">Таблица32[[#This Row],[Столбец7]]*Таблица32[[#This Row],[Nazoratchi]]%</f>
        <v>2500</v>
      </c>
      <c r="AF249" s="188" t="n">
        <f aca="false">Таблица32[[#This Row],[Ishga vaqtida kelish nazoratchi]]+Таблица32[[#This Row],[Nazoratchi2]]</f>
        <v>2500</v>
      </c>
      <c r="AG24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7750</v>
      </c>
      <c r="AH249" s="188" t="n">
        <f aca="false">Таблица32[[#This Row],[Ishga kelish bank klient3]]+Таблица32[[#This Row],[Gruppa bank klient 2]]</f>
        <v>0</v>
      </c>
    </row>
    <row r="250" customFormat="false" ht="17.35" hidden="false" customHeight="false" outlineLevel="0" collapsed="false">
      <c r="A250" s="112" t="n">
        <v>248</v>
      </c>
      <c r="B250" s="141" t="s">
        <v>456</v>
      </c>
      <c r="C250" s="141" t="s">
        <v>229</v>
      </c>
      <c r="D250" s="141"/>
      <c r="E250" s="150" t="n">
        <v>500000</v>
      </c>
      <c r="F250" s="113" t="s">
        <v>213</v>
      </c>
      <c r="G250" s="174" t="n">
        <v>-1.05</v>
      </c>
      <c r="H250" s="184"/>
      <c r="I250" s="184"/>
      <c r="J250" s="174" t="n">
        <v>1</v>
      </c>
      <c r="K250" s="174"/>
      <c r="L250" s="180" t="n">
        <v>0.25</v>
      </c>
      <c r="M250" s="180" t="n">
        <v>0.25</v>
      </c>
      <c r="N250" s="180"/>
      <c r="O250" s="180" t="n">
        <v>-1</v>
      </c>
      <c r="P250" s="180" t="n">
        <v>0.25</v>
      </c>
      <c r="Q250" s="180" t="n">
        <v>0</v>
      </c>
      <c r="R250" s="180" t="n">
        <v>-0.2</v>
      </c>
      <c r="S250" s="180" t="n">
        <v>-0.2</v>
      </c>
      <c r="T250" s="180" t="n">
        <v>0</v>
      </c>
      <c r="U250" s="180" t="n">
        <v>0</v>
      </c>
      <c r="V250" s="117" t="n">
        <v>0.5</v>
      </c>
      <c r="W250" s="185" t="n">
        <f aca="false">Таблица32[[#This Row],[Столбец7]]*Таблица32[[#This Row],[Ishga kelish nazoratchi2]]%</f>
        <v>0</v>
      </c>
      <c r="X250" s="188" t="n">
        <f aca="false">Таблица32[[#This Row],[Столбец7]]*Таблица32[[#This Row],[Ishga vaqtida kelish ketish]]%</f>
        <v>-5250</v>
      </c>
      <c r="Y250" s="186" t="n">
        <f aca="false">Таблица32[[#This Row],[Столбец7]]*Таблица32[[#This Row],[Ishga kelish bank klient]]%</f>
        <v>0</v>
      </c>
      <c r="Z250" s="188" t="n">
        <f aca="false">Таблица32[[#This Row],[Столбец7]]*Таблица32[[#This Row],[Gruppa buxgalter]]%</f>
        <v>5000</v>
      </c>
      <c r="AA250" s="188" t="n">
        <f aca="false">Таблица32[[#This Row],[Столбец7]]*Таблица32[[#This Row],[Gruppa bank klient ]]%</f>
        <v>0</v>
      </c>
      <c r="AB250" s="188" t="n">
        <f aca="false">Таблица32[[#This Row],[1c]]*Таблица32[[#This Row],[Столбец7]]/100</f>
        <v>-5000</v>
      </c>
      <c r="AC250" s="187" t="n">
        <f aca="false">SUM(Таблица32[[#This Row],[Didox]:[ мехнат]],Таблица32[[#This Row],[Avtokameral]])*Таблица32[[#This Row],[Столбец7]]/100</f>
        <v>3750</v>
      </c>
      <c r="AD250" s="190" t="n">
        <f aca="false">SUM(Таблица32[[#This Row],[Pul oqimlari]:[Foyda va zarar]])*Таблица32[[#This Row],[Столбец7]]/100</f>
        <v>-2000</v>
      </c>
      <c r="AE250" s="191" t="n">
        <f aca="false">Таблица32[[#This Row],[Столбец7]]*Таблица32[[#This Row],[Nazoratchi]]%</f>
        <v>2500</v>
      </c>
      <c r="AF250" s="188" t="n">
        <f aca="false">Таблица32[[#This Row],[Ishga vaqtida kelish nazoratchi]]+Таблица32[[#This Row],[Nazoratchi2]]</f>
        <v>2500</v>
      </c>
      <c r="AG25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-3500</v>
      </c>
      <c r="AH250" s="188" t="n">
        <f aca="false">Таблица32[[#This Row],[Ishga kelish bank klient3]]+Таблица32[[#This Row],[Gruppa bank klient 2]]</f>
        <v>0</v>
      </c>
    </row>
    <row r="251" customFormat="false" ht="17.35" hidden="false" customHeight="false" outlineLevel="0" collapsed="false">
      <c r="A251" s="112" t="n">
        <v>249</v>
      </c>
      <c r="B251" s="141" t="s">
        <v>457</v>
      </c>
      <c r="C251" s="141" t="s">
        <v>229</v>
      </c>
      <c r="D251" s="141"/>
      <c r="E251" s="150" t="n">
        <v>500000</v>
      </c>
      <c r="F251" s="113" t="s">
        <v>213</v>
      </c>
      <c r="G251" s="174" t="n">
        <v>-1.05</v>
      </c>
      <c r="H251" s="184"/>
      <c r="I251" s="184"/>
      <c r="J251" s="174" t="n">
        <v>1</v>
      </c>
      <c r="K251" s="174"/>
      <c r="L251" s="180" t="n">
        <v>0</v>
      </c>
      <c r="M251" s="180" t="n">
        <v>0</v>
      </c>
      <c r="N251" s="180" t="n">
        <v>0</v>
      </c>
      <c r="O251" s="180" t="n">
        <v>-1</v>
      </c>
      <c r="P251" s="180" t="n">
        <v>0</v>
      </c>
      <c r="Q251" s="180" t="n">
        <v>0</v>
      </c>
      <c r="R251" s="180" t="n">
        <v>0</v>
      </c>
      <c r="S251" s="180" t="n">
        <v>0</v>
      </c>
      <c r="T251" s="180" t="n">
        <v>0</v>
      </c>
      <c r="U251" s="180" t="n">
        <v>0</v>
      </c>
      <c r="V251" s="117" t="n">
        <v>0.5</v>
      </c>
      <c r="W251" s="185" t="n">
        <f aca="false">Таблица32[[#This Row],[Столбец7]]*Таблица32[[#This Row],[Ishga kelish nazoratchi2]]%</f>
        <v>0</v>
      </c>
      <c r="X251" s="188" t="n">
        <f aca="false">Таблица32[[#This Row],[Столбец7]]*Таблица32[[#This Row],[Ishga vaqtida kelish ketish]]%</f>
        <v>-5250</v>
      </c>
      <c r="Y251" s="186" t="n">
        <f aca="false">Таблица32[[#This Row],[Столбец7]]*Таблица32[[#This Row],[Ishga kelish bank klient]]%</f>
        <v>0</v>
      </c>
      <c r="Z251" s="188" t="n">
        <f aca="false">Таблица32[[#This Row],[Столбец7]]*Таблица32[[#This Row],[Gruppa buxgalter]]%</f>
        <v>5000</v>
      </c>
      <c r="AA251" s="188" t="n">
        <f aca="false">Таблица32[[#This Row],[Столбец7]]*Таблица32[[#This Row],[Gruppa bank klient ]]%</f>
        <v>0</v>
      </c>
      <c r="AB251" s="188" t="n">
        <f aca="false">Таблица32[[#This Row],[1c]]*Таблица32[[#This Row],[Столбец7]]/100</f>
        <v>-5000</v>
      </c>
      <c r="AC251" s="187" t="n">
        <f aca="false">SUM(Таблица32[[#This Row],[Didox]:[ мехнат]],Таблица32[[#This Row],[Avtokameral]])*Таблица32[[#This Row],[Столбец7]]/100</f>
        <v>0</v>
      </c>
      <c r="AD251" s="190" t="n">
        <f aca="false">SUM(Таблица32[[#This Row],[Pul oqimlari]:[Foyda va zarar]])*Таблица32[[#This Row],[Столбец7]]/100</f>
        <v>0</v>
      </c>
      <c r="AE251" s="191" t="n">
        <f aca="false">Таблица32[[#This Row],[Столбец7]]*Таблица32[[#This Row],[Nazoratchi]]%</f>
        <v>2500</v>
      </c>
      <c r="AF251" s="188" t="n">
        <f aca="false">Таблица32[[#This Row],[Ishga vaqtida kelish nazoratchi]]+Таблица32[[#This Row],[Nazoratchi2]]</f>
        <v>2500</v>
      </c>
      <c r="AG25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-5250</v>
      </c>
      <c r="AH251" s="188" t="n">
        <f aca="false">Таблица32[[#This Row],[Ishga kelish bank klient3]]+Таблица32[[#This Row],[Gruppa bank klient 2]]</f>
        <v>0</v>
      </c>
    </row>
    <row r="252" customFormat="false" ht="17.35" hidden="false" customHeight="false" outlineLevel="0" collapsed="false">
      <c r="A252" s="112" t="n">
        <v>250</v>
      </c>
      <c r="B252" s="141" t="s">
        <v>458</v>
      </c>
      <c r="C252" s="141" t="s">
        <v>230</v>
      </c>
      <c r="D252" s="141" t="s">
        <v>224</v>
      </c>
      <c r="E252" s="150" t="n">
        <v>2000000</v>
      </c>
      <c r="F252" s="113" t="s">
        <v>213</v>
      </c>
      <c r="G252" s="174" t="n">
        <v>-6</v>
      </c>
      <c r="H252" s="174" t="n">
        <v>1</v>
      </c>
      <c r="I252" s="184"/>
      <c r="J252" s="174" t="n">
        <v>1</v>
      </c>
      <c r="K252" s="174" t="n">
        <v>1</v>
      </c>
      <c r="L252" s="180" t="n">
        <v>0.25</v>
      </c>
      <c r="M252" s="180" t="n">
        <v>0.25</v>
      </c>
      <c r="N252" s="180"/>
      <c r="O252" s="180"/>
      <c r="P252" s="180" t="n">
        <v>0.25</v>
      </c>
      <c r="Q252" s="180" t="n">
        <v>-0.2</v>
      </c>
      <c r="R252" s="180" t="n">
        <v>0.2</v>
      </c>
      <c r="S252" s="180" t="n">
        <v>0.2</v>
      </c>
      <c r="T252" s="180" t="n">
        <v>-0.2</v>
      </c>
      <c r="U252" s="180" t="n">
        <v>-0.2</v>
      </c>
      <c r="V252" s="117" t="n">
        <v>0.5</v>
      </c>
      <c r="W252" s="185" t="n">
        <f aca="false">Таблица32[[#This Row],[Столбец7]]*Таблица32[[#This Row],[Ishga kelish nazoratchi2]]%</f>
        <v>0</v>
      </c>
      <c r="X252" s="188" t="n">
        <f aca="false">Таблица32[[#This Row],[Столбец7]]*Таблица32[[#This Row],[Ishga vaqtida kelish ketish]]%</f>
        <v>-120000</v>
      </c>
      <c r="Y252" s="186" t="n">
        <f aca="false">Таблица32[[#This Row],[Столбец7]]*Таблица32[[#This Row],[Ishga kelish bank klient]]%</f>
        <v>20000</v>
      </c>
      <c r="Z252" s="188" t="n">
        <f aca="false">Таблица32[[#This Row],[Столбец7]]*Таблица32[[#This Row],[Gruppa buxgalter]]%</f>
        <v>20000</v>
      </c>
      <c r="AA252" s="188" t="n">
        <f aca="false">Таблица32[[#This Row],[Столбец7]]*Таблица32[[#This Row],[Gruppa bank klient ]]%</f>
        <v>20000</v>
      </c>
      <c r="AB252" s="188" t="n">
        <f aca="false">Таблица32[[#This Row],[1c]]*Таблица32[[#This Row],[Столбец7]]/100</f>
        <v>0</v>
      </c>
      <c r="AC252" s="187" t="n">
        <f aca="false">SUM(Таблица32[[#This Row],[Didox]:[ мехнат]],Таблица32[[#This Row],[Avtokameral]])*Таблица32[[#This Row],[Столбец7]]/100</f>
        <v>15000</v>
      </c>
      <c r="AD252" s="190" t="n">
        <f aca="false">SUM(Таблица32[[#This Row],[Pul oqimlari]:[Foyda va zarar]])*Таблица32[[#This Row],[Столбец7]]/100</f>
        <v>-4000</v>
      </c>
      <c r="AE252" s="191" t="n">
        <f aca="false">Таблица32[[#This Row],[Столбец7]]*Таблица32[[#This Row],[Nazoratchi]]%</f>
        <v>10000</v>
      </c>
      <c r="AF252" s="188" t="n">
        <f aca="false">Таблица32[[#This Row],[Ishga vaqtida kelish nazoratchi]]+Таблица32[[#This Row],[Nazoratchi2]]</f>
        <v>10000</v>
      </c>
      <c r="AG25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-89000</v>
      </c>
      <c r="AH252" s="188" t="n">
        <f aca="false">Таблица32[[#This Row],[Ishga kelish bank klient3]]+Таблица32[[#This Row],[Gruppa bank klient 2]]</f>
        <v>40000</v>
      </c>
    </row>
    <row r="253" customFormat="false" ht="17.35" hidden="false" customHeight="false" outlineLevel="0" collapsed="false">
      <c r="A253" s="112" t="n">
        <v>251</v>
      </c>
      <c r="B253" s="141" t="s">
        <v>459</v>
      </c>
      <c r="C253" s="141" t="s">
        <v>229</v>
      </c>
      <c r="D253" s="141"/>
      <c r="E253" s="150" t="n">
        <v>300000</v>
      </c>
      <c r="F253" s="113" t="s">
        <v>213</v>
      </c>
      <c r="G253" s="174" t="n">
        <v>-1.05</v>
      </c>
      <c r="H253" s="184"/>
      <c r="I253" s="184"/>
      <c r="J253" s="174" t="n">
        <v>1</v>
      </c>
      <c r="K253" s="174"/>
      <c r="L253" s="180" t="n">
        <v>0</v>
      </c>
      <c r="M253" s="180" t="n">
        <v>0</v>
      </c>
      <c r="N253" s="180" t="n">
        <v>0</v>
      </c>
      <c r="O253" s="180" t="n">
        <v>-1</v>
      </c>
      <c r="P253" s="180" t="n">
        <v>0</v>
      </c>
      <c r="Q253" s="180" t="n">
        <v>0</v>
      </c>
      <c r="R253" s="180" t="n">
        <v>0</v>
      </c>
      <c r="S253" s="180" t="n">
        <v>0</v>
      </c>
      <c r="T253" s="180" t="n">
        <v>0</v>
      </c>
      <c r="U253" s="180" t="n">
        <v>0</v>
      </c>
      <c r="V253" s="117" t="n">
        <v>0.5</v>
      </c>
      <c r="W253" s="185" t="n">
        <f aca="false">Таблица32[[#This Row],[Столбец7]]*Таблица32[[#This Row],[Ishga kelish nazoratchi2]]%</f>
        <v>0</v>
      </c>
      <c r="X253" s="188" t="n">
        <f aca="false">Таблица32[[#This Row],[Столбец7]]*Таблица32[[#This Row],[Ishga vaqtida kelish ketish]]%</f>
        <v>-3150</v>
      </c>
      <c r="Y253" s="186" t="n">
        <f aca="false">Таблица32[[#This Row],[Столбец7]]*Таблица32[[#This Row],[Ishga kelish bank klient]]%</f>
        <v>0</v>
      </c>
      <c r="Z253" s="188" t="n">
        <f aca="false">Таблица32[[#This Row],[Столбец7]]*Таблица32[[#This Row],[Gruppa buxgalter]]%</f>
        <v>3000</v>
      </c>
      <c r="AA253" s="188" t="n">
        <f aca="false">Таблица32[[#This Row],[Столбец7]]*Таблица32[[#This Row],[Gruppa bank klient ]]%</f>
        <v>0</v>
      </c>
      <c r="AB253" s="188" t="n">
        <f aca="false">Таблица32[[#This Row],[1c]]*Таблица32[[#This Row],[Столбец7]]/100</f>
        <v>-3000</v>
      </c>
      <c r="AC253" s="187" t="n">
        <f aca="false">SUM(Таблица32[[#This Row],[Didox]:[ мехнат]],Таблица32[[#This Row],[Avtokameral]])*Таблица32[[#This Row],[Столбец7]]/100</f>
        <v>0</v>
      </c>
      <c r="AD253" s="190" t="n">
        <f aca="false">SUM(Таблица32[[#This Row],[Pul oqimlari]:[Foyda va zarar]])*Таблица32[[#This Row],[Столбец7]]/100</f>
        <v>0</v>
      </c>
      <c r="AE253" s="191" t="n">
        <f aca="false">Таблица32[[#This Row],[Столбец7]]*Таблица32[[#This Row],[Nazoratchi]]%</f>
        <v>1500</v>
      </c>
      <c r="AF253" s="188" t="n">
        <f aca="false">Таблица32[[#This Row],[Ishga vaqtida kelish nazoratchi]]+Таблица32[[#This Row],[Nazoratchi2]]</f>
        <v>1500</v>
      </c>
      <c r="AG25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-3150</v>
      </c>
      <c r="AH253" s="188" t="n">
        <f aca="false">Таблица32[[#This Row],[Ishga kelish bank klient3]]+Таблица32[[#This Row],[Gruppa bank klient 2]]</f>
        <v>0</v>
      </c>
    </row>
    <row r="254" customFormat="false" ht="17.35" hidden="false" customHeight="false" outlineLevel="0" collapsed="false">
      <c r="A254" s="112" t="n">
        <v>253</v>
      </c>
      <c r="B254" s="141" t="s">
        <v>460</v>
      </c>
      <c r="C254" s="141" t="s">
        <v>229</v>
      </c>
      <c r="D254" s="141"/>
      <c r="E254" s="150" t="n">
        <v>1000000</v>
      </c>
      <c r="F254" s="113" t="s">
        <v>213</v>
      </c>
      <c r="G254" s="174" t="n">
        <v>-1.05</v>
      </c>
      <c r="H254" s="184"/>
      <c r="I254" s="184"/>
      <c r="J254" s="174" t="n">
        <v>1</v>
      </c>
      <c r="K254" s="174"/>
      <c r="L254" s="180" t="n">
        <v>0.25</v>
      </c>
      <c r="M254" s="180" t="n">
        <v>0.25</v>
      </c>
      <c r="N254" s="180"/>
      <c r="O254" s="180" t="n">
        <v>-1</v>
      </c>
      <c r="P254" s="180" t="n">
        <v>0</v>
      </c>
      <c r="Q254" s="180" t="n">
        <v>0</v>
      </c>
      <c r="R254" s="180" t="n">
        <v>0</v>
      </c>
      <c r="S254" s="180" t="n">
        <v>0</v>
      </c>
      <c r="T254" s="180" t="n">
        <v>0</v>
      </c>
      <c r="U254" s="180" t="n">
        <v>0</v>
      </c>
      <c r="V254" s="117" t="n">
        <v>0.5</v>
      </c>
      <c r="W254" s="185" t="n">
        <f aca="false">Таблица32[[#This Row],[Столбец7]]*Таблица32[[#This Row],[Ishga kelish nazoratchi2]]%</f>
        <v>0</v>
      </c>
      <c r="X254" s="188" t="n">
        <f aca="false">Таблица32[[#This Row],[Столбец7]]*Таблица32[[#This Row],[Ishga vaqtida kelish ketish]]%</f>
        <v>-10500</v>
      </c>
      <c r="Y254" s="186" t="n">
        <f aca="false">Таблица32[[#This Row],[Столбец7]]*Таблица32[[#This Row],[Ishga kelish bank klient]]%</f>
        <v>0</v>
      </c>
      <c r="Z254" s="188" t="n">
        <f aca="false">Таблица32[[#This Row],[Столбец7]]*Таблица32[[#This Row],[Gruppa buxgalter]]%</f>
        <v>10000</v>
      </c>
      <c r="AA254" s="188" t="n">
        <f aca="false">Таблица32[[#This Row],[Столбец7]]*Таблица32[[#This Row],[Gruppa bank klient ]]%</f>
        <v>0</v>
      </c>
      <c r="AB254" s="188" t="n">
        <f aca="false">Таблица32[[#This Row],[1c]]*Таблица32[[#This Row],[Столбец7]]/100</f>
        <v>-10000</v>
      </c>
      <c r="AC254" s="187" t="n">
        <f aca="false">SUM(Таблица32[[#This Row],[Didox]:[ мехнат]],Таблица32[[#This Row],[Avtokameral]])*Таблица32[[#This Row],[Столбец7]]/100</f>
        <v>5000</v>
      </c>
      <c r="AD254" s="190" t="n">
        <f aca="false">SUM(Таблица32[[#This Row],[Pul oqimlari]:[Foyda va zarar]])*Таблица32[[#This Row],[Столбец7]]/100</f>
        <v>0</v>
      </c>
      <c r="AE254" s="191" t="n">
        <f aca="false">Таблица32[[#This Row],[Столбец7]]*Таблица32[[#This Row],[Nazoratchi]]%</f>
        <v>5000</v>
      </c>
      <c r="AF254" s="188" t="n">
        <f aca="false">Таблица32[[#This Row],[Ishga vaqtida kelish nazoratchi]]+Таблица32[[#This Row],[Nazoratchi2]]</f>
        <v>5000</v>
      </c>
      <c r="AG25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-5500</v>
      </c>
      <c r="AH254" s="188" t="n">
        <f aca="false">Таблица32[[#This Row],[Ishga kelish bank klient3]]+Таблица32[[#This Row],[Gruppa bank klient 2]]</f>
        <v>0</v>
      </c>
    </row>
    <row r="255" customFormat="false" ht="17.35" hidden="false" customHeight="false" outlineLevel="0" collapsed="false">
      <c r="A255" s="112" t="n">
        <v>254</v>
      </c>
      <c r="B255" s="133" t="s">
        <v>461</v>
      </c>
      <c r="C255" s="141" t="s">
        <v>229</v>
      </c>
      <c r="D255" s="141"/>
      <c r="E255" s="129" t="n">
        <v>500000</v>
      </c>
      <c r="F255" s="113" t="s">
        <v>213</v>
      </c>
      <c r="G255" s="174" t="n">
        <v>-1.05</v>
      </c>
      <c r="H255" s="184"/>
      <c r="I255" s="184"/>
      <c r="J255" s="174" t="n">
        <v>1</v>
      </c>
      <c r="K255" s="174"/>
      <c r="L255" s="180" t="n">
        <v>0.25</v>
      </c>
      <c r="M255" s="180" t="n">
        <v>0.25</v>
      </c>
      <c r="N255" s="180"/>
      <c r="O255" s="180" t="n">
        <v>-1</v>
      </c>
      <c r="P255" s="180" t="n">
        <v>0.25</v>
      </c>
      <c r="Q255" s="180" t="n">
        <v>0</v>
      </c>
      <c r="R255" s="180" t="n">
        <v>0</v>
      </c>
      <c r="S255" s="180" t="n">
        <v>0</v>
      </c>
      <c r="T255" s="180" t="n">
        <v>0</v>
      </c>
      <c r="U255" s="180" t="n">
        <v>0</v>
      </c>
      <c r="V255" s="117" t="n">
        <v>0.5</v>
      </c>
      <c r="W255" s="185" t="n">
        <f aca="false">Таблица32[[#This Row],[Столбец7]]*Таблица32[[#This Row],[Ishga kelish nazoratchi2]]%</f>
        <v>0</v>
      </c>
      <c r="X255" s="188" t="n">
        <f aca="false">Таблица32[[#This Row],[Столбец7]]*Таблица32[[#This Row],[Ishga vaqtida kelish ketish]]%</f>
        <v>-5250</v>
      </c>
      <c r="Y255" s="186" t="n">
        <f aca="false">Таблица32[[#This Row],[Столбец7]]*Таблица32[[#This Row],[Ishga kelish bank klient]]%</f>
        <v>0</v>
      </c>
      <c r="Z255" s="188" t="n">
        <f aca="false">Таблица32[[#This Row],[Столбец7]]*Таблица32[[#This Row],[Gruppa buxgalter]]%</f>
        <v>5000</v>
      </c>
      <c r="AA255" s="188" t="n">
        <f aca="false">Таблица32[[#This Row],[Столбец7]]*Таблица32[[#This Row],[Gruppa bank klient ]]%</f>
        <v>0</v>
      </c>
      <c r="AB255" s="188" t="n">
        <f aca="false">Таблица32[[#This Row],[1c]]*Таблица32[[#This Row],[Столбец7]]/100</f>
        <v>-5000</v>
      </c>
      <c r="AC255" s="187" t="n">
        <f aca="false">SUM(Таблица32[[#This Row],[Didox]:[ мехнат]],Таблица32[[#This Row],[Avtokameral]])*Таблица32[[#This Row],[Столбец7]]/100</f>
        <v>3750</v>
      </c>
      <c r="AD255" s="190" t="n">
        <f aca="false">SUM(Таблица32[[#This Row],[Pul oqimlari]:[Foyda va zarar]])*Таблица32[[#This Row],[Столбец7]]/100</f>
        <v>0</v>
      </c>
      <c r="AE255" s="191" t="n">
        <f aca="false">Таблица32[[#This Row],[Столбец7]]*Таблица32[[#This Row],[Nazoratchi]]%</f>
        <v>2500</v>
      </c>
      <c r="AF255" s="188" t="n">
        <f aca="false">Таблица32[[#This Row],[Ishga vaqtida kelish nazoratchi]]+Таблица32[[#This Row],[Nazoratchi2]]</f>
        <v>2500</v>
      </c>
      <c r="AG25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-1500</v>
      </c>
      <c r="AH255" s="188" t="n">
        <f aca="false">Таблица32[[#This Row],[Ishga kelish bank klient3]]+Таблица32[[#This Row],[Gruppa bank klient 2]]</f>
        <v>0</v>
      </c>
    </row>
    <row r="256" customFormat="false" ht="17.35" hidden="false" customHeight="false" outlineLevel="0" collapsed="false">
      <c r="A256" s="112" t="n">
        <v>255</v>
      </c>
      <c r="B256" s="133" t="s">
        <v>462</v>
      </c>
      <c r="C256" s="141" t="s">
        <v>229</v>
      </c>
      <c r="D256" s="141"/>
      <c r="E256" s="129" t="n">
        <v>500000</v>
      </c>
      <c r="F256" s="113" t="s">
        <v>213</v>
      </c>
      <c r="G256" s="174" t="n">
        <v>-1.05</v>
      </c>
      <c r="H256" s="184"/>
      <c r="I256" s="184"/>
      <c r="J256" s="174" t="n">
        <v>1</v>
      </c>
      <c r="K256" s="174"/>
      <c r="L256" s="180" t="n">
        <v>0.25</v>
      </c>
      <c r="M256" s="180" t="n">
        <v>-0.25</v>
      </c>
      <c r="N256" s="180"/>
      <c r="O256" s="180" t="n">
        <v>-1</v>
      </c>
      <c r="P256" s="180" t="n">
        <v>0.25</v>
      </c>
      <c r="Q256" s="180" t="n">
        <v>0</v>
      </c>
      <c r="R256" s="180" t="n">
        <v>0</v>
      </c>
      <c r="S256" s="180" t="n">
        <v>0</v>
      </c>
      <c r="T256" s="180" t="n">
        <v>0</v>
      </c>
      <c r="U256" s="180" t="n">
        <v>0</v>
      </c>
      <c r="V256" s="117" t="n">
        <v>0.5</v>
      </c>
      <c r="W256" s="185" t="n">
        <f aca="false">Таблица32[[#This Row],[Столбец7]]*Таблица32[[#This Row],[Ishga kelish nazoratchi2]]%</f>
        <v>0</v>
      </c>
      <c r="X256" s="188" t="n">
        <f aca="false">Таблица32[[#This Row],[Столбец7]]*Таблица32[[#This Row],[Ishga vaqtida kelish ketish]]%</f>
        <v>-5250</v>
      </c>
      <c r="Y256" s="186" t="n">
        <f aca="false">Таблица32[[#This Row],[Столбец7]]*Таблица32[[#This Row],[Ishga kelish bank klient]]%</f>
        <v>0</v>
      </c>
      <c r="Z256" s="188" t="n">
        <f aca="false">Таблица32[[#This Row],[Столбец7]]*Таблица32[[#This Row],[Gruppa buxgalter]]%</f>
        <v>5000</v>
      </c>
      <c r="AA256" s="188" t="n">
        <f aca="false">Таблица32[[#This Row],[Столбец7]]*Таблица32[[#This Row],[Gruppa bank klient ]]%</f>
        <v>0</v>
      </c>
      <c r="AB256" s="188" t="n">
        <f aca="false">Таблица32[[#This Row],[1c]]*Таблица32[[#This Row],[Столбец7]]/100</f>
        <v>-5000</v>
      </c>
      <c r="AC256" s="187" t="n">
        <f aca="false">SUM(Таблица32[[#This Row],[Didox]:[ мехнат]],Таблица32[[#This Row],[Avtokameral]])*Таблица32[[#This Row],[Столбец7]]/100</f>
        <v>1250</v>
      </c>
      <c r="AD256" s="190" t="n">
        <f aca="false">SUM(Таблица32[[#This Row],[Pul oqimlari]:[Foyda va zarar]])*Таблица32[[#This Row],[Столбец7]]/100</f>
        <v>0</v>
      </c>
      <c r="AE256" s="191" t="n">
        <f aca="false">Таблица32[[#This Row],[Столбец7]]*Таблица32[[#This Row],[Nazoratchi]]%</f>
        <v>2500</v>
      </c>
      <c r="AF256" s="188" t="n">
        <f aca="false">Таблица32[[#This Row],[Ishga vaqtida kelish nazoratchi]]+Таблица32[[#This Row],[Nazoratchi2]]</f>
        <v>2500</v>
      </c>
      <c r="AG256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-4000</v>
      </c>
      <c r="AH256" s="188" t="n">
        <f aca="false">Таблица32[[#This Row],[Ishga kelish bank klient3]]+Таблица32[[#This Row],[Gruppa bank klient 2]]</f>
        <v>0</v>
      </c>
    </row>
    <row r="257" customFormat="false" ht="17.35" hidden="false" customHeight="false" outlineLevel="0" collapsed="false">
      <c r="A257" s="112" t="n">
        <v>256</v>
      </c>
      <c r="B257" s="133" t="s">
        <v>463</v>
      </c>
      <c r="C257" s="141" t="s">
        <v>213</v>
      </c>
      <c r="D257" s="141" t="s">
        <v>238</v>
      </c>
      <c r="E257" s="129" t="n">
        <v>1000000</v>
      </c>
      <c r="F257" s="113" t="s">
        <v>210</v>
      </c>
      <c r="G257" s="174" t="n">
        <v>-0.8</v>
      </c>
      <c r="H257" s="174" t="n">
        <v>1</v>
      </c>
      <c r="I257" s="184"/>
      <c r="J257" s="174" t="n">
        <v>1</v>
      </c>
      <c r="K257" s="174" t="n">
        <v>1</v>
      </c>
      <c r="L257" s="180" t="n">
        <v>0.25</v>
      </c>
      <c r="M257" s="180" t="n">
        <v>0.25</v>
      </c>
      <c r="N257" s="180" t="n">
        <v>0.25</v>
      </c>
      <c r="O257" s="180"/>
      <c r="P257" s="180" t="n">
        <v>-0.25</v>
      </c>
      <c r="Q257" s="180" t="n">
        <v>0</v>
      </c>
      <c r="R257" s="180" t="n">
        <v>0</v>
      </c>
      <c r="S257" s="180" t="n">
        <v>0</v>
      </c>
      <c r="T257" s="180" t="n">
        <v>0</v>
      </c>
      <c r="U257" s="180" t="n">
        <v>0</v>
      </c>
      <c r="V257" s="117" t="n">
        <v>0.5</v>
      </c>
      <c r="W257" s="185" t="n">
        <f aca="false">Таблица32[[#This Row],[Столбец7]]*Таблица32[[#This Row],[Ishga kelish nazoratchi2]]%</f>
        <v>0</v>
      </c>
      <c r="X257" s="188" t="n">
        <f aca="false">Таблица32[[#This Row],[Столбец7]]*Таблица32[[#This Row],[Ishga vaqtida kelish ketish]]%</f>
        <v>-8000</v>
      </c>
      <c r="Y257" s="186" t="n">
        <f aca="false">Таблица32[[#This Row],[Столбец7]]*Таблица32[[#This Row],[Ishga kelish bank klient]]%</f>
        <v>10000</v>
      </c>
      <c r="Z257" s="188" t="n">
        <f aca="false">Таблица32[[#This Row],[Столбец7]]*Таблица32[[#This Row],[Gruppa buxgalter]]%</f>
        <v>10000</v>
      </c>
      <c r="AA257" s="188" t="n">
        <f aca="false">Таблица32[[#This Row],[Столбец7]]*Таблица32[[#This Row],[Gruppa bank klient ]]%</f>
        <v>10000</v>
      </c>
      <c r="AB257" s="188" t="n">
        <f aca="false">Таблица32[[#This Row],[1c]]*Таблица32[[#This Row],[Столбец7]]/100</f>
        <v>0</v>
      </c>
      <c r="AC257" s="187" t="n">
        <f aca="false">SUM(Таблица32[[#This Row],[Didox]:[ мехнат]],Таблица32[[#This Row],[Avtokameral]])*Таблица32[[#This Row],[Столбец7]]/100</f>
        <v>5000</v>
      </c>
      <c r="AD257" s="190" t="n">
        <f aca="false">SUM(Таблица32[[#This Row],[Pul oqimlari]:[Foyda va zarar]])*Таблица32[[#This Row],[Столбец7]]/100</f>
        <v>0</v>
      </c>
      <c r="AE257" s="191" t="n">
        <f aca="false">Таблица32[[#This Row],[Столбец7]]*Таблица32[[#This Row],[Nazoratchi]]%</f>
        <v>5000</v>
      </c>
      <c r="AF257" s="188" t="n">
        <f aca="false">Таблица32[[#This Row],[Ishga vaqtida kelish nazoratchi]]+Таблица32[[#This Row],[Nazoratchi2]]</f>
        <v>5000</v>
      </c>
      <c r="AG257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7000</v>
      </c>
      <c r="AH257" s="188" t="n">
        <f aca="false">Таблица32[[#This Row],[Ishga kelish bank klient3]]+Таблица32[[#This Row],[Gruppa bank klient 2]]</f>
        <v>20000</v>
      </c>
    </row>
    <row r="258" customFormat="false" ht="17.35" hidden="false" customHeight="false" outlineLevel="0" collapsed="false">
      <c r="A258" s="112" t="n">
        <v>257</v>
      </c>
      <c r="B258" s="133" t="s">
        <v>464</v>
      </c>
      <c r="C258" s="113" t="s">
        <v>220</v>
      </c>
      <c r="D258" s="114" t="s">
        <v>238</v>
      </c>
      <c r="E258" s="129" t="n">
        <v>3500000</v>
      </c>
      <c r="F258" s="113" t="s">
        <v>213</v>
      </c>
      <c r="G258" s="174" t="n">
        <v>0.55</v>
      </c>
      <c r="H258" s="174" t="n">
        <v>1</v>
      </c>
      <c r="I258" s="184"/>
      <c r="J258" s="174" t="n">
        <v>1</v>
      </c>
      <c r="K258" s="174" t="n">
        <v>1</v>
      </c>
      <c r="L258" s="180" t="n">
        <v>0.25</v>
      </c>
      <c r="M258" s="180" t="n">
        <v>0.25</v>
      </c>
      <c r="N258" s="180"/>
      <c r="O258" s="180"/>
      <c r="P258" s="180" t="n">
        <v>0.25</v>
      </c>
      <c r="Q258" s="180" t="n">
        <v>0</v>
      </c>
      <c r="R258" s="180" t="n">
        <v>0</v>
      </c>
      <c r="S258" s="180" t="n">
        <v>0</v>
      </c>
      <c r="T258" s="180" t="n">
        <v>0</v>
      </c>
      <c r="U258" s="180" t="n">
        <v>0</v>
      </c>
      <c r="V258" s="117" t="n">
        <v>0.5</v>
      </c>
      <c r="W258" s="185" t="n">
        <f aca="false">Таблица32[[#This Row],[Столбец7]]*Таблица32[[#This Row],[Ishga kelish nazoratchi2]]%</f>
        <v>0</v>
      </c>
      <c r="X258" s="188" t="n">
        <f aca="false">Таблица32[[#This Row],[Столбец7]]*Таблица32[[#This Row],[Ishga vaqtida kelish ketish]]%</f>
        <v>19250</v>
      </c>
      <c r="Y258" s="186" t="n">
        <f aca="false">Таблица32[[#This Row],[Столбец7]]*Таблица32[[#This Row],[Ishga kelish bank klient]]%</f>
        <v>35000</v>
      </c>
      <c r="Z258" s="188" t="n">
        <f aca="false">Таблица32[[#This Row],[Столбец7]]*Таблица32[[#This Row],[Gruppa buxgalter]]%</f>
        <v>35000</v>
      </c>
      <c r="AA258" s="188" t="n">
        <f aca="false">Таблица32[[#This Row],[Столбец7]]*Таблица32[[#This Row],[Gruppa bank klient ]]%</f>
        <v>35000</v>
      </c>
      <c r="AB258" s="188" t="n">
        <f aca="false">Таблица32[[#This Row],[1c]]*Таблица32[[#This Row],[Столбец7]]/100</f>
        <v>0</v>
      </c>
      <c r="AC258" s="187" t="n">
        <f aca="false">SUM(Таблица32[[#This Row],[Didox]:[ мехнат]],Таблица32[[#This Row],[Avtokameral]])*Таблица32[[#This Row],[Столбец7]]/100</f>
        <v>26250</v>
      </c>
      <c r="AD258" s="190" t="n">
        <f aca="false">SUM(Таблица32[[#This Row],[Pul oqimlari]:[Foyda va zarar]])*Таблица32[[#This Row],[Столбец7]]/100</f>
        <v>0</v>
      </c>
      <c r="AE258" s="191" t="n">
        <f aca="false">Таблица32[[#This Row],[Столбец7]]*Таблица32[[#This Row],[Nazoratchi]]%</f>
        <v>17500</v>
      </c>
      <c r="AF258" s="188" t="n">
        <f aca="false">Таблица32[[#This Row],[Ishga vaqtida kelish nazoratchi]]+Таблица32[[#This Row],[Nazoratchi2]]</f>
        <v>17500</v>
      </c>
      <c r="AG25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80500</v>
      </c>
      <c r="AH258" s="188" t="n">
        <f aca="false">Таблица32[[#This Row],[Ishga kelish bank klient3]]+Таблица32[[#This Row],[Gruppa bank klient 2]]</f>
        <v>70000</v>
      </c>
    </row>
    <row r="259" customFormat="false" ht="17.35" hidden="false" customHeight="false" outlineLevel="0" collapsed="false">
      <c r="A259" s="112" t="n">
        <v>258</v>
      </c>
      <c r="B259" s="133" t="s">
        <v>465</v>
      </c>
      <c r="C259" s="113" t="s">
        <v>213</v>
      </c>
      <c r="D259" s="114"/>
      <c r="E259" s="129" t="n">
        <v>5000000</v>
      </c>
      <c r="F259" s="113" t="s">
        <v>210</v>
      </c>
      <c r="G259" s="174" t="n">
        <v>-0.8</v>
      </c>
      <c r="H259" s="184"/>
      <c r="I259" s="184"/>
      <c r="J259" s="174" t="n">
        <v>1</v>
      </c>
      <c r="K259" s="174"/>
      <c r="L259" s="180" t="n">
        <v>0</v>
      </c>
      <c r="M259" s="180" t="n">
        <v>0.25</v>
      </c>
      <c r="N259" s="180"/>
      <c r="O259" s="180"/>
      <c r="P259" s="180" t="n">
        <v>0</v>
      </c>
      <c r="Q259" s="180" t="n">
        <v>0</v>
      </c>
      <c r="R259" s="180" t="n">
        <v>0</v>
      </c>
      <c r="S259" s="180" t="n">
        <v>0</v>
      </c>
      <c r="T259" s="180" t="n">
        <v>0</v>
      </c>
      <c r="U259" s="180" t="n">
        <v>0</v>
      </c>
      <c r="V259" s="117" t="n">
        <v>0.5</v>
      </c>
      <c r="W259" s="185" t="n">
        <f aca="false">Таблица32[[#This Row],[Столбец7]]*Таблица32[[#This Row],[Ishga kelish nazoratchi2]]%</f>
        <v>0</v>
      </c>
      <c r="X259" s="188" t="n">
        <f aca="false">Таблица32[[#This Row],[Столбец7]]*Таблица32[[#This Row],[Ishga vaqtida kelish ketish]]%</f>
        <v>-40000</v>
      </c>
      <c r="Y259" s="186" t="n">
        <f aca="false">Таблица32[[#This Row],[Столбец7]]*Таблица32[[#This Row],[Ishga kelish bank klient]]%</f>
        <v>0</v>
      </c>
      <c r="Z259" s="188" t="n">
        <f aca="false">Таблица32[[#This Row],[Столбец7]]*Таблица32[[#This Row],[Gruppa buxgalter]]%</f>
        <v>50000</v>
      </c>
      <c r="AA259" s="188" t="n">
        <f aca="false">Таблица32[[#This Row],[Столбец7]]*Таблица32[[#This Row],[Gruppa bank klient ]]%</f>
        <v>0</v>
      </c>
      <c r="AB259" s="188" t="n">
        <f aca="false">Таблица32[[#This Row],[1c]]*Таблица32[[#This Row],[Столбец7]]/100</f>
        <v>0</v>
      </c>
      <c r="AC259" s="187" t="n">
        <f aca="false">SUM(Таблица32[[#This Row],[Didox]:[ мехнат]],Таблица32[[#This Row],[Avtokameral]])*Таблица32[[#This Row],[Столбец7]]/100</f>
        <v>12500</v>
      </c>
      <c r="AD259" s="190" t="n">
        <f aca="false">SUM(Таблица32[[#This Row],[Pul oqimlari]:[Foyda va zarar]])*Таблица32[[#This Row],[Столбец7]]/100</f>
        <v>0</v>
      </c>
      <c r="AE259" s="191" t="n">
        <f aca="false">Таблица32[[#This Row],[Столбец7]]*Таблица32[[#This Row],[Nazoratchi]]%</f>
        <v>25000</v>
      </c>
      <c r="AF259" s="188" t="n">
        <f aca="false">Таблица32[[#This Row],[Ishga vaqtida kelish nazoratchi]]+Таблица32[[#This Row],[Nazoratchi2]]</f>
        <v>25000</v>
      </c>
      <c r="AG25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22500</v>
      </c>
      <c r="AH259" s="188" t="n">
        <f aca="false">Таблица32[[#This Row],[Ishga kelish bank klient3]]+Таблица32[[#This Row],[Gruppa bank klient 2]]</f>
        <v>0</v>
      </c>
    </row>
    <row r="260" customFormat="false" ht="17.35" hidden="false" customHeight="false" outlineLevel="0" collapsed="false">
      <c r="A260" s="112" t="n">
        <v>259</v>
      </c>
      <c r="B260" s="133" t="s">
        <v>466</v>
      </c>
      <c r="C260" s="113" t="s">
        <v>216</v>
      </c>
      <c r="D260" s="114"/>
      <c r="E260" s="129" t="n">
        <v>700000</v>
      </c>
      <c r="F260" s="113" t="s">
        <v>210</v>
      </c>
      <c r="G260" s="174" t="n">
        <v>-0.25</v>
      </c>
      <c r="H260" s="184"/>
      <c r="I260" s="184"/>
      <c r="J260" s="174" t="n">
        <v>1</v>
      </c>
      <c r="K260" s="174"/>
      <c r="L260" s="180" t="n">
        <v>0.25</v>
      </c>
      <c r="M260" s="180" t="n">
        <v>-0.25</v>
      </c>
      <c r="N260" s="180"/>
      <c r="O260" s="180"/>
      <c r="P260" s="180" t="n">
        <v>-0.25</v>
      </c>
      <c r="Q260" s="180"/>
      <c r="R260" s="180"/>
      <c r="S260" s="180"/>
      <c r="T260" s="180"/>
      <c r="U260" s="180"/>
      <c r="V260" s="117" t="n">
        <v>0.5</v>
      </c>
      <c r="W260" s="185" t="n">
        <f aca="false">Таблица32[[#This Row],[Столбец7]]*Таблица32[[#This Row],[Ishga kelish nazoratchi2]]%</f>
        <v>0</v>
      </c>
      <c r="X260" s="188" t="n">
        <f aca="false">Таблица32[[#This Row],[Столбец7]]*Таблица32[[#This Row],[Ishga vaqtida kelish ketish]]%</f>
        <v>-1750</v>
      </c>
      <c r="Y260" s="186" t="n">
        <f aca="false">Таблица32[[#This Row],[Столбец7]]*Таблица32[[#This Row],[Ishga kelish bank klient]]%</f>
        <v>0</v>
      </c>
      <c r="Z260" s="188" t="n">
        <f aca="false">Таблица32[[#This Row],[Столбец7]]*Таблица32[[#This Row],[Gruppa buxgalter]]%</f>
        <v>7000</v>
      </c>
      <c r="AA260" s="188" t="n">
        <f aca="false">Таблица32[[#This Row],[Столбец7]]*Таблица32[[#This Row],[Gruppa bank klient ]]%</f>
        <v>0</v>
      </c>
      <c r="AB260" s="188" t="n">
        <f aca="false">Таблица32[[#This Row],[1c]]*Таблица32[[#This Row],[Столбец7]]/100</f>
        <v>0</v>
      </c>
      <c r="AC260" s="187" t="n">
        <f aca="false">SUM(Таблица32[[#This Row],[Didox]:[ мехнат]],Таблица32[[#This Row],[Avtokameral]])*Таблица32[[#This Row],[Столбец7]]/100</f>
        <v>-1750</v>
      </c>
      <c r="AD260" s="190" t="n">
        <f aca="false">SUM(Таблица32[[#This Row],[Pul oqimlari]:[Foyda va zarar]])*Таблица32[[#This Row],[Столбец7]]/100</f>
        <v>0</v>
      </c>
      <c r="AE260" s="191" t="n">
        <f aca="false">Таблица32[[#This Row],[Столбец7]]*Таблица32[[#This Row],[Nazoratchi]]%</f>
        <v>3500</v>
      </c>
      <c r="AF260" s="188" t="n">
        <f aca="false">Таблица32[[#This Row],[Ishga vaqtida kelish nazoratchi]]+Таблица32[[#This Row],[Nazoratchi2]]</f>
        <v>3500</v>
      </c>
      <c r="AG260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3500</v>
      </c>
      <c r="AH260" s="188" t="n">
        <f aca="false">Таблица32[[#This Row],[Ishga kelish bank klient3]]+Таблица32[[#This Row],[Gruppa bank klient 2]]</f>
        <v>0</v>
      </c>
    </row>
    <row r="261" customFormat="false" ht="17.35" hidden="false" customHeight="false" outlineLevel="0" collapsed="false">
      <c r="A261" s="112" t="n">
        <v>260</v>
      </c>
      <c r="B261" s="133" t="s">
        <v>467</v>
      </c>
      <c r="C261" s="113" t="s">
        <v>216</v>
      </c>
      <c r="D261" s="114"/>
      <c r="E261" s="129" t="n">
        <v>700000</v>
      </c>
      <c r="F261" s="113" t="s">
        <v>210</v>
      </c>
      <c r="G261" s="174" t="n">
        <v>-0.25</v>
      </c>
      <c r="H261" s="184"/>
      <c r="I261" s="184"/>
      <c r="J261" s="174" t="n">
        <v>1</v>
      </c>
      <c r="K261" s="174"/>
      <c r="L261" s="180" t="n">
        <v>0.25</v>
      </c>
      <c r="M261" s="180" t="n">
        <v>-0.25</v>
      </c>
      <c r="N261" s="180"/>
      <c r="O261" s="180"/>
      <c r="P261" s="180" t="n">
        <v>0.25</v>
      </c>
      <c r="Q261" s="180"/>
      <c r="R261" s="180"/>
      <c r="S261" s="180"/>
      <c r="T261" s="180"/>
      <c r="U261" s="180"/>
      <c r="V261" s="117" t="n">
        <v>0.5</v>
      </c>
      <c r="W261" s="185" t="n">
        <f aca="false">Таблица32[[#This Row],[Столбец7]]*Таблица32[[#This Row],[Ishga kelish nazoratchi2]]%</f>
        <v>0</v>
      </c>
      <c r="X261" s="188" t="n">
        <f aca="false">Таблица32[[#This Row],[Столбец7]]*Таблица32[[#This Row],[Ishga vaqtida kelish ketish]]%</f>
        <v>-1750</v>
      </c>
      <c r="Y261" s="186" t="n">
        <f aca="false">Таблица32[[#This Row],[Столбец7]]*Таблица32[[#This Row],[Ishga kelish bank klient]]%</f>
        <v>0</v>
      </c>
      <c r="Z261" s="188" t="n">
        <f aca="false">Таблица32[[#This Row],[Столбец7]]*Таблица32[[#This Row],[Gruppa buxgalter]]%</f>
        <v>7000</v>
      </c>
      <c r="AA261" s="188" t="n">
        <f aca="false">Таблица32[[#This Row],[Столбец7]]*Таблица32[[#This Row],[Gruppa bank klient ]]%</f>
        <v>0</v>
      </c>
      <c r="AB261" s="188" t="n">
        <f aca="false">Таблица32[[#This Row],[1c]]*Таблица32[[#This Row],[Столбец7]]/100</f>
        <v>0</v>
      </c>
      <c r="AC261" s="187" t="n">
        <f aca="false">SUM(Таблица32[[#This Row],[Didox]:[ мехнат]],Таблица32[[#This Row],[Avtokameral]])*Таблица32[[#This Row],[Столбец7]]/100</f>
        <v>1750</v>
      </c>
      <c r="AD261" s="190" t="n">
        <f aca="false">SUM(Таблица32[[#This Row],[Pul oqimlari]:[Foyda va zarar]])*Таблица32[[#This Row],[Столбец7]]/100</f>
        <v>0</v>
      </c>
      <c r="AE261" s="191" t="n">
        <f aca="false">Таблица32[[#This Row],[Столбец7]]*Таблица32[[#This Row],[Nazoratchi]]%</f>
        <v>3500</v>
      </c>
      <c r="AF261" s="188" t="n">
        <f aca="false">Таблица32[[#This Row],[Ishga vaqtida kelish nazoratchi]]+Таблица32[[#This Row],[Nazoratchi2]]</f>
        <v>3500</v>
      </c>
      <c r="AG261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7000</v>
      </c>
      <c r="AH261" s="188" t="n">
        <f aca="false">Таблица32[[#This Row],[Ishga kelish bank klient3]]+Таблица32[[#This Row],[Gruppa bank klient 2]]</f>
        <v>0</v>
      </c>
    </row>
    <row r="262" customFormat="false" ht="17.35" hidden="false" customHeight="false" outlineLevel="0" collapsed="false">
      <c r="A262" s="112" t="n">
        <v>261</v>
      </c>
      <c r="B262" s="133" t="s">
        <v>468</v>
      </c>
      <c r="C262" s="113" t="s">
        <v>216</v>
      </c>
      <c r="D262" s="114"/>
      <c r="E262" s="129" t="n">
        <v>1000000</v>
      </c>
      <c r="F262" s="113" t="s">
        <v>210</v>
      </c>
      <c r="G262" s="174" t="n">
        <v>-0.25</v>
      </c>
      <c r="H262" s="184"/>
      <c r="I262" s="184"/>
      <c r="J262" s="174" t="n">
        <v>1</v>
      </c>
      <c r="K262" s="174"/>
      <c r="L262" s="180" t="n">
        <v>0.25</v>
      </c>
      <c r="M262" s="180" t="n">
        <v>-0.25</v>
      </c>
      <c r="N262" s="180"/>
      <c r="O262" s="180"/>
      <c r="P262" s="180" t="n">
        <v>0.25</v>
      </c>
      <c r="Q262" s="180"/>
      <c r="R262" s="180"/>
      <c r="S262" s="180"/>
      <c r="T262" s="180"/>
      <c r="U262" s="180"/>
      <c r="V262" s="117" t="n">
        <v>0.5</v>
      </c>
      <c r="W262" s="185" t="n">
        <f aca="false">Таблица32[[#This Row],[Столбец7]]*Таблица32[[#This Row],[Ishga kelish nazoratchi2]]%</f>
        <v>0</v>
      </c>
      <c r="X262" s="188" t="n">
        <f aca="false">Таблица32[[#This Row],[Столбец7]]*Таблица32[[#This Row],[Ishga vaqtida kelish ketish]]%</f>
        <v>-2500</v>
      </c>
      <c r="Y262" s="186" t="n">
        <f aca="false">Таблица32[[#This Row],[Столбец7]]*Таблица32[[#This Row],[Ishga kelish bank klient]]%</f>
        <v>0</v>
      </c>
      <c r="Z262" s="188" t="n">
        <f aca="false">Таблица32[[#This Row],[Столбец7]]*Таблица32[[#This Row],[Gruppa buxgalter]]%</f>
        <v>10000</v>
      </c>
      <c r="AA262" s="188" t="n">
        <f aca="false">Таблица32[[#This Row],[Столбец7]]*Таблица32[[#This Row],[Gruppa bank klient ]]%</f>
        <v>0</v>
      </c>
      <c r="AB262" s="188" t="n">
        <f aca="false">Таблица32[[#This Row],[1c]]*Таблица32[[#This Row],[Столбец7]]/100</f>
        <v>0</v>
      </c>
      <c r="AC262" s="187" t="n">
        <f aca="false">SUM(Таблица32[[#This Row],[Didox]:[ мехнат]],Таблица32[[#This Row],[Avtokameral]])*Таблица32[[#This Row],[Столбец7]]/100</f>
        <v>2500</v>
      </c>
      <c r="AD262" s="190" t="n">
        <f aca="false">SUM(Таблица32[[#This Row],[Pul oqimlari]:[Foyda va zarar]])*Таблица32[[#This Row],[Столбец7]]/100</f>
        <v>0</v>
      </c>
      <c r="AE262" s="191" t="n">
        <f aca="false">Таблица32[[#This Row],[Столбец7]]*Таблица32[[#This Row],[Nazoratchi]]%</f>
        <v>5000</v>
      </c>
      <c r="AF262" s="188" t="n">
        <f aca="false">Таблица32[[#This Row],[Ishga vaqtida kelish nazoratchi]]+Таблица32[[#This Row],[Nazoratchi2]]</f>
        <v>5000</v>
      </c>
      <c r="AG262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10000</v>
      </c>
      <c r="AH262" s="188" t="n">
        <f aca="false">Таблица32[[#This Row],[Ishga kelish bank klient3]]+Таблица32[[#This Row],[Gruppa bank klient 2]]</f>
        <v>0</v>
      </c>
    </row>
    <row r="263" customFormat="false" ht="17.35" hidden="false" customHeight="false" outlineLevel="0" collapsed="false">
      <c r="A263" s="112" t="n">
        <v>262</v>
      </c>
      <c r="B263" s="133" t="s">
        <v>469</v>
      </c>
      <c r="C263" s="113" t="s">
        <v>211</v>
      </c>
      <c r="D263" s="114"/>
      <c r="E263" s="129" t="n">
        <v>500000</v>
      </c>
      <c r="F263" s="113" t="s">
        <v>210</v>
      </c>
      <c r="G263" s="174"/>
      <c r="H263" s="184"/>
      <c r="I263" s="184"/>
      <c r="J263" s="174" t="n">
        <v>1</v>
      </c>
      <c r="K263" s="174"/>
      <c r="L263" s="180" t="n">
        <v>0</v>
      </c>
      <c r="M263" s="180" t="n">
        <v>0</v>
      </c>
      <c r="N263" s="180" t="n">
        <v>0</v>
      </c>
      <c r="O263" s="180"/>
      <c r="P263" s="180" t="n">
        <v>0</v>
      </c>
      <c r="Q263" s="180" t="n">
        <v>0</v>
      </c>
      <c r="R263" s="180" t="n">
        <v>0</v>
      </c>
      <c r="S263" s="180" t="n">
        <v>0</v>
      </c>
      <c r="T263" s="180" t="n">
        <v>0</v>
      </c>
      <c r="U263" s="180" t="n">
        <v>0</v>
      </c>
      <c r="V263" s="117" t="n">
        <v>0.5</v>
      </c>
      <c r="W263" s="185" t="n">
        <f aca="false">Таблица32[[#This Row],[Столбец7]]*Таблица32[[#This Row],[Ishga kelish nazoratchi2]]%</f>
        <v>0</v>
      </c>
      <c r="X263" s="188" t="n">
        <f aca="false">Таблица32[[#This Row],[Столбец7]]*Таблица32[[#This Row],[Ishga vaqtida kelish ketish]]%</f>
        <v>0</v>
      </c>
      <c r="Y263" s="186" t="n">
        <f aca="false">Таблица32[[#This Row],[Столбец7]]*Таблица32[[#This Row],[Ishga kelish bank klient]]%</f>
        <v>0</v>
      </c>
      <c r="Z263" s="188" t="n">
        <f aca="false">Таблица32[[#This Row],[Столбец7]]*Таблица32[[#This Row],[Gruppa buxgalter]]%</f>
        <v>5000</v>
      </c>
      <c r="AA263" s="188" t="n">
        <f aca="false">Таблица32[[#This Row],[Столбец7]]*Таблица32[[#This Row],[Gruppa bank klient ]]%</f>
        <v>0</v>
      </c>
      <c r="AB263" s="188" t="n">
        <f aca="false">Таблица32[[#This Row],[1c]]*Таблица32[[#This Row],[Столбец7]]/100</f>
        <v>0</v>
      </c>
      <c r="AC263" s="187" t="n">
        <f aca="false">SUM(Таблица32[[#This Row],[Didox]:[ мехнат]],Таблица32[[#This Row],[Avtokameral]])*Таблица32[[#This Row],[Столбец7]]/100</f>
        <v>0</v>
      </c>
      <c r="AD263" s="190" t="n">
        <f aca="false">SUM(Таблица32[[#This Row],[Pul oqimlari]:[Foyda va zarar]])*Таблица32[[#This Row],[Столбец7]]/100</f>
        <v>0</v>
      </c>
      <c r="AE263" s="191" t="n">
        <f aca="false">Таблица32[[#This Row],[Столбец7]]*Таблица32[[#This Row],[Nazoratchi]]%</f>
        <v>2500</v>
      </c>
      <c r="AF263" s="188" t="n">
        <f aca="false">Таблица32[[#This Row],[Ishga vaqtida kelish nazoratchi]]+Таблица32[[#This Row],[Nazoratchi2]]</f>
        <v>2500</v>
      </c>
      <c r="AG263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5000</v>
      </c>
      <c r="AH263" s="188" t="n">
        <f aca="false">Таблица32[[#This Row],[Ishga kelish bank klient3]]+Таблица32[[#This Row],[Gruppa bank klient 2]]</f>
        <v>0</v>
      </c>
    </row>
    <row r="264" customFormat="false" ht="17.35" hidden="false" customHeight="false" outlineLevel="0" collapsed="false">
      <c r="A264" s="112" t="n">
        <v>263</v>
      </c>
      <c r="B264" s="133" t="s">
        <v>470</v>
      </c>
      <c r="C264" s="113" t="s">
        <v>210</v>
      </c>
      <c r="D264" s="114"/>
      <c r="E264" s="129" t="n">
        <v>700000</v>
      </c>
      <c r="F264" s="113" t="s">
        <v>213</v>
      </c>
      <c r="G264" s="174" t="n">
        <v>0.05</v>
      </c>
      <c r="H264" s="184"/>
      <c r="I264" s="184"/>
      <c r="J264" s="174" t="n">
        <v>1</v>
      </c>
      <c r="K264" s="174"/>
      <c r="L264" s="180" t="n">
        <v>0</v>
      </c>
      <c r="M264" s="180" t="n">
        <v>0</v>
      </c>
      <c r="N264" s="180" t="n">
        <v>0</v>
      </c>
      <c r="O264" s="180"/>
      <c r="P264" s="180" t="n">
        <v>0</v>
      </c>
      <c r="Q264" s="180" t="n">
        <v>0</v>
      </c>
      <c r="R264" s="180" t="n">
        <v>0</v>
      </c>
      <c r="S264" s="180" t="n">
        <v>0</v>
      </c>
      <c r="T264" s="180" t="n">
        <v>0</v>
      </c>
      <c r="U264" s="180" t="n">
        <v>0</v>
      </c>
      <c r="V264" s="174" t="n">
        <v>0.5</v>
      </c>
      <c r="W264" s="185" t="n">
        <f aca="false">Таблица32[[#This Row],[Столбец7]]*Таблица32[[#This Row],[Ishga kelish nazoratchi2]]%</f>
        <v>0</v>
      </c>
      <c r="X264" s="188" t="n">
        <f aca="false">Таблица32[[#This Row],[Столбец7]]*Таблица32[[#This Row],[Ishga vaqtida kelish ketish]]%</f>
        <v>350</v>
      </c>
      <c r="Y264" s="186" t="n">
        <f aca="false">Таблица32[[#This Row],[Столбец7]]*Таблица32[[#This Row],[Ishga kelish bank klient]]%</f>
        <v>0</v>
      </c>
      <c r="Z264" s="188" t="n">
        <f aca="false">Таблица32[[#This Row],[Столбец7]]*Таблица32[[#This Row],[Gruppa buxgalter]]%</f>
        <v>7000</v>
      </c>
      <c r="AA264" s="188" t="n">
        <f aca="false">Таблица32[[#This Row],[Столбец7]]*Таблица32[[#This Row],[Gruppa bank klient ]]%</f>
        <v>0</v>
      </c>
      <c r="AB264" s="188" t="n">
        <f aca="false">Таблица32[[#This Row],[1c]]*Таблица32[[#This Row],[Столбец7]]/100</f>
        <v>0</v>
      </c>
      <c r="AC264" s="187" t="n">
        <f aca="false">SUM(Таблица32[[#This Row],[Didox]:[ мехнат]],Таблица32[[#This Row],[Avtokameral]])*Таблица32[[#This Row],[Столбец7]]/100</f>
        <v>0</v>
      </c>
      <c r="AD264" s="190" t="n">
        <f aca="false">SUM(Таблица32[[#This Row],[Pul oqimlari]:[Foyda va zarar]])*Таблица32[[#This Row],[Столбец7]]/100</f>
        <v>0</v>
      </c>
      <c r="AE264" s="191" t="n">
        <f aca="false">Таблица32[[#This Row],[Столбец7]]*Таблица32[[#This Row],[Nazoratchi]]%</f>
        <v>3500</v>
      </c>
      <c r="AF264" s="188" t="n">
        <f aca="false">Таблица32[[#This Row],[Ishga vaqtida kelish nazoratchi]]+Таблица32[[#This Row],[Nazoratchi2]]</f>
        <v>3500</v>
      </c>
      <c r="AG264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7350</v>
      </c>
      <c r="AH264" s="188" t="n">
        <f aca="false">Таблица32[[#This Row],[Ishga kelish bank klient3]]+Таблица32[[#This Row],[Gruppa bank klient 2]]</f>
        <v>0</v>
      </c>
    </row>
    <row r="265" customFormat="false" ht="17.35" hidden="false" customHeight="false" outlineLevel="0" collapsed="false">
      <c r="A265" s="112" t="n">
        <v>264</v>
      </c>
      <c r="B265" s="133" t="s">
        <v>471</v>
      </c>
      <c r="C265" s="113" t="s">
        <v>210</v>
      </c>
      <c r="D265" s="114"/>
      <c r="E265" s="129" t="n">
        <v>1000000</v>
      </c>
      <c r="F265" s="113" t="s">
        <v>213</v>
      </c>
      <c r="G265" s="174" t="n">
        <v>0.05</v>
      </c>
      <c r="H265" s="184"/>
      <c r="I265" s="184"/>
      <c r="J265" s="174" t="n">
        <v>1</v>
      </c>
      <c r="K265" s="174"/>
      <c r="L265" s="180" t="n">
        <v>0</v>
      </c>
      <c r="M265" s="180" t="n">
        <v>0</v>
      </c>
      <c r="N265" s="180" t="n">
        <v>0</v>
      </c>
      <c r="O265" s="180"/>
      <c r="P265" s="180" t="n">
        <v>0</v>
      </c>
      <c r="Q265" s="180" t="n">
        <v>0</v>
      </c>
      <c r="R265" s="180" t="n">
        <v>0</v>
      </c>
      <c r="S265" s="180" t="n">
        <v>0</v>
      </c>
      <c r="T265" s="180" t="n">
        <v>0</v>
      </c>
      <c r="U265" s="180" t="n">
        <v>0</v>
      </c>
      <c r="V265" s="174" t="n">
        <v>0.5</v>
      </c>
      <c r="W265" s="185" t="n">
        <f aca="false">Таблица32[[#This Row],[Столбец7]]*Таблица32[[#This Row],[Ishga kelish nazoratchi2]]%</f>
        <v>0</v>
      </c>
      <c r="X265" s="188" t="n">
        <f aca="false">Таблица32[[#This Row],[Столбец7]]*Таблица32[[#This Row],[Ishga vaqtida kelish ketish]]%</f>
        <v>500</v>
      </c>
      <c r="Y265" s="186" t="n">
        <f aca="false">Таблица32[[#This Row],[Столбец7]]*Таблица32[[#This Row],[Ishga kelish bank klient]]%</f>
        <v>0</v>
      </c>
      <c r="Z265" s="188" t="n">
        <f aca="false">Таблица32[[#This Row],[Столбец7]]*Таблица32[[#This Row],[Gruppa buxgalter]]%</f>
        <v>10000</v>
      </c>
      <c r="AA265" s="188" t="n">
        <f aca="false">Таблица32[[#This Row],[Столбец7]]*Таблица32[[#This Row],[Gruppa bank klient ]]%</f>
        <v>0</v>
      </c>
      <c r="AB265" s="188" t="n">
        <f aca="false">Таблица32[[#This Row],[1c]]*Таблица32[[#This Row],[Столбец7]]/100</f>
        <v>0</v>
      </c>
      <c r="AC265" s="187" t="n">
        <f aca="false">SUM(Таблица32[[#This Row],[Didox]:[ мехнат]],Таблица32[[#This Row],[Avtokameral]])*Таблица32[[#This Row],[Столбец7]]/100</f>
        <v>0</v>
      </c>
      <c r="AD265" s="190" t="n">
        <f aca="false">SUM(Таблица32[[#This Row],[Pul oqimlari]:[Foyda va zarar]])*Таблица32[[#This Row],[Столбец7]]/100</f>
        <v>0</v>
      </c>
      <c r="AE265" s="191" t="n">
        <f aca="false">Таблица32[[#This Row],[Столбец7]]*Таблица32[[#This Row],[Nazoratchi]]%</f>
        <v>5000</v>
      </c>
      <c r="AF265" s="188" t="n">
        <f aca="false">Таблица32[[#This Row],[Ishga vaqtida kelish nazoratchi]]+Таблица32[[#This Row],[Nazoratchi2]]</f>
        <v>5000</v>
      </c>
      <c r="AG265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10500</v>
      </c>
      <c r="AH265" s="188" t="n">
        <f aca="false">Таблица32[[#This Row],[Ishga kelish bank klient3]]+Таблица32[[#This Row],[Gruppa bank klient 2]]</f>
        <v>0</v>
      </c>
    </row>
    <row r="266" customFormat="false" ht="17.35" hidden="false" customHeight="false" outlineLevel="0" collapsed="false">
      <c r="A266" s="112"/>
      <c r="B266" s="192"/>
      <c r="C266" s="193"/>
      <c r="D266" s="180"/>
      <c r="E266" s="194"/>
      <c r="F266" s="174"/>
      <c r="G266" s="174"/>
      <c r="H266" s="184"/>
      <c r="I266" s="184"/>
      <c r="J266" s="174"/>
      <c r="K266" s="174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95"/>
      <c r="W266" s="196" t="n">
        <f aca="false">Таблица32[[#This Row],[Столбец7]]*Таблица32[[#This Row],[Ishga kelish nazoratchi2]]%</f>
        <v>0</v>
      </c>
      <c r="X266" s="197" t="n">
        <f aca="false">Таблица32[[#This Row],[Столбец7]]*Таблица32[[#This Row],[Ishga vaqtida kelish ketish]]%</f>
        <v>0</v>
      </c>
      <c r="Y266" s="197" t="n">
        <f aca="false">Таблица32[[#This Row],[Столбец7]]*Таблица32[[#This Row],[Ishga kelish bank klient]]%</f>
        <v>0</v>
      </c>
      <c r="Z266" s="197" t="n">
        <f aca="false">Таблица32[[#This Row],[Столбец7]]*Таблица32[[#This Row],[Gruppa buxgalter]]%</f>
        <v>0</v>
      </c>
      <c r="AA266" s="197" t="n">
        <f aca="false">Таблица32[[#This Row],[Столбец7]]*Таблица32[[#This Row],[Gruppa bank klient ]]%</f>
        <v>0</v>
      </c>
      <c r="AB266" s="198" t="n">
        <f aca="false">Таблица32[[#This Row],[1c]]*Таблица32[[#This Row],[Столбец7]]/100</f>
        <v>0</v>
      </c>
      <c r="AC266" s="199" t="n">
        <f aca="false">SUM(Таблица32[[#This Row],[Didox]:[ мехнат]],Таблица32[[#This Row],[Avtokameral]])*Таблица32[[#This Row],[Столбец7]]/100</f>
        <v>0</v>
      </c>
      <c r="AD266" s="200" t="n">
        <f aca="false">SUM(Таблица32[[#This Row],[Pul oqimlari]:[Foyda va zarar]])*Таблица32[[#This Row],[Столбец7]]/100</f>
        <v>0</v>
      </c>
      <c r="AE266" s="201" t="n">
        <f aca="false">Таблица32[[#This Row],[Столбец7]]*Таблица32[[#This Row],[Nazoratchi]]%</f>
        <v>0</v>
      </c>
      <c r="AF266" s="197" t="n">
        <f aca="false">Таблица32[[#This Row],[Ishga vaqtida kelish nazoratchi]]+Таблица32[[#This Row],[Nazoratchi2]]</f>
        <v>0</v>
      </c>
      <c r="AG266" s="202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66" s="197" t="n">
        <f aca="false">Таблица32[[#This Row],[Ishga kelish bank klient3]]+Таблица32[[#This Row],[Gruppa bank klient 2]]</f>
        <v>0</v>
      </c>
      <c r="AI266" s="157"/>
    </row>
    <row r="267" customFormat="false" ht="17.35" hidden="false" customHeight="false" outlineLevel="0" collapsed="false">
      <c r="A267" s="112"/>
      <c r="B267" s="180"/>
      <c r="C267" s="203" t="s">
        <v>211</v>
      </c>
      <c r="D267" s="192"/>
      <c r="E267" s="194" t="n">
        <v>30000000</v>
      </c>
      <c r="F267" s="174"/>
      <c r="G267" s="174"/>
      <c r="H267" s="184"/>
      <c r="I267" s="184"/>
      <c r="J267" s="184"/>
      <c r="K267" s="174"/>
      <c r="L267" s="180"/>
      <c r="M267" s="180"/>
      <c r="N267" s="180"/>
      <c r="O267" s="204"/>
      <c r="P267" s="194"/>
      <c r="Q267" s="205"/>
      <c r="R267" s="205"/>
      <c r="S267" s="205"/>
      <c r="T267" s="205"/>
      <c r="U267" s="159"/>
      <c r="V267" s="117"/>
      <c r="W267" s="196" t="n">
        <f aca="false">Таблица32[[#This Row],[Столбец7]]*Таблица32[[#This Row],[Ishga kelish nazoratchi2]]%</f>
        <v>0</v>
      </c>
      <c r="X267" s="197" t="n">
        <f aca="false">Таблица32[[#This Row],[Столбец7]]*Таблица32[[#This Row],[Ishga vaqtida kelish ketish]]%</f>
        <v>0</v>
      </c>
      <c r="Y267" s="197" t="n">
        <f aca="false">Таблица32[[#This Row],[Столбец7]]*Таблица32[[#This Row],[Ishga kelish bank klient]]%</f>
        <v>0</v>
      </c>
      <c r="Z267" s="197" t="n">
        <f aca="false">Таблица32[[#This Row],[Столбец7]]*Таблица32[[#This Row],[Gruppa buxgalter]]%</f>
        <v>0</v>
      </c>
      <c r="AA267" s="197" t="n">
        <f aca="false">Таблица32[[#This Row],[Столбец7]]*Таблица32[[#This Row],[Gruppa bank klient ]]%</f>
        <v>0</v>
      </c>
      <c r="AB267" s="198" t="n">
        <f aca="false">Таблица32[[#This Row],[1c]]*Таблица32[[#This Row],[Столбец7]]/100</f>
        <v>0</v>
      </c>
      <c r="AC267" s="199" t="n">
        <f aca="false">SUM(Таблица32[[#This Row],[Didox]:[ мехнат]],Таблица32[[#This Row],[Avtokameral]])*Таблица32[[#This Row],[Столбец7]]/100</f>
        <v>0</v>
      </c>
      <c r="AD267" s="200" t="n">
        <f aca="false">SUM(Таблица32[[#This Row],[Pul oqimlari]:[Foyda va zarar]])*Таблица32[[#This Row],[Столбец7]]/100</f>
        <v>0</v>
      </c>
      <c r="AE267" s="201" t="n">
        <f aca="false">Таблица32[[#This Row],[Столбец7]]*Таблица32[[#This Row],[Nazoratchi]]%</f>
        <v>0</v>
      </c>
      <c r="AF267" s="197" t="n">
        <f aca="false">Таблица32[[#This Row],[Ishga vaqtida kelish nazoratchi]]+Таблица32[[#This Row],[Nazoratchi2]]</f>
        <v>0</v>
      </c>
      <c r="AG267" s="197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67" s="197" t="n">
        <f aca="false">Таблица32[[#This Row],[Ishga kelish bank klient3]]+Таблица32[[#This Row],[Gruppa bank klient 2]]</f>
        <v>0</v>
      </c>
      <c r="AI267" s="114"/>
    </row>
    <row r="268" customFormat="false" ht="17.35" hidden="false" customHeight="false" outlineLevel="0" collapsed="false">
      <c r="A268" s="112"/>
      <c r="B268" s="180"/>
      <c r="C268" s="203" t="s">
        <v>227</v>
      </c>
      <c r="D268" s="192"/>
      <c r="E268" s="194" t="n">
        <v>32500000</v>
      </c>
      <c r="F268" s="174"/>
      <c r="G268" s="174" t="n">
        <v>0.65</v>
      </c>
      <c r="H268" s="184"/>
      <c r="I268" s="184"/>
      <c r="J268" s="184"/>
      <c r="K268" s="174"/>
      <c r="L268" s="206"/>
      <c r="M268" s="204"/>
      <c r="N268" s="204"/>
      <c r="O268" s="204"/>
      <c r="P268" s="194"/>
      <c r="Q268" s="205"/>
      <c r="R268" s="205"/>
      <c r="S268" s="205"/>
      <c r="T268" s="205"/>
      <c r="U268" s="159"/>
      <c r="V268" s="117"/>
      <c r="W268" s="185" t="n">
        <f aca="false">Таблица32[[#This Row],[Столбец7]]*Таблица32[[#This Row],[Ishga kelish nazoratchi2]]%</f>
        <v>0</v>
      </c>
      <c r="X268" s="188" t="n">
        <f aca="false">Таблица32[[#This Row],[Столбец7]]*Таблица32[[#This Row],[Ishga vaqtida kelish ketish]]%</f>
        <v>211250</v>
      </c>
      <c r="Y268" s="188" t="n">
        <f aca="false">Таблица32[[#This Row],[Столбец7]]*Таблица32[[#This Row],[Ishga kelish bank klient]]%</f>
        <v>0</v>
      </c>
      <c r="Z268" s="188" t="n">
        <f aca="false">Таблица32[[#This Row],[Столбец7]]*Таблица32[[#This Row],[Gruppa buxgalter]]%</f>
        <v>0</v>
      </c>
      <c r="AA268" s="188" t="n">
        <f aca="false">Таблица32[[#This Row],[Столбец7]]*Таблица32[[#This Row],[Gruppa bank klient ]]%</f>
        <v>0</v>
      </c>
      <c r="AB268" s="207" t="n">
        <f aca="false">Таблица32[[#This Row],[1c]]*Таблица32[[#This Row],[Столбец7]]/100</f>
        <v>0</v>
      </c>
      <c r="AC268" s="137" t="n">
        <f aca="false">SUM(Таблица32[[#This Row],[Didox]:[ мехнат]],Таблица32[[#This Row],[Avtokameral]])*Таблица32[[#This Row],[Столбец7]]/100</f>
        <v>0</v>
      </c>
      <c r="AD268" s="190" t="n">
        <f aca="false">SUM(Таблица32[[#This Row],[Pul oqimlari]:[Foyda va zarar]])*Таблица32[[#This Row],[Столбец7]]/100</f>
        <v>0</v>
      </c>
      <c r="AE268" s="191" t="n">
        <f aca="false">Таблица32[[#This Row],[Столбец7]]*Таблица32[[#This Row],[Nazoratchi]]%</f>
        <v>0</v>
      </c>
      <c r="AF268" s="188" t="n">
        <f aca="false">Таблица32[[#This Row],[Ishga vaqtida kelish nazoratchi]]+Таблица32[[#This Row],[Nazoratchi2]]</f>
        <v>0</v>
      </c>
      <c r="AG268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211250</v>
      </c>
      <c r="AH268" s="197" t="n">
        <f aca="false">Таблица32[[#This Row],[Ishga kelish bank klient3]]+Таблица32[[#This Row],[Gruppa bank klient 2]]</f>
        <v>0</v>
      </c>
      <c r="AI268" s="114"/>
    </row>
    <row r="269" customFormat="false" ht="17.35" hidden="false" customHeight="false" outlineLevel="0" collapsed="false">
      <c r="A269" s="112"/>
      <c r="B269" s="192"/>
      <c r="C269" s="208"/>
      <c r="D269" s="208" t="s">
        <v>239</v>
      </c>
      <c r="E269" s="199" t="n">
        <v>20000000</v>
      </c>
      <c r="F269" s="195"/>
      <c r="G269" s="195"/>
      <c r="H269" s="174" t="n">
        <v>1</v>
      </c>
      <c r="I269" s="195"/>
      <c r="J269" s="195"/>
      <c r="K269" s="174"/>
      <c r="L269" s="209"/>
      <c r="M269" s="204"/>
      <c r="N269" s="204"/>
      <c r="O269" s="204"/>
      <c r="P269" s="210"/>
      <c r="Q269" s="205"/>
      <c r="R269" s="205"/>
      <c r="S269" s="205"/>
      <c r="T269" s="205"/>
      <c r="U269" s="211"/>
      <c r="V269" s="138"/>
      <c r="W269" s="185" t="n">
        <f aca="false">Таблица32[[#This Row],[Столбец7]]*Таблица32[[#This Row],[Ishga kelish nazoratchi2]]%</f>
        <v>0</v>
      </c>
      <c r="X269" s="188" t="n">
        <f aca="false">Таблица32[[#This Row],[Столбец7]]*Таблица32[[#This Row],[Ishga vaqtida kelish ketish]]%</f>
        <v>0</v>
      </c>
      <c r="Y269" s="188" t="n">
        <f aca="false">Таблица32[[#This Row],[Столбец7]]*Таблица32[[#This Row],[Ishga kelish bank klient]]%</f>
        <v>200000</v>
      </c>
      <c r="Z269" s="188" t="n">
        <f aca="false">Таблица32[[#This Row],[Столбец7]]*Таблица32[[#This Row],[Gruppa buxgalter]]%</f>
        <v>0</v>
      </c>
      <c r="AA269" s="188" t="n">
        <f aca="false">Таблица32[[#This Row],[Столбец7]]*Таблица32[[#This Row],[Gruppa bank klient ]]%</f>
        <v>0</v>
      </c>
      <c r="AB269" s="207" t="n">
        <f aca="false">Таблица32[[#This Row],[1c]]*Таблица32[[#This Row],[Столбец7]]/100</f>
        <v>0</v>
      </c>
      <c r="AC269" s="137" t="n">
        <f aca="false">SUM(Таблица32[[#This Row],[Didox]:[ мехнат]],Таблица32[[#This Row],[Avtokameral]])*Таблица32[[#This Row],[Столбец7]]/100</f>
        <v>0</v>
      </c>
      <c r="AD269" s="190" t="n">
        <f aca="false">SUM(Таблица32[[#This Row],[Pul oqimlari]:[Foyda va zarar]])*Таблица32[[#This Row],[Столбец7]]/100</f>
        <v>0</v>
      </c>
      <c r="AE269" s="191" t="n">
        <f aca="false">Таблица32[[#This Row],[Столбец7]]*Таблица32[[#This Row],[Nazoratchi]]%</f>
        <v>0</v>
      </c>
      <c r="AF269" s="188" t="n">
        <f aca="false">Таблица32[[#This Row],[Ishga vaqtida kelish nazoratchi]]+Таблица32[[#This Row],[Nazoratchi2]]</f>
        <v>0</v>
      </c>
      <c r="AG269" s="188" t="n">
        <f aca="false">Таблица32[[#This Row],[Ishga vaqtida kelish ketish2]]+Таблица32[[#This Row],[Gruppa buxgalter4]]+Таблица32[[#This Row],[1C baza3]]+Таблица32[[#This Row],[xatlar4]]+Таблица32[[#This Row],[Belgilangan otchetlar5]]</f>
        <v>0</v>
      </c>
      <c r="AH269" s="212" t="n">
        <f aca="false">Таблица32[[#This Row],[Ishga kelish bank klient3]]+Таблица32[[#This Row],[Gruppa bank klient 2]]</f>
        <v>200000</v>
      </c>
      <c r="AI269" s="114"/>
    </row>
    <row r="270" customFormat="false" ht="17.35" hidden="false" customHeight="false" outlineLevel="0" collapsed="false">
      <c r="A270" s="114"/>
      <c r="B270" s="114"/>
      <c r="C270" s="159"/>
      <c r="D270" s="158"/>
      <c r="E270" s="159"/>
      <c r="F270" s="158"/>
      <c r="G270" s="158"/>
      <c r="H270" s="158"/>
      <c r="I270" s="158"/>
      <c r="J270" s="158"/>
      <c r="K270" s="130"/>
      <c r="L270" s="129"/>
      <c r="M270" s="129"/>
      <c r="N270" s="129"/>
      <c r="O270" s="129"/>
      <c r="P270" s="130"/>
      <c r="Q270" s="130"/>
      <c r="R270" s="130"/>
      <c r="S270" s="130"/>
      <c r="T270" s="130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14"/>
      <c r="AH270" s="114"/>
      <c r="AI270" s="114"/>
    </row>
    <row r="271" customFormat="false" ht="17.35" hidden="false" customHeight="false" outlineLevel="0" collapsed="false">
      <c r="A271" s="114"/>
      <c r="B271" s="114"/>
      <c r="C271" s="159"/>
      <c r="D271" s="158"/>
      <c r="E271" s="159"/>
      <c r="F271" s="158"/>
      <c r="G271" s="158"/>
      <c r="H271" s="158"/>
      <c r="I271" s="158"/>
      <c r="J271" s="158"/>
      <c r="K271" s="130"/>
      <c r="L271" s="213"/>
      <c r="M271" s="213"/>
      <c r="N271" s="213"/>
      <c r="O271" s="213"/>
      <c r="P271" s="130"/>
      <c r="Q271" s="130"/>
      <c r="R271" s="130"/>
      <c r="S271" s="130"/>
      <c r="T271" s="130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4"/>
      <c r="AG271" s="114"/>
      <c r="AH271" s="114"/>
      <c r="AI271" s="114"/>
    </row>
    <row r="272" customFormat="false" ht="17.35" hidden="false" customHeight="false" outlineLevel="0" collapsed="false">
      <c r="A272" s="114"/>
      <c r="B272" s="114"/>
      <c r="C272" s="159"/>
      <c r="D272" s="159"/>
      <c r="E272" s="159"/>
      <c r="F272" s="159"/>
      <c r="G272" s="159"/>
      <c r="H272" s="159"/>
      <c r="I272" s="159"/>
      <c r="J272" s="159"/>
      <c r="K272" s="129"/>
      <c r="L272" s="129"/>
      <c r="M272" s="129"/>
      <c r="N272" s="129"/>
      <c r="O272" s="129"/>
      <c r="P272" s="130"/>
      <c r="Q272" s="130"/>
      <c r="R272" s="130"/>
      <c r="S272" s="130"/>
      <c r="T272" s="130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  <c r="AF272" s="114"/>
      <c r="AG272" s="114"/>
      <c r="AH272" s="114"/>
      <c r="AI272" s="114"/>
    </row>
    <row r="273" customFormat="false" ht="17.35" hidden="false" customHeight="false" outlineLevel="0" collapsed="false">
      <c r="A273" s="114"/>
      <c r="B273" s="114"/>
      <c r="C273" s="159"/>
      <c r="D273" s="159"/>
      <c r="E273" s="159"/>
      <c r="F273" s="159"/>
      <c r="G273" s="159"/>
      <c r="H273" s="159"/>
      <c r="I273" s="159"/>
      <c r="J273" s="159"/>
      <c r="K273" s="129"/>
      <c r="L273" s="129"/>
      <c r="M273" s="129"/>
      <c r="N273" s="129"/>
      <c r="O273" s="129"/>
      <c r="P273" s="130"/>
      <c r="Q273" s="130"/>
      <c r="R273" s="130"/>
      <c r="S273" s="130"/>
      <c r="T273" s="130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  <c r="AF273" s="114"/>
      <c r="AG273" s="114"/>
      <c r="AH273" s="114"/>
      <c r="AI273" s="114"/>
    </row>
    <row r="274" customFormat="false" ht="17.35" hidden="false" customHeight="false" outlineLevel="0" collapsed="false">
      <c r="A274" s="114"/>
      <c r="B274" s="114" t="s">
        <v>501</v>
      </c>
      <c r="C274" s="160" t="n">
        <f aca="false">SUM(C268:C273)</f>
        <v>0</v>
      </c>
      <c r="D274" s="164" t="n">
        <f aca="false">SUM(D268:D273)</f>
        <v>0</v>
      </c>
      <c r="E274" s="160" t="n">
        <f aca="false">SUM(E268:E273)</f>
        <v>52500000</v>
      </c>
      <c r="F274" s="164" t="n">
        <f aca="false">SUM(F268:F273)</f>
        <v>0</v>
      </c>
      <c r="G274" s="164" t="n">
        <f aca="false">SUM(G268:G273)</f>
        <v>0.65</v>
      </c>
      <c r="H274" s="164"/>
      <c r="I274" s="164"/>
      <c r="J274" s="164"/>
      <c r="K274" s="164" t="n">
        <f aca="false">SUM(K268:K273)</f>
        <v>0</v>
      </c>
      <c r="L274" s="129"/>
      <c r="M274" s="129"/>
      <c r="N274" s="129"/>
      <c r="O274" s="129"/>
      <c r="P274" s="130"/>
      <c r="Q274" s="130"/>
      <c r="R274" s="130"/>
      <c r="S274" s="130"/>
      <c r="T274" s="130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  <c r="AF274" s="114"/>
      <c r="AG274" s="114"/>
      <c r="AH274" s="114"/>
      <c r="AI274" s="114"/>
    </row>
    <row r="275" customFormat="false" ht="18.75" hidden="false" customHeight="false" outlineLevel="0" collapsed="false">
      <c r="A275" s="114"/>
      <c r="B275" s="114"/>
      <c r="C275" s="114"/>
      <c r="D275" s="114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4"/>
      <c r="AG275" s="114"/>
      <c r="AH275" s="114"/>
      <c r="AI275" s="114"/>
    </row>
    <row r="276" customFormat="false" ht="18.75" hidden="false" customHeight="false" outlineLevel="0" collapsed="false">
      <c r="A276" s="114"/>
      <c r="B276" s="160"/>
      <c r="C276" s="113"/>
      <c r="D276" s="114"/>
      <c r="E276" s="130"/>
      <c r="F276" s="117"/>
      <c r="G276" s="130"/>
      <c r="H276" s="130"/>
      <c r="I276" s="130"/>
      <c r="J276" s="130"/>
      <c r="K276" s="130"/>
      <c r="L276" s="130"/>
      <c r="M276" s="130"/>
      <c r="N276" s="130"/>
      <c r="O276" s="130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4"/>
      <c r="AG276" s="114"/>
      <c r="AH276" s="114"/>
      <c r="AI276" s="114"/>
    </row>
    <row r="277" customFormat="false" ht="18.75" hidden="false" customHeight="false" outlineLevel="0" collapsed="false">
      <c r="A277" s="114"/>
      <c r="B277" s="130"/>
      <c r="C277" s="114"/>
      <c r="D277" s="114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  <c r="AF277" s="114"/>
      <c r="AG277" s="114"/>
      <c r="AH277" s="114"/>
      <c r="AI277" s="114"/>
    </row>
    <row r="278" customFormat="false" ht="18.75" hidden="false" customHeight="false" outlineLevel="0" collapsed="false">
      <c r="A278" s="114"/>
      <c r="B278" s="130"/>
      <c r="C278" s="114"/>
      <c r="D278" s="114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F278" s="114"/>
      <c r="AG278" s="114"/>
      <c r="AH278" s="114"/>
      <c r="AI278" s="114"/>
    </row>
    <row r="279" customFormat="false" ht="18.75" hidden="false" customHeight="false" outlineLevel="0" collapsed="false">
      <c r="A279" s="114"/>
      <c r="B279" s="130"/>
      <c r="C279" s="114"/>
      <c r="D279" s="114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  <c r="AH279" s="114"/>
      <c r="AI279" s="114"/>
    </row>
    <row r="280" customFormat="false" ht="18.75" hidden="false" customHeight="false" outlineLevel="0" collapsed="false">
      <c r="A280" s="114"/>
      <c r="B280" s="130"/>
      <c r="C280" s="113"/>
      <c r="D280" s="114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14"/>
      <c r="AH280" s="114"/>
      <c r="AI280" s="114"/>
    </row>
    <row r="281" customFormat="false" ht="18.75" hidden="false" customHeight="false" outlineLevel="0" collapsed="false">
      <c r="A281" s="114"/>
      <c r="B281" s="130"/>
      <c r="C281" s="114"/>
      <c r="D281" s="114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  <c r="AH281" s="114"/>
      <c r="AI281" s="114"/>
    </row>
    <row r="282" customFormat="false" ht="18.75" hidden="false" customHeight="false" outlineLevel="0" collapsed="false">
      <c r="A282" s="114"/>
      <c r="B282" s="130"/>
      <c r="C282" s="114"/>
      <c r="D282" s="114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  <c r="AI282" s="114"/>
    </row>
    <row r="283" customFormat="false" ht="18.75" hidden="false" customHeight="false" outlineLevel="0" collapsed="false">
      <c r="A283" s="114"/>
      <c r="B283" s="130"/>
      <c r="C283" s="114"/>
      <c r="D283" s="114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/>
      <c r="AF283" s="114"/>
      <c r="AG283" s="114"/>
      <c r="AH283" s="114"/>
      <c r="AI283" s="114"/>
    </row>
    <row r="284" customFormat="false" ht="18.75" hidden="false" customHeight="false" outlineLevel="0" collapsed="false">
      <c r="A284" s="114"/>
      <c r="B284" s="130"/>
      <c r="C284" s="114"/>
      <c r="D284" s="114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  <c r="AF284" s="114"/>
      <c r="AG284" s="114"/>
      <c r="AH284" s="114"/>
      <c r="AI284" s="114"/>
    </row>
    <row r="285" customFormat="false" ht="18.75" hidden="false" customHeight="false" outlineLevel="0" collapsed="false">
      <c r="A285" s="114"/>
      <c r="B285" s="160"/>
      <c r="C285" s="114"/>
      <c r="D285" s="114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  <c r="AF285" s="114"/>
      <c r="AG285" s="114"/>
      <c r="AH285" s="114"/>
      <c r="AI285" s="114"/>
    </row>
    <row r="286" customFormat="false" ht="18.75" hidden="false" customHeight="false" outlineLevel="0" collapsed="false">
      <c r="A286" s="114"/>
      <c r="B286" s="114"/>
      <c r="C286" s="114"/>
      <c r="D286" s="114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  <c r="AF286" s="114"/>
      <c r="AG286" s="114"/>
      <c r="AH286" s="114"/>
      <c r="AI286" s="114"/>
    </row>
    <row r="287" customFormat="false" ht="18.75" hidden="false" customHeight="false" outlineLevel="0" collapsed="false">
      <c r="A287" s="114"/>
      <c r="B287" s="114"/>
      <c r="C287" s="114"/>
      <c r="D287" s="114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14"/>
      <c r="AE287" s="114"/>
      <c r="AF287" s="114"/>
      <c r="AG287" s="114"/>
      <c r="AH287" s="114"/>
      <c r="AI287" s="114"/>
    </row>
    <row r="288" customFormat="false" ht="18.75" hidden="false" customHeight="false" outlineLevel="0" collapsed="false">
      <c r="A288" s="114"/>
      <c r="B288" s="114"/>
      <c r="C288" s="114"/>
      <c r="D288" s="114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  <c r="AF288" s="114"/>
      <c r="AG288" s="114"/>
      <c r="AH288" s="114"/>
      <c r="AI288" s="114"/>
    </row>
    <row r="289" customFormat="false" ht="18.75" hidden="false" customHeight="false" outlineLevel="0" collapsed="false">
      <c r="A289" s="114"/>
      <c r="B289" s="114"/>
      <c r="C289" s="114"/>
      <c r="D289" s="114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14"/>
      <c r="AH289" s="114"/>
      <c r="AI289" s="114"/>
    </row>
    <row r="290" customFormat="false" ht="18.75" hidden="false" customHeight="false" outlineLevel="0" collapsed="false">
      <c r="A290" s="114"/>
      <c r="B290" s="114"/>
      <c r="C290" s="114"/>
      <c r="D290" s="114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14"/>
      <c r="AH290" s="114"/>
      <c r="AI290" s="114"/>
    </row>
    <row r="291" customFormat="false" ht="18.75" hidden="false" customHeight="false" outlineLevel="0" collapsed="false">
      <c r="A291" s="114"/>
      <c r="B291" s="114"/>
      <c r="C291" s="114"/>
      <c r="D291" s="114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  <c r="AH291" s="114"/>
      <c r="AI291" s="114"/>
    </row>
    <row r="292" customFormat="false" ht="18.75" hidden="false" customHeight="false" outlineLevel="0" collapsed="false">
      <c r="A292" s="114"/>
      <c r="B292" s="114"/>
      <c r="C292" s="114"/>
      <c r="D292" s="114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</row>
    <row r="293" customFormat="false" ht="18.75" hidden="false" customHeight="false" outlineLevel="0" collapsed="false">
      <c r="A293" s="114"/>
      <c r="B293" s="114"/>
      <c r="C293" s="114"/>
      <c r="D293" s="114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14"/>
      <c r="AE293" s="114"/>
      <c r="AF293" s="114"/>
      <c r="AG293" s="114"/>
      <c r="AH293" s="114"/>
      <c r="AI293" s="114"/>
    </row>
    <row r="294" customFormat="false" ht="18.75" hidden="false" customHeight="false" outlineLevel="0" collapsed="false">
      <c r="A294" s="114"/>
      <c r="B294" s="114"/>
      <c r="C294" s="114"/>
      <c r="D294" s="114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14"/>
      <c r="AE294" s="114"/>
      <c r="AF294" s="114"/>
      <c r="AG294" s="114"/>
      <c r="AH294" s="114"/>
      <c r="AI294" s="114"/>
    </row>
    <row r="295" customFormat="false" ht="18.75" hidden="false" customHeight="false" outlineLevel="0" collapsed="false">
      <c r="A295" s="114"/>
      <c r="B295" s="114"/>
      <c r="C295" s="114"/>
      <c r="D295" s="114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  <c r="AF295" s="114"/>
      <c r="AG295" s="114"/>
      <c r="AH295" s="114"/>
      <c r="AI295" s="114"/>
    </row>
    <row r="296" customFormat="false" ht="18.75" hidden="false" customHeight="false" outlineLevel="0" collapsed="false">
      <c r="A296" s="114"/>
      <c r="B296" s="114"/>
      <c r="C296" s="114"/>
      <c r="D296" s="114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14"/>
      <c r="AH296" s="114"/>
      <c r="AI296" s="114"/>
    </row>
    <row r="297" customFormat="false" ht="18.75" hidden="false" customHeight="false" outlineLevel="0" collapsed="false">
      <c r="A297" s="114"/>
      <c r="B297" s="114"/>
      <c r="C297" s="114"/>
      <c r="D297" s="114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14"/>
      <c r="AE297" s="114"/>
      <c r="AF297" s="114"/>
      <c r="AG297" s="114"/>
      <c r="AH297" s="114"/>
      <c r="AI297" s="114"/>
    </row>
    <row r="298" customFormat="false" ht="18.75" hidden="false" customHeight="false" outlineLevel="0" collapsed="false">
      <c r="A298" s="114"/>
      <c r="B298" s="114"/>
      <c r="C298" s="114"/>
      <c r="D298" s="114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  <c r="AI298" s="114"/>
    </row>
    <row r="299" customFormat="false" ht="18.75" hidden="false" customHeight="false" outlineLevel="0" collapsed="false">
      <c r="A299" s="114"/>
      <c r="B299" s="114"/>
      <c r="C299" s="114"/>
      <c r="D299" s="114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  <c r="AF299" s="114"/>
      <c r="AG299" s="114"/>
      <c r="AH299" s="114"/>
      <c r="AI299" s="114"/>
    </row>
    <row r="300" customFormat="false" ht="18.75" hidden="false" customHeight="false" outlineLevel="0" collapsed="false">
      <c r="A300" s="114"/>
      <c r="B300" s="114"/>
      <c r="C300" s="114"/>
      <c r="D300" s="114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/>
      <c r="AI300" s="114"/>
    </row>
    <row r="301" customFormat="false" ht="18.75" hidden="false" customHeight="false" outlineLevel="0" collapsed="false">
      <c r="A301" s="114"/>
      <c r="B301" s="114"/>
      <c r="C301" s="114"/>
      <c r="D301" s="114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  <c r="AI301" s="114"/>
    </row>
    <row r="302" customFormat="false" ht="18.75" hidden="false" customHeight="false" outlineLevel="0" collapsed="false">
      <c r="A302" s="114"/>
      <c r="B302" s="114"/>
      <c r="C302" s="114"/>
      <c r="D302" s="114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  <c r="AH302" s="114"/>
      <c r="AI302" s="114"/>
    </row>
    <row r="303" customFormat="false" ht="18.75" hidden="false" customHeight="false" outlineLevel="0" collapsed="false">
      <c r="A303" s="114"/>
      <c r="B303" s="114"/>
      <c r="C303" s="114"/>
      <c r="D303" s="114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  <c r="AH303" s="114"/>
      <c r="AI303" s="114"/>
    </row>
    <row r="304" customFormat="false" ht="18.75" hidden="false" customHeight="false" outlineLevel="0" collapsed="false">
      <c r="A304" s="114"/>
      <c r="B304" s="114"/>
      <c r="C304" s="114"/>
      <c r="D304" s="114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14"/>
      <c r="AH304" s="114"/>
      <c r="AI304" s="114"/>
    </row>
    <row r="305" customFormat="false" ht="18.75" hidden="false" customHeight="false" outlineLevel="0" collapsed="false">
      <c r="A305" s="114"/>
      <c r="B305" s="114"/>
      <c r="C305" s="114"/>
      <c r="D305" s="114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14"/>
      <c r="AH305" s="114"/>
      <c r="AI305" s="114"/>
    </row>
    <row r="306" customFormat="false" ht="18.75" hidden="false" customHeight="false" outlineLevel="0" collapsed="false">
      <c r="A306" s="114"/>
      <c r="B306" s="114"/>
      <c r="C306" s="114"/>
      <c r="D306" s="114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14"/>
      <c r="AH306" s="114"/>
      <c r="AI306" s="114"/>
    </row>
    <row r="307" customFormat="false" ht="18.75" hidden="false" customHeight="false" outlineLevel="0" collapsed="false">
      <c r="A307" s="114"/>
      <c r="B307" s="114"/>
      <c r="C307" s="114"/>
      <c r="D307" s="114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  <c r="AF307" s="114"/>
      <c r="AG307" s="114"/>
      <c r="AH307" s="114"/>
      <c r="AI307" s="114"/>
    </row>
    <row r="308" customFormat="false" ht="18.75" hidden="false" customHeight="false" outlineLevel="0" collapsed="false">
      <c r="A308" s="114"/>
      <c r="B308" s="114"/>
      <c r="C308" s="114"/>
      <c r="D308" s="114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14"/>
      <c r="AE308" s="114"/>
      <c r="AF308" s="114"/>
      <c r="AG308" s="114"/>
      <c r="AH308" s="114"/>
      <c r="AI308" s="114"/>
    </row>
    <row r="309" customFormat="false" ht="18.75" hidden="false" customHeight="false" outlineLevel="0" collapsed="false">
      <c r="A309" s="114"/>
      <c r="B309" s="114"/>
      <c r="C309" s="114"/>
      <c r="D309" s="114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  <c r="AF309" s="114"/>
      <c r="AG309" s="114"/>
      <c r="AH309" s="114"/>
      <c r="AI309" s="114"/>
    </row>
    <row r="310" customFormat="false" ht="18.75" hidden="false" customHeight="false" outlineLevel="0" collapsed="false">
      <c r="A310" s="114"/>
      <c r="B310" s="114"/>
      <c r="C310" s="114"/>
      <c r="D310" s="114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  <c r="AF310" s="114"/>
      <c r="AG310" s="114"/>
      <c r="AH310" s="114"/>
      <c r="AI310" s="114"/>
    </row>
    <row r="311" customFormat="false" ht="18.75" hidden="false" customHeight="false" outlineLevel="0" collapsed="false">
      <c r="A311" s="114"/>
      <c r="B311" s="114"/>
      <c r="C311" s="114"/>
      <c r="D311" s="114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14"/>
      <c r="AE311" s="114"/>
      <c r="AF311" s="114"/>
      <c r="AG311" s="114"/>
      <c r="AH311" s="114"/>
      <c r="AI311" s="114"/>
    </row>
    <row r="312" customFormat="false" ht="18.75" hidden="false" customHeight="false" outlineLevel="0" collapsed="false">
      <c r="A312" s="114"/>
      <c r="B312" s="114"/>
      <c r="C312" s="114"/>
      <c r="D312" s="114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/>
      <c r="AI312" s="114"/>
    </row>
    <row r="313" customFormat="false" ht="18.75" hidden="false" customHeight="false" outlineLevel="0" collapsed="false">
      <c r="A313" s="114"/>
      <c r="B313" s="114"/>
      <c r="C313" s="114"/>
      <c r="D313" s="114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14"/>
      <c r="AH313" s="114"/>
      <c r="AI313" s="114"/>
    </row>
    <row r="314" customFormat="false" ht="18.75" hidden="false" customHeight="false" outlineLevel="0" collapsed="false">
      <c r="A314" s="114"/>
      <c r="B314" s="114"/>
      <c r="C314" s="114"/>
      <c r="D314" s="114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4"/>
      <c r="AG314" s="114"/>
      <c r="AH314" s="114"/>
      <c r="AI314" s="114"/>
    </row>
    <row r="315" customFormat="false" ht="18.75" hidden="false" customHeight="false" outlineLevel="0" collapsed="false">
      <c r="A315" s="114"/>
      <c r="B315" s="114"/>
      <c r="C315" s="114"/>
      <c r="D315" s="114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  <c r="AF315" s="114"/>
      <c r="AG315" s="114"/>
      <c r="AH315" s="114"/>
      <c r="AI315" s="114"/>
    </row>
    <row r="316" customFormat="false" ht="18.75" hidden="false" customHeight="false" outlineLevel="0" collapsed="false">
      <c r="A316" s="114"/>
      <c r="B316" s="114"/>
      <c r="C316" s="114"/>
      <c r="D316" s="114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14"/>
      <c r="AH316" s="114"/>
      <c r="AI316" s="114"/>
    </row>
    <row r="317" customFormat="false" ht="18.75" hidden="false" customHeight="false" outlineLevel="0" collapsed="false">
      <c r="A317" s="114"/>
      <c r="B317" s="114"/>
      <c r="C317" s="114"/>
      <c r="D317" s="114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  <c r="AF317" s="114"/>
      <c r="AG317" s="114"/>
      <c r="AH317" s="114"/>
      <c r="AI317" s="114"/>
    </row>
    <row r="318" customFormat="false" ht="18.75" hidden="false" customHeight="false" outlineLevel="0" collapsed="false">
      <c r="A318" s="114"/>
      <c r="B318" s="114"/>
      <c r="C318" s="114"/>
      <c r="D318" s="114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4"/>
      <c r="AG318" s="114"/>
      <c r="AH318" s="114"/>
      <c r="AI318" s="114"/>
    </row>
    <row r="319" customFormat="false" ht="18.75" hidden="false" customHeight="false" outlineLevel="0" collapsed="false">
      <c r="A319" s="114"/>
      <c r="B319" s="114"/>
      <c r="C319" s="114"/>
      <c r="D319" s="114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4"/>
      <c r="AG319" s="114"/>
      <c r="AH319" s="114"/>
      <c r="AI319" s="114"/>
    </row>
    <row r="320" customFormat="false" ht="18.75" hidden="false" customHeight="false" outlineLevel="0" collapsed="false">
      <c r="A320" s="114"/>
      <c r="B320" s="114"/>
      <c r="C320" s="114"/>
      <c r="D320" s="114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4"/>
      <c r="AG320" s="114"/>
      <c r="AH320" s="114"/>
      <c r="AI320" s="114"/>
    </row>
    <row r="321" customFormat="false" ht="18.75" hidden="false" customHeight="false" outlineLevel="0" collapsed="false">
      <c r="A321" s="114"/>
      <c r="B321" s="114"/>
      <c r="C321" s="114"/>
      <c r="D321" s="114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4"/>
      <c r="AG321" s="114"/>
      <c r="AH321" s="114"/>
      <c r="AI321" s="114"/>
    </row>
    <row r="322" customFormat="false" ht="18.75" hidden="false" customHeight="false" outlineLevel="0" collapsed="false">
      <c r="A322" s="114"/>
      <c r="B322" s="114"/>
      <c r="C322" s="114"/>
      <c r="D322" s="114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  <c r="AF322" s="114"/>
      <c r="AG322" s="114"/>
      <c r="AH322" s="114"/>
      <c r="AI322" s="114"/>
    </row>
    <row r="323" customFormat="false" ht="18.75" hidden="false" customHeight="false" outlineLevel="0" collapsed="false">
      <c r="A323" s="114"/>
      <c r="B323" s="114"/>
      <c r="C323" s="114"/>
      <c r="D323" s="114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4"/>
      <c r="AG323" s="114"/>
      <c r="AH323" s="114"/>
      <c r="AI323" s="114"/>
    </row>
    <row r="324" customFormat="false" ht="18.75" hidden="false" customHeight="false" outlineLevel="0" collapsed="false">
      <c r="A324" s="114"/>
      <c r="B324" s="114"/>
      <c r="C324" s="114"/>
      <c r="D324" s="114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</row>
    <row r="325" customFormat="false" ht="18.75" hidden="false" customHeight="false" outlineLevel="0" collapsed="false">
      <c r="A325" s="114"/>
      <c r="B325" s="114"/>
      <c r="C325" s="114"/>
      <c r="D325" s="114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4"/>
      <c r="AG325" s="114"/>
      <c r="AH325" s="114"/>
      <c r="AI325" s="114"/>
    </row>
    <row r="326" customFormat="false" ht="18.75" hidden="false" customHeight="false" outlineLevel="0" collapsed="false">
      <c r="A326" s="114"/>
      <c r="B326" s="114"/>
      <c r="C326" s="114"/>
      <c r="D326" s="114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  <c r="AI326" s="114"/>
    </row>
    <row r="327" customFormat="false" ht="18.75" hidden="false" customHeight="false" outlineLevel="0" collapsed="false">
      <c r="A327" s="114"/>
      <c r="B327" s="114"/>
      <c r="C327" s="114"/>
      <c r="D327" s="114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14"/>
      <c r="AH327" s="114"/>
      <c r="AI327" s="114"/>
    </row>
    <row r="328" customFormat="false" ht="18.75" hidden="false" customHeight="false" outlineLevel="0" collapsed="false">
      <c r="A328" s="114"/>
      <c r="B328" s="114"/>
      <c r="C328" s="114"/>
      <c r="D328" s="114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  <c r="AI328" s="114"/>
    </row>
    <row r="329" customFormat="false" ht="18.75" hidden="false" customHeight="false" outlineLevel="0" collapsed="false">
      <c r="A329" s="114"/>
      <c r="B329" s="114"/>
      <c r="C329" s="114"/>
      <c r="D329" s="114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14"/>
      <c r="AH329" s="114"/>
      <c r="AI329" s="114"/>
    </row>
    <row r="330" customFormat="false" ht="18.75" hidden="false" customHeight="false" outlineLevel="0" collapsed="false">
      <c r="A330" s="114"/>
      <c r="B330" s="114"/>
      <c r="C330" s="114"/>
      <c r="D330" s="114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</row>
    <row r="331" customFormat="false" ht="18.75" hidden="false" customHeight="false" outlineLevel="0" collapsed="false">
      <c r="A331" s="114"/>
      <c r="B331" s="114"/>
      <c r="C331" s="114"/>
      <c r="D331" s="114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14"/>
      <c r="AH331" s="114"/>
      <c r="AI331" s="114"/>
    </row>
    <row r="332" customFormat="false" ht="18.75" hidden="false" customHeight="false" outlineLevel="0" collapsed="false">
      <c r="A332" s="114"/>
      <c r="B332" s="114"/>
      <c r="C332" s="114"/>
      <c r="D332" s="114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4"/>
      <c r="AG332" s="114"/>
      <c r="AH332" s="114"/>
      <c r="AI332" s="114"/>
    </row>
    <row r="333" customFormat="false" ht="18.75" hidden="false" customHeight="false" outlineLevel="0" collapsed="false">
      <c r="A333" s="114"/>
      <c r="B333" s="114"/>
      <c r="C333" s="114"/>
      <c r="D333" s="114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4"/>
      <c r="AG333" s="114"/>
      <c r="AH333" s="114"/>
      <c r="AI333" s="114"/>
    </row>
    <row r="334" customFormat="false" ht="18.75" hidden="false" customHeight="false" outlineLevel="0" collapsed="false">
      <c r="A334" s="114"/>
      <c r="B334" s="114"/>
      <c r="C334" s="114"/>
      <c r="D334" s="114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14"/>
      <c r="AH334" s="114"/>
      <c r="AI334" s="114"/>
    </row>
    <row r="335" customFormat="false" ht="18.75" hidden="false" customHeight="false" outlineLevel="0" collapsed="false">
      <c r="A335" s="114"/>
      <c r="B335" s="114"/>
      <c r="C335" s="114"/>
      <c r="D335" s="114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  <c r="AF335" s="114"/>
      <c r="AG335" s="114"/>
      <c r="AH335" s="114"/>
      <c r="AI335" s="114"/>
    </row>
    <row r="336" customFormat="false" ht="18.75" hidden="false" customHeight="false" outlineLevel="0" collapsed="false">
      <c r="A336" s="114"/>
      <c r="B336" s="114"/>
      <c r="C336" s="114"/>
      <c r="D336" s="114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4"/>
      <c r="AG336" s="114"/>
      <c r="AH336" s="114"/>
      <c r="AI336" s="114"/>
    </row>
    <row r="337" customFormat="false" ht="18.75" hidden="false" customHeight="false" outlineLevel="0" collapsed="false">
      <c r="A337" s="114"/>
      <c r="B337" s="114"/>
      <c r="C337" s="114"/>
      <c r="D337" s="114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  <c r="AF337" s="114"/>
      <c r="AG337" s="114"/>
      <c r="AH337" s="114"/>
      <c r="AI337" s="114"/>
    </row>
    <row r="338" customFormat="false" ht="18.75" hidden="false" customHeight="false" outlineLevel="0" collapsed="false">
      <c r="A338" s="114"/>
      <c r="B338" s="114"/>
      <c r="C338" s="114"/>
      <c r="D338" s="114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4"/>
      <c r="AG338" s="114"/>
      <c r="AH338" s="114"/>
      <c r="AI338" s="114"/>
    </row>
    <row r="339" customFormat="false" ht="18.75" hidden="false" customHeight="false" outlineLevel="0" collapsed="false">
      <c r="A339" s="114"/>
      <c r="B339" s="114"/>
      <c r="C339" s="114"/>
      <c r="D339" s="114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  <c r="AI339" s="114"/>
    </row>
    <row r="340" customFormat="false" ht="18.75" hidden="false" customHeight="false" outlineLevel="0" collapsed="false">
      <c r="A340" s="114"/>
      <c r="B340" s="114"/>
      <c r="C340" s="114"/>
      <c r="D340" s="114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14"/>
      <c r="AH340" s="114"/>
      <c r="AI340" s="114"/>
    </row>
    <row r="341" customFormat="false" ht="18.75" hidden="false" customHeight="false" outlineLevel="0" collapsed="false">
      <c r="A341" s="114"/>
      <c r="B341" s="114"/>
      <c r="C341" s="114"/>
      <c r="D341" s="114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  <c r="AF341" s="114"/>
      <c r="AG341" s="114"/>
      <c r="AH341" s="114"/>
      <c r="AI341" s="114"/>
    </row>
    <row r="342" customFormat="false" ht="18.75" hidden="false" customHeight="false" outlineLevel="0" collapsed="false">
      <c r="A342" s="114"/>
      <c r="B342" s="114"/>
      <c r="C342" s="114"/>
      <c r="D342" s="114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  <c r="AH342" s="114"/>
      <c r="AI342" s="114"/>
    </row>
    <row r="343" customFormat="false" ht="18.75" hidden="false" customHeight="false" outlineLevel="0" collapsed="false">
      <c r="A343" s="114"/>
      <c r="B343" s="114"/>
      <c r="C343" s="114"/>
      <c r="D343" s="114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4"/>
      <c r="AG343" s="114"/>
      <c r="AH343" s="114"/>
      <c r="AI343" s="114"/>
    </row>
    <row r="344" customFormat="false" ht="18.75" hidden="false" customHeight="false" outlineLevel="0" collapsed="false">
      <c r="A344" s="114"/>
      <c r="B344" s="114"/>
      <c r="C344" s="114"/>
      <c r="D344" s="114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14"/>
      <c r="AH344" s="114"/>
      <c r="AI344" s="114"/>
    </row>
    <row r="345" customFormat="false" ht="18.75" hidden="false" customHeight="false" outlineLevel="0" collapsed="false">
      <c r="A345" s="114"/>
      <c r="B345" s="114"/>
      <c r="C345" s="114"/>
      <c r="D345" s="114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14"/>
      <c r="AH345" s="114"/>
      <c r="AI345" s="114"/>
    </row>
    <row r="346" customFormat="false" ht="18.75" hidden="false" customHeight="false" outlineLevel="0" collapsed="false">
      <c r="A346" s="114"/>
      <c r="B346" s="114"/>
      <c r="C346" s="114"/>
      <c r="D346" s="114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14"/>
      <c r="AH346" s="114"/>
      <c r="AI346" s="114"/>
    </row>
    <row r="347" customFormat="false" ht="18.75" hidden="false" customHeight="false" outlineLevel="0" collapsed="false">
      <c r="A347" s="114"/>
      <c r="B347" s="114"/>
      <c r="C347" s="114"/>
      <c r="D347" s="114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4"/>
      <c r="AG347" s="114"/>
      <c r="AH347" s="114"/>
      <c r="AI347" s="114"/>
    </row>
    <row r="348" customFormat="false" ht="18.75" hidden="false" customHeight="false" outlineLevel="0" collapsed="false">
      <c r="A348" s="114"/>
      <c r="B348" s="114"/>
      <c r="C348" s="114"/>
      <c r="D348" s="114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  <c r="AH348" s="114"/>
      <c r="AI348" s="114"/>
    </row>
    <row r="349" customFormat="false" ht="18.75" hidden="false" customHeight="false" outlineLevel="0" collapsed="false">
      <c r="A349" s="114"/>
      <c r="B349" s="114"/>
      <c r="C349" s="114"/>
      <c r="D349" s="114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4"/>
      <c r="AG349" s="114"/>
      <c r="AH349" s="114"/>
      <c r="AI349" s="114"/>
    </row>
    <row r="350" customFormat="false" ht="18.75" hidden="false" customHeight="false" outlineLevel="0" collapsed="false">
      <c r="A350" s="114"/>
      <c r="B350" s="114"/>
      <c r="C350" s="114"/>
      <c r="D350" s="114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4"/>
      <c r="AG350" s="114"/>
      <c r="AH350" s="114"/>
      <c r="AI350" s="114"/>
    </row>
    <row r="351" customFormat="false" ht="18.75" hidden="false" customHeight="false" outlineLevel="0" collapsed="false">
      <c r="A351" s="114"/>
      <c r="B351" s="114"/>
      <c r="C351" s="114"/>
      <c r="D351" s="114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  <c r="AF351" s="114"/>
      <c r="AG351" s="114"/>
      <c r="AH351" s="114"/>
      <c r="AI351" s="114"/>
    </row>
    <row r="352" customFormat="false" ht="18.75" hidden="false" customHeight="false" outlineLevel="0" collapsed="false">
      <c r="A352" s="114"/>
      <c r="B352" s="114"/>
      <c r="C352" s="114"/>
      <c r="D352" s="114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  <c r="AH352" s="114"/>
      <c r="AI352" s="114"/>
    </row>
    <row r="353" customFormat="false" ht="18.75" hidden="false" customHeight="false" outlineLevel="0" collapsed="false">
      <c r="A353" s="114"/>
      <c r="B353" s="114"/>
      <c r="C353" s="114"/>
      <c r="D353" s="114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  <c r="AD353" s="114"/>
      <c r="AE353" s="114"/>
      <c r="AF353" s="114"/>
      <c r="AG353" s="114"/>
      <c r="AH353" s="114"/>
      <c r="AI353" s="114"/>
    </row>
    <row r="354" customFormat="false" ht="18.75" hidden="false" customHeight="false" outlineLevel="0" collapsed="false">
      <c r="A354" s="114"/>
      <c r="B354" s="114"/>
      <c r="C354" s="114"/>
      <c r="D354" s="114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  <c r="AF354" s="114"/>
      <c r="AG354" s="114"/>
      <c r="AH354" s="114"/>
      <c r="AI354" s="114"/>
    </row>
    <row r="355" customFormat="false" ht="18.75" hidden="false" customHeight="false" outlineLevel="0" collapsed="false">
      <c r="A355" s="114"/>
      <c r="B355" s="114"/>
      <c r="C355" s="114"/>
      <c r="D355" s="114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  <c r="AD355" s="114"/>
      <c r="AE355" s="114"/>
      <c r="AF355" s="114"/>
      <c r="AG355" s="114"/>
      <c r="AH355" s="114"/>
      <c r="AI355" s="114"/>
    </row>
    <row r="356" customFormat="false" ht="18.75" hidden="false" customHeight="false" outlineLevel="0" collapsed="false">
      <c r="A356" s="114"/>
      <c r="B356" s="114"/>
      <c r="C356" s="114"/>
      <c r="D356" s="114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14"/>
      <c r="AH356" s="114"/>
      <c r="AI356" s="114"/>
    </row>
    <row r="357" customFormat="false" ht="18.75" hidden="false" customHeight="false" outlineLevel="0" collapsed="false">
      <c r="A357" s="114"/>
      <c r="B357" s="114"/>
      <c r="C357" s="114"/>
      <c r="D357" s="114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  <c r="AF357" s="114"/>
      <c r="AG357" s="114"/>
      <c r="AH357" s="114"/>
      <c r="AI357" s="114"/>
    </row>
    <row r="358" customFormat="false" ht="18.75" hidden="false" customHeight="false" outlineLevel="0" collapsed="false">
      <c r="A358" s="114"/>
      <c r="B358" s="114"/>
      <c r="C358" s="114"/>
      <c r="D358" s="114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  <c r="AF358" s="114"/>
      <c r="AG358" s="114"/>
      <c r="AH358" s="114"/>
      <c r="AI358" s="114"/>
    </row>
    <row r="359" customFormat="false" ht="18.75" hidden="false" customHeight="false" outlineLevel="0" collapsed="false">
      <c r="A359" s="114"/>
      <c r="B359" s="114"/>
      <c r="C359" s="114"/>
      <c r="D359" s="114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  <c r="AD359" s="114"/>
      <c r="AE359" s="114"/>
      <c r="AF359" s="114"/>
      <c r="AG359" s="114"/>
      <c r="AH359" s="114"/>
      <c r="AI359" s="114"/>
    </row>
    <row r="360" customFormat="false" ht="18.75" hidden="false" customHeight="false" outlineLevel="0" collapsed="false">
      <c r="A360" s="114"/>
      <c r="B360" s="114"/>
      <c r="C360" s="114"/>
      <c r="D360" s="114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4"/>
      <c r="AG360" s="114"/>
      <c r="AH360" s="114"/>
      <c r="AI360" s="114"/>
    </row>
    <row r="361" customFormat="false" ht="18.75" hidden="false" customHeight="false" outlineLevel="0" collapsed="false">
      <c r="A361" s="114"/>
      <c r="B361" s="114"/>
      <c r="C361" s="114"/>
      <c r="D361" s="114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  <c r="AF361" s="114"/>
      <c r="AG361" s="114"/>
      <c r="AH361" s="114"/>
      <c r="AI361" s="114"/>
    </row>
    <row r="362" customFormat="false" ht="18.75" hidden="false" customHeight="false" outlineLevel="0" collapsed="false">
      <c r="A362" s="114"/>
      <c r="B362" s="114"/>
      <c r="C362" s="114"/>
      <c r="D362" s="114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14"/>
      <c r="AH362" s="114"/>
      <c r="AI362" s="114"/>
    </row>
    <row r="363" customFormat="false" ht="18.75" hidden="false" customHeight="false" outlineLevel="0" collapsed="false">
      <c r="A363" s="114"/>
      <c r="B363" s="114"/>
      <c r="C363" s="114"/>
      <c r="D363" s="114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  <c r="AI363" s="114"/>
    </row>
    <row r="364" customFormat="false" ht="18.75" hidden="false" customHeight="false" outlineLevel="0" collapsed="false">
      <c r="A364" s="114"/>
      <c r="B364" s="114"/>
      <c r="C364" s="114"/>
      <c r="D364" s="114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14"/>
      <c r="AH364" s="114"/>
      <c r="AI364" s="114"/>
    </row>
    <row r="365" customFormat="false" ht="18.75" hidden="false" customHeight="false" outlineLevel="0" collapsed="false">
      <c r="A365" s="114"/>
      <c r="B365" s="114"/>
      <c r="C365" s="114"/>
      <c r="D365" s="114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14"/>
      <c r="AH365" s="114"/>
      <c r="AI365" s="114"/>
    </row>
    <row r="366" customFormat="false" ht="18.75" hidden="false" customHeight="false" outlineLevel="0" collapsed="false">
      <c r="A366" s="114"/>
      <c r="B366" s="114"/>
      <c r="C366" s="114"/>
      <c r="D366" s="114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4"/>
      <c r="AG366" s="114"/>
      <c r="AH366" s="114"/>
      <c r="AI366" s="114"/>
    </row>
    <row r="367" customFormat="false" ht="18.75" hidden="false" customHeight="false" outlineLevel="0" collapsed="false">
      <c r="A367" s="114"/>
      <c r="B367" s="114"/>
      <c r="C367" s="114"/>
      <c r="D367" s="114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4"/>
      <c r="AG367" s="114"/>
      <c r="AH367" s="114"/>
      <c r="AI367" s="114"/>
    </row>
    <row r="368" customFormat="false" ht="18.75" hidden="false" customHeight="false" outlineLevel="0" collapsed="false">
      <c r="A368" s="114"/>
      <c r="B368" s="114"/>
      <c r="C368" s="114"/>
      <c r="D368" s="114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</row>
    <row r="369" customFormat="false" ht="18.75" hidden="false" customHeight="false" outlineLevel="0" collapsed="false">
      <c r="A369" s="114"/>
      <c r="B369" s="114"/>
      <c r="C369" s="114"/>
      <c r="D369" s="114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14"/>
      <c r="AH369" s="114"/>
      <c r="AI369" s="114"/>
    </row>
    <row r="370" customFormat="false" ht="18.75" hidden="false" customHeight="false" outlineLevel="0" collapsed="false">
      <c r="A370" s="114"/>
      <c r="B370" s="114"/>
      <c r="C370" s="114"/>
      <c r="D370" s="114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14"/>
      <c r="AH370" s="114"/>
      <c r="AI370" s="114"/>
    </row>
    <row r="371" customFormat="false" ht="18.75" hidden="false" customHeight="false" outlineLevel="0" collapsed="false">
      <c r="A371" s="114"/>
      <c r="B371" s="114"/>
      <c r="C371" s="114"/>
      <c r="D371" s="114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</row>
    <row r="372" customFormat="false" ht="18.75" hidden="false" customHeight="false" outlineLevel="0" collapsed="false">
      <c r="A372" s="114"/>
      <c r="B372" s="114"/>
      <c r="C372" s="114"/>
      <c r="D372" s="114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4"/>
      <c r="AG372" s="114"/>
      <c r="AH372" s="114"/>
      <c r="AI372" s="114"/>
    </row>
    <row r="373" customFormat="false" ht="18.75" hidden="false" customHeight="false" outlineLevel="0" collapsed="false">
      <c r="A373" s="114"/>
      <c r="B373" s="114"/>
      <c r="C373" s="114"/>
      <c r="D373" s="114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</row>
    <row r="374" customFormat="false" ht="18.75" hidden="false" customHeight="false" outlineLevel="0" collapsed="false">
      <c r="A374" s="114"/>
      <c r="B374" s="114"/>
      <c r="C374" s="114"/>
      <c r="D374" s="114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  <c r="AF374" s="114"/>
      <c r="AG374" s="114"/>
      <c r="AH374" s="114"/>
      <c r="AI374" s="114"/>
    </row>
    <row r="375" customFormat="false" ht="18.75" hidden="false" customHeight="false" outlineLevel="0" collapsed="false">
      <c r="A375" s="114"/>
      <c r="B375" s="114"/>
      <c r="C375" s="114"/>
      <c r="D375" s="114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  <c r="AH375" s="114"/>
      <c r="AI375" s="114"/>
    </row>
    <row r="376" customFormat="false" ht="18.75" hidden="false" customHeight="false" outlineLevel="0" collapsed="false">
      <c r="A376" s="114"/>
      <c r="B376" s="114"/>
      <c r="C376" s="114"/>
      <c r="D376" s="114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  <c r="AF376" s="114"/>
      <c r="AG376" s="114"/>
      <c r="AH376" s="114"/>
      <c r="AI376" s="114"/>
    </row>
    <row r="377" customFormat="false" ht="18.75" hidden="false" customHeight="false" outlineLevel="0" collapsed="false">
      <c r="A377" s="114"/>
      <c r="B377" s="114"/>
      <c r="C377" s="114"/>
      <c r="D377" s="114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14"/>
      <c r="AH377" s="114"/>
      <c r="AI377" s="114"/>
    </row>
    <row r="378" customFormat="false" ht="18.75" hidden="false" customHeight="false" outlineLevel="0" collapsed="false">
      <c r="A378" s="114"/>
      <c r="B378" s="114"/>
      <c r="C378" s="114"/>
      <c r="D378" s="114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  <c r="AD378" s="114"/>
      <c r="AE378" s="114"/>
      <c r="AF378" s="114"/>
      <c r="AG378" s="114"/>
      <c r="AH378" s="114"/>
      <c r="AI378" s="114"/>
    </row>
    <row r="379" customFormat="false" ht="18.75" hidden="false" customHeight="false" outlineLevel="0" collapsed="false">
      <c r="A379" s="114"/>
      <c r="B379" s="114"/>
      <c r="C379" s="114"/>
      <c r="D379" s="114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  <c r="AH379" s="114"/>
      <c r="AI379" s="114"/>
    </row>
    <row r="380" customFormat="false" ht="18.75" hidden="false" customHeight="false" outlineLevel="0" collapsed="false">
      <c r="A380" s="114"/>
      <c r="B380" s="114"/>
      <c r="C380" s="114"/>
      <c r="D380" s="114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  <c r="AF380" s="114"/>
      <c r="AG380" s="114"/>
      <c r="AH380" s="114"/>
      <c r="AI380" s="114"/>
    </row>
    <row r="381" customFormat="false" ht="18.75" hidden="false" customHeight="false" outlineLevel="0" collapsed="false">
      <c r="A381" s="114"/>
      <c r="B381" s="114"/>
      <c r="C381" s="114"/>
      <c r="D381" s="114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114"/>
      <c r="AH381" s="114"/>
      <c r="AI381" s="114"/>
    </row>
    <row r="382" customFormat="false" ht="18.75" hidden="false" customHeight="false" outlineLevel="0" collapsed="false">
      <c r="A382" s="114"/>
      <c r="B382" s="114"/>
      <c r="C382" s="114"/>
      <c r="D382" s="114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114"/>
      <c r="AH382" s="114"/>
      <c r="AI382" s="114"/>
    </row>
    <row r="383" customFormat="false" ht="18.75" hidden="false" customHeight="false" outlineLevel="0" collapsed="false">
      <c r="A383" s="114"/>
      <c r="B383" s="114"/>
      <c r="C383" s="114"/>
      <c r="D383" s="114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  <c r="AI383" s="114"/>
    </row>
    <row r="384" customFormat="false" ht="18.75" hidden="false" customHeight="false" outlineLevel="0" collapsed="false">
      <c r="A384" s="114"/>
      <c r="B384" s="114"/>
      <c r="C384" s="114"/>
      <c r="D384" s="114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  <c r="AF384" s="114"/>
      <c r="AG384" s="114"/>
      <c r="AH384" s="114"/>
      <c r="AI384" s="114"/>
    </row>
    <row r="385" customFormat="false" ht="18.75" hidden="false" customHeight="false" outlineLevel="0" collapsed="false">
      <c r="A385" s="114"/>
      <c r="B385" s="114"/>
      <c r="C385" s="114"/>
      <c r="D385" s="114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114"/>
      <c r="AH385" s="114"/>
      <c r="AI385" s="114"/>
    </row>
    <row r="386" customFormat="false" ht="18.75" hidden="false" customHeight="false" outlineLevel="0" collapsed="false">
      <c r="A386" s="114"/>
      <c r="B386" s="114"/>
      <c r="C386" s="114"/>
      <c r="D386" s="114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  <c r="AF386" s="114"/>
      <c r="AG386" s="114"/>
      <c r="AH386" s="114"/>
      <c r="AI386" s="114"/>
    </row>
    <row r="387" customFormat="false" ht="18.75" hidden="false" customHeight="false" outlineLevel="0" collapsed="false">
      <c r="A387" s="114"/>
      <c r="B387" s="114"/>
      <c r="C387" s="114"/>
      <c r="D387" s="114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  <c r="AH387" s="114"/>
      <c r="AI387" s="114"/>
    </row>
    <row r="388" customFormat="false" ht="18.75" hidden="false" customHeight="false" outlineLevel="0" collapsed="false">
      <c r="A388" s="114"/>
      <c r="B388" s="114"/>
      <c r="C388" s="114"/>
      <c r="D388" s="114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  <c r="AF388" s="114"/>
      <c r="AG388" s="114"/>
      <c r="AH388" s="114"/>
      <c r="AI388" s="114"/>
    </row>
    <row r="389" customFormat="false" ht="18.75" hidden="false" customHeight="false" outlineLevel="0" collapsed="false">
      <c r="A389" s="114"/>
      <c r="B389" s="114"/>
      <c r="C389" s="114"/>
      <c r="D389" s="114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  <c r="AF389" s="114"/>
      <c r="AG389" s="114"/>
      <c r="AH389" s="114"/>
      <c r="AI389" s="114"/>
    </row>
    <row r="390" customFormat="false" ht="18.75" hidden="false" customHeight="false" outlineLevel="0" collapsed="false">
      <c r="A390" s="114"/>
      <c r="B390" s="114"/>
      <c r="C390" s="114"/>
      <c r="D390" s="114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  <c r="AD390" s="114"/>
      <c r="AE390" s="114"/>
      <c r="AF390" s="114"/>
      <c r="AG390" s="114"/>
      <c r="AH390" s="114"/>
      <c r="AI390" s="114"/>
    </row>
    <row r="391" customFormat="false" ht="18.75" hidden="false" customHeight="false" outlineLevel="0" collapsed="false">
      <c r="A391" s="114"/>
      <c r="B391" s="114"/>
      <c r="C391" s="114"/>
      <c r="D391" s="114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  <c r="AF391" s="114"/>
      <c r="AG391" s="114"/>
      <c r="AH391" s="114"/>
      <c r="AI391" s="114"/>
    </row>
    <row r="392" customFormat="false" ht="18.75" hidden="false" customHeight="false" outlineLevel="0" collapsed="false">
      <c r="A392" s="114"/>
      <c r="B392" s="114"/>
      <c r="C392" s="114"/>
      <c r="D392" s="114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  <c r="AD392" s="114"/>
      <c r="AE392" s="114"/>
      <c r="AF392" s="114"/>
      <c r="AG392" s="114"/>
      <c r="AH392" s="114"/>
      <c r="AI392" s="114"/>
    </row>
    <row r="393" customFormat="false" ht="18.75" hidden="false" customHeight="false" outlineLevel="0" collapsed="false">
      <c r="A393" s="114"/>
      <c r="B393" s="114"/>
      <c r="C393" s="114"/>
      <c r="D393" s="114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  <c r="AF393" s="114"/>
      <c r="AG393" s="114"/>
      <c r="AH393" s="114"/>
      <c r="AI393" s="114"/>
    </row>
    <row r="394" customFormat="false" ht="18.75" hidden="false" customHeight="false" outlineLevel="0" collapsed="false">
      <c r="A394" s="114"/>
      <c r="B394" s="114"/>
      <c r="C394" s="114"/>
      <c r="D394" s="114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  <c r="AF394" s="114"/>
      <c r="AG394" s="114"/>
      <c r="AH394" s="114"/>
      <c r="AI394" s="114"/>
    </row>
    <row r="395" customFormat="false" ht="18.75" hidden="false" customHeight="false" outlineLevel="0" collapsed="false">
      <c r="A395" s="114"/>
      <c r="B395" s="114"/>
      <c r="C395" s="114"/>
      <c r="D395" s="114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</row>
    <row r="396" customFormat="false" ht="18.75" hidden="false" customHeight="false" outlineLevel="0" collapsed="false">
      <c r="A396" s="114"/>
      <c r="B396" s="114"/>
      <c r="C396" s="114"/>
      <c r="D396" s="114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114"/>
      <c r="AH396" s="114"/>
      <c r="AI396" s="114"/>
    </row>
    <row r="397" customFormat="false" ht="18.75" hidden="false" customHeight="false" outlineLevel="0" collapsed="false">
      <c r="A397" s="114"/>
      <c r="B397" s="114"/>
      <c r="C397" s="114"/>
      <c r="D397" s="114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  <c r="AF397" s="114"/>
      <c r="AG397" s="114"/>
      <c r="AH397" s="114"/>
      <c r="AI397" s="114"/>
    </row>
    <row r="398" customFormat="false" ht="18.75" hidden="false" customHeight="false" outlineLevel="0" collapsed="false">
      <c r="A398" s="114"/>
      <c r="B398" s="114"/>
      <c r="C398" s="114"/>
      <c r="D398" s="114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14"/>
      <c r="AH398" s="114"/>
      <c r="AI398" s="114"/>
    </row>
    <row r="399" customFormat="false" ht="18.75" hidden="false" customHeight="false" outlineLevel="0" collapsed="false">
      <c r="A399" s="114"/>
      <c r="B399" s="114"/>
      <c r="C399" s="114"/>
      <c r="D399" s="114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14"/>
      <c r="AH399" s="114"/>
      <c r="AI399" s="114"/>
    </row>
    <row r="400" customFormat="false" ht="18.75" hidden="false" customHeight="false" outlineLevel="0" collapsed="false">
      <c r="A400" s="114"/>
      <c r="B400" s="114"/>
      <c r="C400" s="114"/>
      <c r="D400" s="114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14"/>
      <c r="AH400" s="114"/>
      <c r="AI400" s="114"/>
    </row>
    <row r="401" customFormat="false" ht="18.75" hidden="false" customHeight="false" outlineLevel="0" collapsed="false">
      <c r="A401" s="114"/>
      <c r="B401" s="114"/>
      <c r="C401" s="114"/>
      <c r="D401" s="114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114"/>
      <c r="AH401" s="114"/>
      <c r="AI401" s="114"/>
    </row>
    <row r="402" customFormat="false" ht="18.75" hidden="false" customHeight="false" outlineLevel="0" collapsed="false">
      <c r="A402" s="114"/>
      <c r="B402" s="114"/>
      <c r="C402" s="114"/>
      <c r="D402" s="114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  <c r="AF402" s="114"/>
      <c r="AG402" s="114"/>
      <c r="AH402" s="114"/>
      <c r="AI402" s="114"/>
    </row>
    <row r="403" customFormat="false" ht="18.75" hidden="false" customHeight="false" outlineLevel="0" collapsed="false">
      <c r="A403" s="114"/>
      <c r="B403" s="114"/>
      <c r="C403" s="114"/>
      <c r="D403" s="114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  <c r="AF403" s="114"/>
      <c r="AG403" s="114"/>
      <c r="AH403" s="114"/>
      <c r="AI403" s="114"/>
    </row>
    <row r="404" customFormat="false" ht="18.75" hidden="false" customHeight="false" outlineLevel="0" collapsed="false">
      <c r="A404" s="114"/>
      <c r="B404" s="114"/>
      <c r="C404" s="114"/>
      <c r="D404" s="114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14"/>
      <c r="AH404" s="114"/>
      <c r="AI404" s="114"/>
    </row>
    <row r="405" customFormat="false" ht="18.75" hidden="false" customHeight="false" outlineLevel="0" collapsed="false">
      <c r="A405" s="114"/>
      <c r="B405" s="114"/>
      <c r="C405" s="114"/>
      <c r="D405" s="114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14"/>
      <c r="AH405" s="114"/>
      <c r="AI405" s="114"/>
    </row>
    <row r="406" customFormat="false" ht="18.75" hidden="false" customHeight="false" outlineLevel="0" collapsed="false">
      <c r="A406" s="114"/>
      <c r="B406" s="114"/>
      <c r="C406" s="114"/>
      <c r="D406" s="114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</row>
    <row r="407" customFormat="false" ht="18.75" hidden="false" customHeight="false" outlineLevel="0" collapsed="false">
      <c r="A407" s="114"/>
      <c r="B407" s="114"/>
      <c r="C407" s="114"/>
      <c r="D407" s="114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14"/>
      <c r="AH407" s="114"/>
      <c r="AI407" s="114"/>
    </row>
    <row r="408" customFormat="false" ht="18.75" hidden="false" customHeight="false" outlineLevel="0" collapsed="false">
      <c r="A408" s="114"/>
      <c r="B408" s="114"/>
      <c r="C408" s="114"/>
      <c r="D408" s="114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114"/>
      <c r="AH408" s="114"/>
      <c r="AI408" s="114"/>
    </row>
    <row r="409" customFormat="false" ht="18.75" hidden="false" customHeight="false" outlineLevel="0" collapsed="false">
      <c r="A409" s="114"/>
      <c r="B409" s="114"/>
      <c r="C409" s="114"/>
      <c r="D409" s="114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114"/>
      <c r="AH409" s="114"/>
      <c r="AI409" s="114"/>
    </row>
    <row r="410" customFormat="false" ht="18.75" hidden="false" customHeight="false" outlineLevel="0" collapsed="false">
      <c r="A410" s="114"/>
      <c r="B410" s="114"/>
      <c r="C410" s="114"/>
      <c r="D410" s="114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14"/>
      <c r="AH410" s="114"/>
      <c r="AI410" s="114"/>
    </row>
    <row r="411" customFormat="false" ht="18.75" hidden="false" customHeight="false" outlineLevel="0" collapsed="false">
      <c r="A411" s="114"/>
      <c r="B411" s="114"/>
      <c r="C411" s="114"/>
      <c r="D411" s="114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14"/>
      <c r="AH411" s="114"/>
      <c r="AI411" s="114"/>
    </row>
    <row r="412" customFormat="false" ht="18.75" hidden="false" customHeight="false" outlineLevel="0" collapsed="false">
      <c r="A412" s="114"/>
      <c r="B412" s="114"/>
      <c r="C412" s="114"/>
      <c r="D412" s="114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114"/>
      <c r="AH412" s="114"/>
      <c r="AI412" s="114"/>
    </row>
    <row r="413" customFormat="false" ht="18.75" hidden="false" customHeight="false" outlineLevel="0" collapsed="false">
      <c r="A413" s="114"/>
      <c r="B413" s="114"/>
      <c r="C413" s="114"/>
      <c r="D413" s="114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  <c r="AF413" s="114"/>
      <c r="AG413" s="114"/>
      <c r="AH413" s="114"/>
      <c r="AI413" s="114"/>
    </row>
    <row r="414" customFormat="false" ht="18.75" hidden="false" customHeight="false" outlineLevel="0" collapsed="false">
      <c r="A414" s="114"/>
      <c r="B414" s="114"/>
      <c r="C414" s="114"/>
      <c r="D414" s="114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114"/>
      <c r="AH414" s="114"/>
      <c r="AI414" s="114"/>
    </row>
    <row r="415" customFormat="false" ht="18.75" hidden="false" customHeight="false" outlineLevel="0" collapsed="false">
      <c r="A415" s="114"/>
      <c r="B415" s="114"/>
      <c r="C415" s="114"/>
      <c r="D415" s="114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114"/>
      <c r="AH415" s="114"/>
      <c r="AI415" s="114"/>
    </row>
    <row r="416" customFormat="false" ht="18.75" hidden="false" customHeight="false" outlineLevel="0" collapsed="false">
      <c r="A416" s="114"/>
      <c r="B416" s="114"/>
      <c r="C416" s="114"/>
      <c r="D416" s="114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  <c r="AF416" s="114"/>
      <c r="AG416" s="114"/>
      <c r="AH416" s="114"/>
      <c r="AI416" s="114"/>
    </row>
    <row r="417" customFormat="false" ht="18.75" hidden="false" customHeight="false" outlineLevel="0" collapsed="false">
      <c r="A417" s="114"/>
      <c r="B417" s="114"/>
      <c r="C417" s="114"/>
      <c r="D417" s="114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  <c r="AF417" s="114"/>
      <c r="AG417" s="114"/>
      <c r="AH417" s="114"/>
      <c r="AI417" s="114"/>
    </row>
    <row r="418" customFormat="false" ht="18.75" hidden="false" customHeight="false" outlineLevel="0" collapsed="false">
      <c r="A418" s="114"/>
      <c r="B418" s="114"/>
      <c r="C418" s="114"/>
      <c r="D418" s="114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  <c r="AF418" s="114"/>
      <c r="AG418" s="114"/>
      <c r="AH418" s="114"/>
      <c r="AI418" s="114"/>
    </row>
    <row r="419" customFormat="false" ht="18.75" hidden="false" customHeight="false" outlineLevel="0" collapsed="false">
      <c r="A419" s="114"/>
      <c r="B419" s="114"/>
      <c r="C419" s="114"/>
      <c r="D419" s="114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14"/>
      <c r="AH419" s="114"/>
      <c r="AI419" s="114"/>
    </row>
    <row r="420" customFormat="false" ht="18.75" hidden="false" customHeight="false" outlineLevel="0" collapsed="false">
      <c r="A420" s="114"/>
      <c r="B420" s="114"/>
      <c r="C420" s="114"/>
      <c r="D420" s="114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4"/>
      <c r="AG420" s="114"/>
      <c r="AH420" s="114"/>
      <c r="AI420" s="114"/>
    </row>
    <row r="421" customFormat="false" ht="18.75" hidden="false" customHeight="false" outlineLevel="0" collapsed="false">
      <c r="A421" s="114"/>
      <c r="B421" s="114"/>
      <c r="C421" s="114"/>
      <c r="D421" s="114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14"/>
      <c r="AH421" s="114"/>
      <c r="AI421" s="114"/>
    </row>
    <row r="422" customFormat="false" ht="18.75" hidden="false" customHeight="false" outlineLevel="0" collapsed="false">
      <c r="A422" s="114"/>
      <c r="B422" s="114"/>
      <c r="C422" s="114"/>
      <c r="D422" s="114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14"/>
      <c r="AG422" s="114"/>
      <c r="AH422" s="114"/>
      <c r="AI422" s="114"/>
    </row>
    <row r="423" customFormat="false" ht="18.75" hidden="false" customHeight="false" outlineLevel="0" collapsed="false">
      <c r="A423" s="114"/>
      <c r="B423" s="114"/>
      <c r="C423" s="114"/>
      <c r="D423" s="114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14"/>
      <c r="AG423" s="114"/>
      <c r="AH423" s="114"/>
      <c r="AI423" s="114"/>
    </row>
    <row r="424" customFormat="false" ht="18.75" hidden="false" customHeight="false" outlineLevel="0" collapsed="false">
      <c r="A424" s="114"/>
      <c r="B424" s="114"/>
      <c r="C424" s="114"/>
      <c r="D424" s="114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14"/>
      <c r="AH424" s="114"/>
      <c r="AI424" s="114"/>
    </row>
    <row r="425" customFormat="false" ht="18.75" hidden="false" customHeight="false" outlineLevel="0" collapsed="false">
      <c r="A425" s="114"/>
      <c r="B425" s="114"/>
      <c r="C425" s="114"/>
      <c r="D425" s="114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14"/>
      <c r="AH425" s="114"/>
      <c r="AI425" s="114"/>
    </row>
    <row r="426" customFormat="false" ht="18.75" hidden="false" customHeight="false" outlineLevel="0" collapsed="false">
      <c r="A426" s="114"/>
      <c r="B426" s="114"/>
      <c r="C426" s="114"/>
      <c r="D426" s="114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114"/>
      <c r="AH426" s="114"/>
      <c r="AI426" s="114"/>
    </row>
    <row r="427" customFormat="false" ht="18.75" hidden="false" customHeight="false" outlineLevel="0" collapsed="false">
      <c r="A427" s="114"/>
      <c r="B427" s="114"/>
      <c r="C427" s="114"/>
      <c r="D427" s="114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14"/>
      <c r="AG427" s="114"/>
      <c r="AH427" s="114"/>
      <c r="AI427" s="114"/>
    </row>
    <row r="428" customFormat="false" ht="18.75" hidden="false" customHeight="false" outlineLevel="0" collapsed="false">
      <c r="A428" s="114"/>
      <c r="B428" s="114"/>
      <c r="C428" s="114"/>
      <c r="D428" s="114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14"/>
      <c r="AG428" s="114"/>
      <c r="AH428" s="114"/>
      <c r="AI428" s="114"/>
    </row>
    <row r="429" customFormat="false" ht="18.75" hidden="false" customHeight="false" outlineLevel="0" collapsed="false">
      <c r="A429" s="114"/>
      <c r="B429" s="114"/>
      <c r="C429" s="114"/>
      <c r="D429" s="114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114"/>
      <c r="AH429" s="114"/>
      <c r="AI429" s="114"/>
    </row>
    <row r="430" customFormat="false" ht="18.75" hidden="false" customHeight="false" outlineLevel="0" collapsed="false">
      <c r="A430" s="114"/>
      <c r="B430" s="114"/>
      <c r="C430" s="114"/>
      <c r="D430" s="114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  <c r="AF430" s="114"/>
      <c r="AG430" s="114"/>
      <c r="AH430" s="114"/>
      <c r="AI430" s="114"/>
    </row>
    <row r="431" customFormat="false" ht="18.75" hidden="false" customHeight="false" outlineLevel="0" collapsed="false">
      <c r="A431" s="114"/>
      <c r="B431" s="114"/>
      <c r="C431" s="114"/>
      <c r="D431" s="114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  <c r="AF431" s="114"/>
      <c r="AG431" s="114"/>
      <c r="AH431" s="114"/>
      <c r="AI431" s="114"/>
    </row>
    <row r="432" customFormat="false" ht="18.75" hidden="false" customHeight="false" outlineLevel="0" collapsed="false">
      <c r="A432" s="114"/>
      <c r="B432" s="114"/>
      <c r="C432" s="114"/>
      <c r="D432" s="114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  <c r="AD432" s="114"/>
      <c r="AE432" s="114"/>
      <c r="AF432" s="114"/>
      <c r="AG432" s="114"/>
      <c r="AH432" s="114"/>
      <c r="AI432" s="114"/>
    </row>
    <row r="433" customFormat="false" ht="18.75" hidden="false" customHeight="false" outlineLevel="0" collapsed="false">
      <c r="A433" s="114"/>
      <c r="B433" s="114"/>
      <c r="C433" s="114"/>
      <c r="D433" s="114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114"/>
      <c r="AH433" s="114"/>
      <c r="AI433" s="114"/>
    </row>
    <row r="434" customFormat="false" ht="18.75" hidden="false" customHeight="false" outlineLevel="0" collapsed="false">
      <c r="A434" s="114"/>
      <c r="B434" s="114"/>
      <c r="C434" s="114"/>
      <c r="D434" s="114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114"/>
      <c r="AH434" s="114"/>
      <c r="AI434" s="114"/>
    </row>
    <row r="435" customFormat="false" ht="18.75" hidden="false" customHeight="false" outlineLevel="0" collapsed="false">
      <c r="A435" s="114"/>
      <c r="B435" s="114"/>
      <c r="C435" s="114"/>
      <c r="D435" s="114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  <c r="AH435" s="114"/>
      <c r="AI435" s="114"/>
    </row>
    <row r="436" customFormat="false" ht="18.75" hidden="false" customHeight="false" outlineLevel="0" collapsed="false">
      <c r="A436" s="114"/>
      <c r="B436" s="114"/>
      <c r="C436" s="114"/>
      <c r="D436" s="114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  <c r="AH436" s="114"/>
      <c r="AI436" s="114"/>
    </row>
    <row r="437" customFormat="false" ht="18.75" hidden="false" customHeight="false" outlineLevel="0" collapsed="false">
      <c r="A437" s="114"/>
      <c r="B437" s="114"/>
      <c r="C437" s="114"/>
      <c r="D437" s="114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14"/>
      <c r="AH437" s="114"/>
      <c r="AI437" s="114"/>
    </row>
    <row r="438" customFormat="false" ht="18.75" hidden="false" customHeight="false" outlineLevel="0" collapsed="false">
      <c r="A438" s="114"/>
      <c r="B438" s="114"/>
      <c r="C438" s="114"/>
      <c r="D438" s="114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  <c r="AF438" s="114"/>
      <c r="AG438" s="114"/>
      <c r="AH438" s="114"/>
      <c r="AI438" s="114"/>
    </row>
    <row r="439" customFormat="false" ht="18.75" hidden="false" customHeight="false" outlineLevel="0" collapsed="false">
      <c r="A439" s="114"/>
      <c r="B439" s="114"/>
      <c r="C439" s="114"/>
      <c r="D439" s="114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114"/>
      <c r="AH439" s="114"/>
      <c r="AI439" s="114"/>
    </row>
    <row r="440" customFormat="false" ht="18.75" hidden="false" customHeight="false" outlineLevel="0" collapsed="false">
      <c r="A440" s="114"/>
      <c r="B440" s="114"/>
      <c r="C440" s="114"/>
      <c r="D440" s="114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  <c r="AD440" s="114"/>
      <c r="AE440" s="114"/>
      <c r="AF440" s="114"/>
      <c r="AG440" s="114"/>
      <c r="AH440" s="114"/>
      <c r="AI440" s="114"/>
    </row>
    <row r="441" customFormat="false" ht="18.75" hidden="false" customHeight="false" outlineLevel="0" collapsed="false">
      <c r="A441" s="114"/>
      <c r="B441" s="114"/>
      <c r="C441" s="114"/>
      <c r="D441" s="114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  <c r="AD441" s="114"/>
      <c r="AE441" s="114"/>
      <c r="AF441" s="114"/>
      <c r="AG441" s="114"/>
      <c r="AH441" s="114"/>
      <c r="AI441" s="114"/>
    </row>
    <row r="442" customFormat="false" ht="18.75" hidden="false" customHeight="false" outlineLevel="0" collapsed="false">
      <c r="A442" s="114"/>
      <c r="B442" s="114"/>
      <c r="C442" s="114"/>
      <c r="D442" s="114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  <c r="AF442" s="114"/>
      <c r="AG442" s="114"/>
      <c r="AH442" s="114"/>
      <c r="AI442" s="114"/>
    </row>
    <row r="443" customFormat="false" ht="18.75" hidden="false" customHeight="false" outlineLevel="0" collapsed="false">
      <c r="A443" s="114"/>
      <c r="B443" s="114"/>
      <c r="C443" s="114"/>
      <c r="D443" s="114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114"/>
      <c r="AH443" s="114"/>
      <c r="AI443" s="114"/>
    </row>
    <row r="444" customFormat="false" ht="18.75" hidden="false" customHeight="false" outlineLevel="0" collapsed="false">
      <c r="A444" s="114"/>
      <c r="B444" s="114"/>
      <c r="C444" s="114"/>
      <c r="D444" s="114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</row>
    <row r="445" customFormat="false" ht="18.75" hidden="false" customHeight="false" outlineLevel="0" collapsed="false">
      <c r="A445" s="114"/>
      <c r="B445" s="114"/>
      <c r="C445" s="114"/>
      <c r="D445" s="114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  <c r="AF445" s="114"/>
      <c r="AG445" s="114"/>
      <c r="AH445" s="114"/>
      <c r="AI445" s="114"/>
    </row>
    <row r="446" customFormat="false" ht="18.75" hidden="false" customHeight="false" outlineLevel="0" collapsed="false">
      <c r="A446" s="114"/>
      <c r="B446" s="114"/>
      <c r="C446" s="114"/>
      <c r="D446" s="114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  <c r="AD446" s="114"/>
      <c r="AE446" s="114"/>
      <c r="AF446" s="114"/>
      <c r="AG446" s="114"/>
      <c r="AH446" s="114"/>
      <c r="AI446" s="114"/>
    </row>
    <row r="447" customFormat="false" ht="18.75" hidden="false" customHeight="false" outlineLevel="0" collapsed="false">
      <c r="A447" s="114"/>
      <c r="B447" s="114"/>
      <c r="C447" s="114"/>
      <c r="D447" s="114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14"/>
      <c r="AH447" s="114"/>
      <c r="AI447" s="114"/>
    </row>
    <row r="448" customFormat="false" ht="18.75" hidden="false" customHeight="false" outlineLevel="0" collapsed="false">
      <c r="A448" s="114"/>
      <c r="B448" s="114"/>
      <c r="C448" s="114"/>
      <c r="D448" s="114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  <c r="AD448" s="114"/>
      <c r="AE448" s="114"/>
      <c r="AF448" s="114"/>
      <c r="AG448" s="114"/>
      <c r="AH448" s="114"/>
      <c r="AI448" s="114"/>
    </row>
    <row r="449" customFormat="false" ht="18.75" hidden="false" customHeight="false" outlineLevel="0" collapsed="false">
      <c r="A449" s="114"/>
      <c r="B449" s="114"/>
      <c r="C449" s="114"/>
      <c r="D449" s="114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  <c r="AH449" s="114"/>
      <c r="AI449" s="114"/>
    </row>
    <row r="450" customFormat="false" ht="18.75" hidden="false" customHeight="false" outlineLevel="0" collapsed="false">
      <c r="A450" s="114"/>
      <c r="B450" s="114"/>
      <c r="C450" s="114"/>
      <c r="D450" s="114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  <c r="AF450" s="114"/>
      <c r="AG450" s="114"/>
      <c r="AH450" s="114"/>
      <c r="AI450" s="114"/>
    </row>
    <row r="451" customFormat="false" ht="18.75" hidden="false" customHeight="false" outlineLevel="0" collapsed="false">
      <c r="A451" s="114"/>
      <c r="B451" s="114"/>
      <c r="C451" s="114"/>
      <c r="D451" s="114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14"/>
      <c r="AH451" s="114"/>
      <c r="AI451" s="114"/>
    </row>
    <row r="452" customFormat="false" ht="18.75" hidden="false" customHeight="false" outlineLevel="0" collapsed="false">
      <c r="A452" s="114"/>
      <c r="B452" s="114"/>
      <c r="C452" s="114"/>
      <c r="D452" s="114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/>
      <c r="AH452" s="114"/>
      <c r="AI452" s="114"/>
    </row>
    <row r="453" customFormat="false" ht="18.75" hidden="false" customHeight="false" outlineLevel="0" collapsed="false">
      <c r="A453" s="114"/>
      <c r="B453" s="114"/>
      <c r="C453" s="114"/>
      <c r="D453" s="114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  <c r="AF453" s="114"/>
      <c r="AG453" s="114"/>
      <c r="AH453" s="114"/>
      <c r="AI453" s="114"/>
    </row>
    <row r="454" customFormat="false" ht="18.75" hidden="false" customHeight="false" outlineLevel="0" collapsed="false">
      <c r="A454" s="114"/>
      <c r="B454" s="114"/>
      <c r="C454" s="114"/>
      <c r="D454" s="114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  <c r="AF454" s="114"/>
      <c r="AG454" s="114"/>
      <c r="AH454" s="114"/>
      <c r="AI454" s="114"/>
    </row>
    <row r="455" customFormat="false" ht="18.75" hidden="false" customHeight="false" outlineLevel="0" collapsed="false">
      <c r="A455" s="114"/>
      <c r="B455" s="114"/>
      <c r="C455" s="114"/>
      <c r="D455" s="114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  <c r="AD455" s="114"/>
      <c r="AE455" s="114"/>
      <c r="AF455" s="114"/>
      <c r="AG455" s="114"/>
      <c r="AH455" s="114"/>
      <c r="AI455" s="114"/>
    </row>
    <row r="456" customFormat="false" ht="18.75" hidden="false" customHeight="false" outlineLevel="0" collapsed="false">
      <c r="A456" s="114"/>
      <c r="B456" s="114"/>
      <c r="C456" s="114"/>
      <c r="D456" s="114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  <c r="AF456" s="114"/>
      <c r="AG456" s="114"/>
      <c r="AH456" s="114"/>
      <c r="AI456" s="114"/>
    </row>
    <row r="457" customFormat="false" ht="18.75" hidden="false" customHeight="false" outlineLevel="0" collapsed="false">
      <c r="A457" s="114"/>
      <c r="B457" s="114"/>
      <c r="C457" s="114"/>
      <c r="D457" s="114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  <c r="AF457" s="114"/>
      <c r="AG457" s="114"/>
      <c r="AH457" s="114"/>
      <c r="AI457" s="114"/>
    </row>
    <row r="458" customFormat="false" ht="18.75" hidden="false" customHeight="false" outlineLevel="0" collapsed="false">
      <c r="A458" s="114"/>
      <c r="B458" s="114"/>
      <c r="C458" s="114"/>
      <c r="D458" s="114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14"/>
      <c r="AG458" s="114"/>
      <c r="AH458" s="114"/>
      <c r="AI458" s="114"/>
    </row>
    <row r="459" customFormat="false" ht="18.75" hidden="false" customHeight="false" outlineLevel="0" collapsed="false">
      <c r="A459" s="114"/>
      <c r="B459" s="114"/>
      <c r="C459" s="114"/>
      <c r="D459" s="114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  <c r="AF459" s="114"/>
      <c r="AG459" s="114"/>
      <c r="AH459" s="114"/>
      <c r="AI459" s="114"/>
    </row>
    <row r="460" customFormat="false" ht="18.75" hidden="false" customHeight="false" outlineLevel="0" collapsed="false">
      <c r="A460" s="114"/>
      <c r="B460" s="114"/>
      <c r="C460" s="114"/>
      <c r="D460" s="114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114"/>
      <c r="AH460" s="114"/>
      <c r="AI460" s="114"/>
    </row>
    <row r="461" customFormat="false" ht="18.75" hidden="false" customHeight="false" outlineLevel="0" collapsed="false">
      <c r="A461" s="114"/>
      <c r="B461" s="114"/>
      <c r="C461" s="114"/>
      <c r="D461" s="114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  <c r="AC461" s="114"/>
      <c r="AD461" s="114"/>
      <c r="AE461" s="114"/>
      <c r="AF461" s="114"/>
      <c r="AG461" s="114"/>
      <c r="AH461" s="114"/>
      <c r="AI461" s="114"/>
    </row>
    <row r="462" customFormat="false" ht="18.75" hidden="false" customHeight="false" outlineLevel="0" collapsed="false">
      <c r="A462" s="114"/>
      <c r="B462" s="114"/>
      <c r="C462" s="114"/>
      <c r="D462" s="114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14"/>
      <c r="AF462" s="114"/>
      <c r="AG462" s="114"/>
      <c r="AH462" s="114"/>
      <c r="AI462" s="114"/>
    </row>
    <row r="463" customFormat="false" ht="18.75" hidden="false" customHeight="false" outlineLevel="0" collapsed="false">
      <c r="A463" s="114"/>
      <c r="B463" s="114"/>
      <c r="C463" s="114"/>
      <c r="D463" s="114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  <c r="AF463" s="114"/>
      <c r="AG463" s="114"/>
      <c r="AH463" s="114"/>
      <c r="AI463" s="114"/>
    </row>
    <row r="464" customFormat="false" ht="18.75" hidden="false" customHeight="false" outlineLevel="0" collapsed="false">
      <c r="A464" s="114"/>
      <c r="B464" s="114"/>
      <c r="C464" s="114"/>
      <c r="D464" s="114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  <c r="AH464" s="114"/>
      <c r="AI464" s="114"/>
    </row>
    <row r="465" customFormat="false" ht="18.75" hidden="false" customHeight="false" outlineLevel="0" collapsed="false">
      <c r="A465" s="114"/>
      <c r="B465" s="114"/>
      <c r="C465" s="114"/>
      <c r="D465" s="114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/>
      <c r="AD465" s="114"/>
      <c r="AE465" s="114"/>
      <c r="AF465" s="114"/>
      <c r="AG465" s="114"/>
      <c r="AH465" s="114"/>
      <c r="AI465" s="114"/>
    </row>
    <row r="466" customFormat="false" ht="18.75" hidden="false" customHeight="false" outlineLevel="0" collapsed="false">
      <c r="A466" s="114"/>
      <c r="B466" s="114"/>
      <c r="C466" s="114"/>
      <c r="D466" s="114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114"/>
      <c r="AH466" s="114"/>
      <c r="AI466" s="114"/>
    </row>
    <row r="467" customFormat="false" ht="18.75" hidden="false" customHeight="false" outlineLevel="0" collapsed="false">
      <c r="A467" s="114"/>
      <c r="B467" s="114"/>
      <c r="C467" s="114"/>
      <c r="D467" s="114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  <c r="AC467" s="114"/>
      <c r="AD467" s="114"/>
      <c r="AE467" s="114"/>
      <c r="AF467" s="114"/>
      <c r="AG467" s="114"/>
      <c r="AH467" s="114"/>
      <c r="AI467" s="114"/>
    </row>
    <row r="468" customFormat="false" ht="18.75" hidden="false" customHeight="false" outlineLevel="0" collapsed="false">
      <c r="A468" s="114"/>
      <c r="B468" s="114"/>
      <c r="C468" s="114"/>
      <c r="D468" s="114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114"/>
      <c r="AH468" s="114"/>
      <c r="AI468" s="114"/>
    </row>
    <row r="469" customFormat="false" ht="18.75" hidden="false" customHeight="false" outlineLevel="0" collapsed="false">
      <c r="A469" s="114"/>
      <c r="B469" s="114"/>
      <c r="C469" s="114"/>
      <c r="D469" s="114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  <c r="AF469" s="114"/>
      <c r="AG469" s="114"/>
      <c r="AH469" s="114"/>
      <c r="AI469" s="114"/>
    </row>
    <row r="470" customFormat="false" ht="18.75" hidden="false" customHeight="false" outlineLevel="0" collapsed="false">
      <c r="A470" s="114"/>
      <c r="B470" s="114"/>
      <c r="C470" s="114"/>
      <c r="D470" s="114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  <c r="AF470" s="114"/>
      <c r="AG470" s="114"/>
      <c r="AH470" s="114"/>
      <c r="AI470" s="114"/>
    </row>
    <row r="471" customFormat="false" ht="18.75" hidden="false" customHeight="false" outlineLevel="0" collapsed="false">
      <c r="A471" s="114"/>
      <c r="B471" s="114"/>
      <c r="C471" s="114"/>
      <c r="D471" s="114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  <c r="AE471" s="114"/>
      <c r="AF471" s="114"/>
      <c r="AG471" s="114"/>
      <c r="AH471" s="114"/>
      <c r="AI471" s="114"/>
    </row>
    <row r="472" customFormat="false" ht="18.75" hidden="false" customHeight="false" outlineLevel="0" collapsed="false">
      <c r="A472" s="114"/>
      <c r="B472" s="114"/>
      <c r="C472" s="114"/>
      <c r="D472" s="114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  <c r="AD472" s="114"/>
      <c r="AE472" s="114"/>
      <c r="AF472" s="114"/>
      <c r="AG472" s="114"/>
      <c r="AH472" s="114"/>
      <c r="AI472" s="114"/>
    </row>
    <row r="473" customFormat="false" ht="18.75" hidden="false" customHeight="false" outlineLevel="0" collapsed="false">
      <c r="A473" s="114"/>
      <c r="B473" s="114"/>
      <c r="C473" s="114"/>
      <c r="D473" s="114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  <c r="AC473" s="114"/>
      <c r="AD473" s="114"/>
      <c r="AE473" s="114"/>
      <c r="AF473" s="114"/>
      <c r="AG473" s="114"/>
      <c r="AH473" s="114"/>
      <c r="AI473" s="114"/>
    </row>
    <row r="474" customFormat="false" ht="18.75" hidden="false" customHeight="false" outlineLevel="0" collapsed="false">
      <c r="A474" s="114"/>
      <c r="B474" s="114"/>
      <c r="C474" s="114"/>
      <c r="D474" s="114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  <c r="AD474" s="114"/>
      <c r="AE474" s="114"/>
      <c r="AF474" s="114"/>
      <c r="AG474" s="114"/>
      <c r="AH474" s="114"/>
      <c r="AI474" s="114"/>
    </row>
    <row r="475" customFormat="false" ht="18.75" hidden="false" customHeight="false" outlineLevel="0" collapsed="false">
      <c r="A475" s="114"/>
      <c r="B475" s="114"/>
      <c r="C475" s="114"/>
      <c r="D475" s="114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  <c r="AC475" s="114"/>
      <c r="AD475" s="114"/>
      <c r="AE475" s="114"/>
      <c r="AF475" s="114"/>
      <c r="AG475" s="114"/>
      <c r="AH475" s="114"/>
      <c r="AI475" s="114"/>
    </row>
    <row r="476" customFormat="false" ht="18.75" hidden="false" customHeight="false" outlineLevel="0" collapsed="false">
      <c r="A476" s="114"/>
      <c r="B476" s="114"/>
      <c r="C476" s="114"/>
      <c r="D476" s="114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4"/>
      <c r="AH476" s="114"/>
      <c r="AI476" s="114"/>
    </row>
    <row r="477" customFormat="false" ht="18.75" hidden="false" customHeight="false" outlineLevel="0" collapsed="false">
      <c r="A477" s="114"/>
      <c r="B477" s="114"/>
      <c r="C477" s="114"/>
      <c r="D477" s="114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  <c r="AC477" s="114"/>
      <c r="AD477" s="114"/>
      <c r="AE477" s="114"/>
      <c r="AF477" s="114"/>
      <c r="AG477" s="114"/>
      <c r="AH477" s="114"/>
      <c r="AI477" s="114"/>
    </row>
    <row r="478" customFormat="false" ht="18.75" hidden="false" customHeight="false" outlineLevel="0" collapsed="false">
      <c r="A478" s="114"/>
      <c r="C478" s="114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  <c r="AD478" s="114"/>
      <c r="AE478" s="114"/>
      <c r="AF478" s="114"/>
      <c r="AG478" s="114"/>
      <c r="AH478" s="1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7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A168" activeCellId="0" sqref="A16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7.29"/>
    <col collapsed="false" customWidth="true" hidden="false" outlineLevel="0" max="3" min="3" style="0" width="16.57"/>
    <col collapsed="false" customWidth="true" hidden="false" outlineLevel="0" max="4" min="4" style="0" width="17"/>
    <col collapsed="false" customWidth="true" hidden="false" outlineLevel="0" max="5" min="5" style="0" width="18.14"/>
    <col collapsed="false" customWidth="true" hidden="false" outlineLevel="0" max="7" min="6" style="0" width="16.29"/>
  </cols>
  <sheetData>
    <row r="1" customFormat="false" ht="28.35" hidden="false" customHeight="false" outlineLevel="0" collapsed="false">
      <c r="A1" s="214"/>
      <c r="B1" s="156" t="s">
        <v>546</v>
      </c>
      <c r="C1" s="214" t="s">
        <v>547</v>
      </c>
      <c r="D1" s="214" t="s">
        <v>548</v>
      </c>
    </row>
    <row r="2" customFormat="false" ht="15" hidden="false" customHeight="false" outlineLevel="0" collapsed="false">
      <c r="A2" s="215" t="s">
        <v>549</v>
      </c>
      <c r="B2" s="215"/>
      <c r="C2" s="215"/>
      <c r="D2" s="215"/>
    </row>
    <row r="3" customFormat="false" ht="15" hidden="false" customHeight="false" outlineLevel="0" collapsed="false">
      <c r="A3" s="214" t="s">
        <v>550</v>
      </c>
      <c r="B3" s="214" t="n">
        <v>4000000</v>
      </c>
      <c r="C3" s="214" t="n">
        <v>4000000</v>
      </c>
      <c r="D3" s="214" t="n">
        <f aca="false">B3-C3</f>
        <v>0</v>
      </c>
    </row>
    <row r="4" customFormat="false" ht="15" hidden="false" customHeight="false" outlineLevel="0" collapsed="false">
      <c r="A4" s="214" t="s">
        <v>551</v>
      </c>
      <c r="B4" s="214" t="n">
        <v>3000000</v>
      </c>
      <c r="C4" s="214" t="n">
        <v>3000000</v>
      </c>
      <c r="D4" s="214" t="n">
        <f aca="false">B4-C4</f>
        <v>0</v>
      </c>
    </row>
    <row r="5" customFormat="false" ht="15" hidden="false" customHeight="false" outlineLevel="0" collapsed="false">
      <c r="A5" s="214" t="s">
        <v>217</v>
      </c>
      <c r="B5" s="214" t="n">
        <v>4500000</v>
      </c>
      <c r="C5" s="214" t="n">
        <v>4500000</v>
      </c>
      <c r="D5" s="214" t="n">
        <f aca="false">B5-C5</f>
        <v>0</v>
      </c>
    </row>
    <row r="6" customFormat="false" ht="15" hidden="false" customHeight="false" outlineLevel="0" collapsed="false">
      <c r="A6" s="214" t="s">
        <v>552</v>
      </c>
      <c r="B6" s="214" t="n">
        <v>1000000</v>
      </c>
      <c r="C6" s="214" t="n">
        <v>1000000</v>
      </c>
      <c r="D6" s="214" t="n">
        <f aca="false">B6-C6</f>
        <v>0</v>
      </c>
    </row>
    <row r="7" customFormat="false" ht="15" hidden="false" customHeight="false" outlineLevel="0" collapsed="false">
      <c r="A7" s="214" t="s">
        <v>553</v>
      </c>
      <c r="B7" s="214" t="n">
        <v>11500000</v>
      </c>
      <c r="C7" s="214" t="n">
        <v>11500000</v>
      </c>
      <c r="D7" s="214" t="n">
        <f aca="false">B7-C7</f>
        <v>0</v>
      </c>
    </row>
    <row r="8" customFormat="false" ht="15" hidden="false" customHeight="false" outlineLevel="0" collapsed="false">
      <c r="A8" s="216" t="s">
        <v>554</v>
      </c>
      <c r="B8" s="216" t="n">
        <v>24000000</v>
      </c>
      <c r="C8" s="216" t="n">
        <v>24000000</v>
      </c>
      <c r="D8" s="216" t="n">
        <f aca="false">B8-C8</f>
        <v>0</v>
      </c>
    </row>
    <row r="9" customFormat="false" ht="15" hidden="false" customHeight="false" outlineLevel="0" collapsed="false">
      <c r="A9" s="215" t="s">
        <v>555</v>
      </c>
      <c r="B9" s="215"/>
      <c r="C9" s="215"/>
      <c r="D9" s="215"/>
    </row>
    <row r="10" customFormat="false" ht="15" hidden="false" customHeight="false" outlineLevel="0" collapsed="false">
      <c r="A10" s="214" t="s">
        <v>211</v>
      </c>
      <c r="B10" s="214" t="n">
        <v>3000000</v>
      </c>
      <c r="C10" s="214" t="n">
        <v>3000000</v>
      </c>
      <c r="D10" s="214" t="n">
        <v>0</v>
      </c>
    </row>
    <row r="11" customFormat="false" ht="15" hidden="false" customHeight="false" outlineLevel="0" collapsed="false">
      <c r="A11" s="214" t="s">
        <v>553</v>
      </c>
      <c r="B11" s="214" t="n">
        <v>6000000</v>
      </c>
      <c r="C11" s="214" t="n">
        <f aca="false">B11</f>
        <v>6000000</v>
      </c>
      <c r="D11" s="214" t="n">
        <v>0</v>
      </c>
    </row>
    <row r="12" customFormat="false" ht="15" hidden="false" customHeight="false" outlineLevel="0" collapsed="false">
      <c r="A12" s="216" t="s">
        <v>554</v>
      </c>
      <c r="B12" s="216" t="n">
        <v>9000000</v>
      </c>
      <c r="C12" s="216" t="n">
        <v>9000000</v>
      </c>
      <c r="D12" s="216" t="n">
        <f aca="false">B12-C12</f>
        <v>0</v>
      </c>
    </row>
    <row r="13" customFormat="false" ht="15" hidden="false" customHeight="false" outlineLevel="0" collapsed="false">
      <c r="A13" s="215" t="s">
        <v>556</v>
      </c>
      <c r="B13" s="215"/>
      <c r="C13" s="215"/>
      <c r="D13" s="215"/>
    </row>
    <row r="14" customFormat="false" ht="15" hidden="false" customHeight="false" outlineLevel="0" collapsed="false">
      <c r="A14" s="214" t="s">
        <v>557</v>
      </c>
      <c r="B14" s="214" t="n">
        <v>2500000</v>
      </c>
      <c r="C14" s="214" t="n">
        <v>2500000</v>
      </c>
      <c r="D14" s="214" t="n">
        <f aca="false">B14-C14</f>
        <v>0</v>
      </c>
    </row>
    <row r="15" customFormat="false" ht="15" hidden="false" customHeight="false" outlineLevel="0" collapsed="false">
      <c r="A15" s="214" t="s">
        <v>553</v>
      </c>
      <c r="B15" s="214" t="n">
        <v>2500000</v>
      </c>
      <c r="C15" s="214" t="n">
        <v>2500000</v>
      </c>
      <c r="D15" s="214" t="n">
        <f aca="false">B15-C15</f>
        <v>0</v>
      </c>
    </row>
    <row r="16" customFormat="false" ht="15" hidden="false" customHeight="false" outlineLevel="0" collapsed="false">
      <c r="A16" s="216" t="s">
        <v>554</v>
      </c>
      <c r="B16" s="216" t="n">
        <f aca="false">B14+B15</f>
        <v>5000000</v>
      </c>
      <c r="C16" s="216" t="n">
        <f aca="false">C14+C15</f>
        <v>5000000</v>
      </c>
      <c r="D16" s="216" t="n">
        <f aca="false">B16-C16</f>
        <v>0</v>
      </c>
    </row>
    <row r="17" customFormat="false" ht="15" hidden="false" customHeight="false" outlineLevel="0" collapsed="false">
      <c r="A17" s="215" t="s">
        <v>558</v>
      </c>
      <c r="B17" s="215"/>
      <c r="C17" s="215"/>
      <c r="D17" s="215"/>
    </row>
    <row r="18" customFormat="false" ht="15" hidden="false" customHeight="false" outlineLevel="0" collapsed="false">
      <c r="A18" s="214" t="s">
        <v>559</v>
      </c>
      <c r="B18" s="214" t="n">
        <v>2500000</v>
      </c>
      <c r="C18" s="214" t="n">
        <v>2500000</v>
      </c>
      <c r="D18" s="214" t="n">
        <f aca="false">B18-C18</f>
        <v>0</v>
      </c>
    </row>
    <row r="19" customFormat="false" ht="15" hidden="false" customHeight="false" outlineLevel="0" collapsed="false">
      <c r="A19" s="214" t="s">
        <v>553</v>
      </c>
      <c r="B19" s="214" t="n">
        <v>2500000</v>
      </c>
      <c r="C19" s="214" t="n">
        <v>2500000</v>
      </c>
      <c r="D19" s="214" t="n">
        <f aca="false">B19-C19</f>
        <v>0</v>
      </c>
    </row>
    <row r="20" customFormat="false" ht="15" hidden="false" customHeight="false" outlineLevel="0" collapsed="false">
      <c r="A20" s="216" t="s">
        <v>554</v>
      </c>
      <c r="B20" s="216" t="n">
        <v>5000000</v>
      </c>
      <c r="C20" s="214"/>
      <c r="D20" s="216" t="n">
        <f aca="false">D18+D19</f>
        <v>0</v>
      </c>
    </row>
    <row r="21" customFormat="false" ht="15" hidden="false" customHeight="false" outlineLevel="0" collapsed="false">
      <c r="A21" s="215" t="s">
        <v>560</v>
      </c>
      <c r="B21" s="215"/>
      <c r="C21" s="215"/>
      <c r="D21" s="215"/>
    </row>
    <row r="22" customFormat="false" ht="15" hidden="false" customHeight="false" outlineLevel="0" collapsed="false">
      <c r="A22" s="214" t="s">
        <v>211</v>
      </c>
      <c r="B22" s="214" t="n">
        <v>7000000</v>
      </c>
      <c r="C22" s="214" t="n">
        <v>7000000</v>
      </c>
      <c r="D22" s="214" t="n">
        <f aca="false">B22-C22</f>
        <v>0</v>
      </c>
    </row>
    <row r="23" customFormat="false" ht="15" hidden="false" customHeight="false" outlineLevel="0" collapsed="false">
      <c r="A23" s="214" t="s">
        <v>561</v>
      </c>
      <c r="B23" s="214" t="n">
        <v>3000000</v>
      </c>
      <c r="C23" s="214" t="n">
        <v>3000000</v>
      </c>
      <c r="D23" s="214" t="n">
        <f aca="false">B23-C23</f>
        <v>0</v>
      </c>
    </row>
    <row r="24" customFormat="false" ht="15" hidden="false" customHeight="false" outlineLevel="0" collapsed="false">
      <c r="A24" s="214" t="s">
        <v>553</v>
      </c>
      <c r="B24" s="214" t="n">
        <v>10000000</v>
      </c>
      <c r="C24" s="214" t="n">
        <v>10000000</v>
      </c>
      <c r="D24" s="214" t="n">
        <f aca="false">B24-C24</f>
        <v>0</v>
      </c>
    </row>
    <row r="25" customFormat="false" ht="15" hidden="false" customHeight="false" outlineLevel="0" collapsed="false">
      <c r="A25" s="216" t="s">
        <v>554</v>
      </c>
      <c r="B25" s="216" t="n">
        <f aca="false">SUM(B22:B24)</f>
        <v>20000000</v>
      </c>
      <c r="C25" s="216" t="n">
        <f aca="false">SUM(C22:C24)</f>
        <v>20000000</v>
      </c>
      <c r="D25" s="216" t="n">
        <f aca="false">SUM(D22:D24)</f>
        <v>0</v>
      </c>
    </row>
    <row r="26" customFormat="false" ht="15" hidden="false" customHeight="false" outlineLevel="0" collapsed="false">
      <c r="A26" s="215" t="s">
        <v>562</v>
      </c>
      <c r="B26" s="215"/>
      <c r="C26" s="215"/>
      <c r="D26" s="215"/>
    </row>
    <row r="27" customFormat="false" ht="15" hidden="false" customHeight="false" outlineLevel="0" collapsed="false">
      <c r="A27" s="214" t="s">
        <v>209</v>
      </c>
      <c r="B27" s="214" t="n">
        <v>6000000</v>
      </c>
      <c r="C27" s="214" t="n">
        <v>6000000</v>
      </c>
      <c r="D27" s="214" t="n">
        <f aca="false">B27-C27</f>
        <v>0</v>
      </c>
    </row>
    <row r="28" customFormat="false" ht="15" hidden="false" customHeight="false" outlineLevel="0" collapsed="false">
      <c r="A28" s="214" t="s">
        <v>561</v>
      </c>
      <c r="B28" s="214" t="n">
        <v>8000000</v>
      </c>
      <c r="C28" s="214" t="n">
        <f aca="false">B28</f>
        <v>8000000</v>
      </c>
      <c r="D28" s="214" t="n">
        <f aca="false">B28-C28</f>
        <v>0</v>
      </c>
    </row>
    <row r="29" customFormat="false" ht="15" hidden="false" customHeight="false" outlineLevel="0" collapsed="false">
      <c r="A29" s="214" t="s">
        <v>211</v>
      </c>
      <c r="B29" s="214" t="n">
        <v>2000000</v>
      </c>
      <c r="C29" s="214" t="n">
        <f aca="false">B29</f>
        <v>2000000</v>
      </c>
      <c r="D29" s="214" t="n">
        <f aca="false">B29-C29</f>
        <v>0</v>
      </c>
    </row>
    <row r="30" customFormat="false" ht="15" hidden="false" customHeight="false" outlineLevel="0" collapsed="false">
      <c r="A30" s="214" t="s">
        <v>553</v>
      </c>
      <c r="B30" s="214" t="n">
        <v>9000000</v>
      </c>
      <c r="C30" s="214" t="n">
        <v>9000000</v>
      </c>
      <c r="D30" s="214" t="n">
        <f aca="false">B30-C30</f>
        <v>0</v>
      </c>
    </row>
    <row r="31" customFormat="false" ht="15" hidden="false" customHeight="false" outlineLevel="0" collapsed="false">
      <c r="A31" s="216" t="s">
        <v>554</v>
      </c>
      <c r="B31" s="216" t="n">
        <f aca="false">SUM(B27:B30)</f>
        <v>25000000</v>
      </c>
      <c r="C31" s="216"/>
      <c r="D31" s="216" t="n">
        <f aca="false">SUM(D27:D30)</f>
        <v>0</v>
      </c>
    </row>
    <row r="32" customFormat="false" ht="15" hidden="false" customHeight="false" outlineLevel="0" collapsed="false">
      <c r="A32" s="217" t="s">
        <v>563</v>
      </c>
      <c r="B32" s="217"/>
      <c r="C32" s="217"/>
      <c r="D32" s="217"/>
    </row>
    <row r="33" customFormat="false" ht="15" hidden="false" customHeight="false" outlineLevel="0" collapsed="false">
      <c r="A33" s="214" t="s">
        <v>218</v>
      </c>
      <c r="B33" s="214" t="n">
        <v>1400000</v>
      </c>
      <c r="C33" s="216" t="n">
        <v>1400000</v>
      </c>
      <c r="D33" s="214" t="n">
        <f aca="false">B33-C33</f>
        <v>0</v>
      </c>
    </row>
    <row r="34" customFormat="false" ht="15" hidden="false" customHeight="false" outlineLevel="0" collapsed="false">
      <c r="A34" s="214" t="s">
        <v>553</v>
      </c>
      <c r="B34" s="214" t="n">
        <v>1400000</v>
      </c>
      <c r="C34" s="214" t="n">
        <v>1400000</v>
      </c>
      <c r="D34" s="214" t="n">
        <f aca="false">B34-C34</f>
        <v>0</v>
      </c>
    </row>
    <row r="35" customFormat="false" ht="15" hidden="false" customHeight="false" outlineLevel="0" collapsed="false">
      <c r="A35" s="216" t="s">
        <v>554</v>
      </c>
      <c r="B35" s="216" t="n">
        <f aca="false">SUM(B33:B34)</f>
        <v>2800000</v>
      </c>
      <c r="C35" s="216" t="n">
        <f aca="false">SUM(C33:C34)</f>
        <v>2800000</v>
      </c>
      <c r="D35" s="216" t="n">
        <f aca="false">SUM(D33:D34)</f>
        <v>0</v>
      </c>
    </row>
    <row r="36" customFormat="false" ht="15" hidden="false" customHeight="false" outlineLevel="0" collapsed="false">
      <c r="A36" s="215" t="s">
        <v>564</v>
      </c>
      <c r="B36" s="215"/>
      <c r="C36" s="215"/>
      <c r="D36" s="215"/>
    </row>
    <row r="37" customFormat="false" ht="15" hidden="false" customHeight="false" outlineLevel="0" collapsed="false">
      <c r="A37" s="214" t="s">
        <v>217</v>
      </c>
      <c r="B37" s="214" t="n">
        <v>2500000</v>
      </c>
      <c r="C37" s="216" t="n">
        <v>2500000</v>
      </c>
      <c r="D37" s="214" t="n">
        <f aca="false">B37-C37</f>
        <v>0</v>
      </c>
    </row>
    <row r="38" customFormat="false" ht="15" hidden="false" customHeight="false" outlineLevel="0" collapsed="false">
      <c r="A38" s="214" t="s">
        <v>553</v>
      </c>
      <c r="B38" s="214" t="n">
        <v>2500000</v>
      </c>
      <c r="C38" s="214" t="n">
        <v>2500000</v>
      </c>
      <c r="D38" s="214" t="n">
        <f aca="false">B38-C38</f>
        <v>0</v>
      </c>
    </row>
    <row r="39" customFormat="false" ht="15" hidden="false" customHeight="false" outlineLevel="0" collapsed="false">
      <c r="A39" s="216" t="s">
        <v>554</v>
      </c>
      <c r="B39" s="216" t="n">
        <f aca="false">SUM(B37:B38)</f>
        <v>5000000</v>
      </c>
      <c r="C39" s="216" t="n">
        <f aca="false">SUM(C37:C38)</f>
        <v>5000000</v>
      </c>
      <c r="D39" s="216" t="n">
        <f aca="false">SUM(D37:D38)</f>
        <v>0</v>
      </c>
    </row>
    <row r="40" customFormat="false" ht="15" hidden="false" customHeight="false" outlineLevel="0" collapsed="false">
      <c r="A40" s="215" t="s">
        <v>565</v>
      </c>
      <c r="B40" s="215"/>
      <c r="C40" s="215"/>
      <c r="D40" s="215"/>
    </row>
    <row r="41" customFormat="false" ht="15" hidden="false" customHeight="false" outlineLevel="0" collapsed="false">
      <c r="A41" s="214" t="s">
        <v>217</v>
      </c>
      <c r="B41" s="214" t="n">
        <v>12000000</v>
      </c>
      <c r="C41" s="216" t="n">
        <f aca="false">6000000+6000000</f>
        <v>12000000</v>
      </c>
      <c r="D41" s="214" t="n">
        <f aca="false">B41-C41</f>
        <v>0</v>
      </c>
    </row>
    <row r="42" customFormat="false" ht="15" hidden="false" customHeight="false" outlineLevel="0" collapsed="false">
      <c r="A42" s="214" t="s">
        <v>221</v>
      </c>
      <c r="B42" s="214" t="n">
        <v>12000000</v>
      </c>
      <c r="C42" s="216" t="n">
        <f aca="false">2000000+6000000+4000000</f>
        <v>12000000</v>
      </c>
      <c r="D42" s="214" t="n">
        <f aca="false">B42-C42</f>
        <v>0</v>
      </c>
    </row>
    <row r="43" customFormat="false" ht="15" hidden="false" customHeight="false" outlineLevel="0" collapsed="false">
      <c r="A43" s="214" t="s">
        <v>553</v>
      </c>
      <c r="B43" s="214" t="n">
        <v>24000000</v>
      </c>
      <c r="C43" s="214" t="n">
        <v>24000000</v>
      </c>
      <c r="D43" s="214" t="n">
        <f aca="false">B43-C43</f>
        <v>0</v>
      </c>
    </row>
    <row r="44" customFormat="false" ht="15" hidden="false" customHeight="false" outlineLevel="0" collapsed="false">
      <c r="A44" s="218" t="s">
        <v>554</v>
      </c>
      <c r="B44" s="216" t="n">
        <f aca="false">B41+B42+B43</f>
        <v>48000000</v>
      </c>
      <c r="C44" s="216" t="n">
        <f aca="false">C41+C42+C43</f>
        <v>48000000</v>
      </c>
      <c r="D44" s="216" t="n">
        <f aca="false">D41+D42+D43</f>
        <v>0</v>
      </c>
    </row>
    <row r="45" customFormat="false" ht="15" hidden="false" customHeight="false" outlineLevel="0" collapsed="false">
      <c r="A45" s="219" t="s">
        <v>566</v>
      </c>
      <c r="B45" s="219"/>
      <c r="C45" s="219"/>
      <c r="D45" s="219"/>
    </row>
    <row r="46" customFormat="false" ht="15" hidden="false" customHeight="false" outlineLevel="0" collapsed="false">
      <c r="A46" s="5" t="s">
        <v>553</v>
      </c>
      <c r="B46" s="214" t="n">
        <v>7500000</v>
      </c>
      <c r="C46" s="214" t="n">
        <v>7500000</v>
      </c>
      <c r="D46" s="214" t="n">
        <v>0</v>
      </c>
    </row>
    <row r="47" customFormat="false" ht="15" hidden="false" customHeight="false" outlineLevel="0" collapsed="false">
      <c r="A47" s="218" t="s">
        <v>554</v>
      </c>
      <c r="B47" s="214" t="n">
        <f aca="false">B46</f>
        <v>7500000</v>
      </c>
      <c r="C47" s="214" t="n">
        <f aca="false">C46</f>
        <v>7500000</v>
      </c>
      <c r="D47" s="214" t="n">
        <v>0</v>
      </c>
    </row>
    <row r="48" customFormat="false" ht="15" hidden="false" customHeight="false" outlineLevel="0" collapsed="false">
      <c r="A48" s="219" t="s">
        <v>567</v>
      </c>
      <c r="B48" s="219"/>
      <c r="C48" s="219"/>
      <c r="D48" s="219"/>
    </row>
    <row r="49" customFormat="false" ht="15" hidden="false" customHeight="false" outlineLevel="0" collapsed="false">
      <c r="A49" s="5" t="s">
        <v>553</v>
      </c>
      <c r="B49" s="214" t="n">
        <v>3000000</v>
      </c>
      <c r="C49" s="214" t="n">
        <v>3000000</v>
      </c>
      <c r="D49" s="5"/>
    </row>
    <row r="50" customFormat="false" ht="15" hidden="false" customHeight="false" outlineLevel="0" collapsed="false">
      <c r="A50" s="5" t="s">
        <v>568</v>
      </c>
      <c r="B50" s="214" t="n">
        <v>2000000</v>
      </c>
      <c r="C50" s="214" t="n">
        <v>2000000</v>
      </c>
      <c r="D50" s="5"/>
    </row>
    <row r="51" customFormat="false" ht="15" hidden="false" customHeight="false" outlineLevel="0" collapsed="false">
      <c r="A51" s="5" t="s">
        <v>554</v>
      </c>
      <c r="B51" s="214" t="n">
        <f aca="false">B49+B50</f>
        <v>5000000</v>
      </c>
      <c r="C51" s="5"/>
      <c r="D51" s="5"/>
    </row>
    <row r="52" customFormat="false" ht="15" hidden="false" customHeight="false" outlineLevel="0" collapsed="false">
      <c r="A52" s="219" t="s">
        <v>569</v>
      </c>
      <c r="B52" s="219"/>
      <c r="C52" s="219"/>
      <c r="D52" s="219"/>
    </row>
    <row r="53" customFormat="false" ht="15" hidden="false" customHeight="false" outlineLevel="0" collapsed="false">
      <c r="A53" s="5" t="s">
        <v>553</v>
      </c>
      <c r="B53" s="214" t="n">
        <v>6500000</v>
      </c>
      <c r="C53" s="5" t="n">
        <v>2000000</v>
      </c>
      <c r="D53" s="220" t="n">
        <f aca="false">B53-C53</f>
        <v>4500000</v>
      </c>
    </row>
    <row r="54" customFormat="false" ht="15" hidden="false" customHeight="false" outlineLevel="0" collapsed="false">
      <c r="A54" s="5" t="s">
        <v>554</v>
      </c>
      <c r="B54" s="214" t="n">
        <f aca="false">B53</f>
        <v>6500000</v>
      </c>
      <c r="C54" s="5"/>
      <c r="D54" s="220" t="n">
        <f aca="false">B54-C54</f>
        <v>6500000</v>
      </c>
    </row>
    <row r="55" customFormat="false" ht="15" hidden="false" customHeight="false" outlineLevel="0" collapsed="false">
      <c r="A55" s="219" t="s">
        <v>570</v>
      </c>
      <c r="B55" s="219"/>
      <c r="C55" s="219"/>
      <c r="D55" s="219"/>
    </row>
    <row r="56" customFormat="false" ht="15" hidden="false" customHeight="false" outlineLevel="0" collapsed="false">
      <c r="A56" s="5" t="s">
        <v>553</v>
      </c>
      <c r="B56" s="214" t="n">
        <v>1250000</v>
      </c>
      <c r="C56" s="5" t="n">
        <v>1250000</v>
      </c>
      <c r="D56" s="220" t="n">
        <f aca="false">B56-C56</f>
        <v>0</v>
      </c>
    </row>
    <row r="57" customFormat="false" ht="15" hidden="false" customHeight="false" outlineLevel="0" collapsed="false">
      <c r="A57" s="5" t="s">
        <v>554</v>
      </c>
      <c r="B57" s="214" t="n">
        <f aca="false">B56</f>
        <v>1250000</v>
      </c>
      <c r="C57" s="5" t="n">
        <v>1250000</v>
      </c>
      <c r="D57" s="220" t="n">
        <f aca="false">B57-C57</f>
        <v>0</v>
      </c>
    </row>
    <row r="58" customFormat="false" ht="15" hidden="false" customHeight="false" outlineLevel="0" collapsed="false">
      <c r="A58" s="219" t="s">
        <v>359</v>
      </c>
      <c r="B58" s="219"/>
      <c r="C58" s="219"/>
      <c r="D58" s="219"/>
    </row>
    <row r="59" customFormat="false" ht="15" hidden="false" customHeight="false" outlineLevel="0" collapsed="false">
      <c r="A59" s="5" t="s">
        <v>553</v>
      </c>
      <c r="B59" s="214" t="n">
        <v>2000000</v>
      </c>
      <c r="C59" s="214" t="n">
        <v>2000000</v>
      </c>
      <c r="D59" s="5" t="n">
        <v>0</v>
      </c>
    </row>
    <row r="60" customFormat="false" ht="15" hidden="false" customHeight="false" outlineLevel="0" collapsed="false">
      <c r="A60" s="5" t="s">
        <v>554</v>
      </c>
      <c r="B60" s="214" t="n">
        <f aca="false">B59</f>
        <v>2000000</v>
      </c>
      <c r="C60" s="214" t="n">
        <f aca="false">C59</f>
        <v>2000000</v>
      </c>
      <c r="D60" s="5" t="n">
        <v>0</v>
      </c>
    </row>
    <row r="61" customFormat="false" ht="15" hidden="false" customHeight="false" outlineLevel="0" collapsed="false">
      <c r="A61" s="5"/>
      <c r="B61" s="214"/>
      <c r="C61" s="5"/>
      <c r="D61" s="5"/>
    </row>
    <row r="62" customFormat="false" ht="15" hidden="false" customHeight="false" outlineLevel="0" collapsed="false">
      <c r="A62" s="219" t="s">
        <v>571</v>
      </c>
      <c r="B62" s="219"/>
      <c r="C62" s="219"/>
      <c r="D62" s="219"/>
    </row>
    <row r="63" customFormat="false" ht="15" hidden="false" customHeight="false" outlineLevel="0" collapsed="false">
      <c r="A63" s="5" t="s">
        <v>553</v>
      </c>
      <c r="B63" s="214" t="n">
        <v>2000000</v>
      </c>
      <c r="C63" s="5" t="n">
        <v>2000000</v>
      </c>
      <c r="D63" s="220" t="n">
        <f aca="false">B63-C63</f>
        <v>0</v>
      </c>
    </row>
    <row r="64" customFormat="false" ht="15" hidden="false" customHeight="false" outlineLevel="0" collapsed="false">
      <c r="A64" s="5" t="s">
        <v>554</v>
      </c>
      <c r="B64" s="214" t="n">
        <f aca="false">B63</f>
        <v>2000000</v>
      </c>
      <c r="C64" s="5" t="n">
        <v>2000000</v>
      </c>
      <c r="D64" s="220" t="n">
        <f aca="false">B64-C64</f>
        <v>0</v>
      </c>
    </row>
    <row r="65" customFormat="false" ht="15" hidden="false" customHeight="false" outlineLevel="0" collapsed="false">
      <c r="A65" s="5"/>
      <c r="B65" s="214"/>
      <c r="C65" s="5"/>
      <c r="D65" s="5"/>
    </row>
    <row r="66" customFormat="false" ht="15" hidden="false" customHeight="true" outlineLevel="0" collapsed="false">
      <c r="A66" s="219" t="s">
        <v>572</v>
      </c>
      <c r="B66" s="219"/>
      <c r="C66" s="219"/>
      <c r="D66" s="219"/>
      <c r="E66" s="221"/>
    </row>
    <row r="67" customFormat="false" ht="15" hidden="false" customHeight="true" outlineLevel="0" collapsed="false">
      <c r="A67" s="5" t="s">
        <v>553</v>
      </c>
      <c r="B67" s="214" t="n">
        <v>9000000</v>
      </c>
      <c r="C67" s="214" t="n">
        <v>9000000</v>
      </c>
      <c r="D67" s="220" t="n">
        <f aca="false">B67-C67</f>
        <v>0</v>
      </c>
      <c r="E67" s="221" t="n">
        <v>36000000</v>
      </c>
      <c r="F67" s="221" t="n">
        <v>18000000</v>
      </c>
      <c r="G67" s="222" t="n">
        <f aca="false">E67-F67</f>
        <v>18000000</v>
      </c>
    </row>
    <row r="68" customFormat="false" ht="15" hidden="false" customHeight="true" outlineLevel="0" collapsed="false">
      <c r="A68" s="5" t="s">
        <v>561</v>
      </c>
      <c r="B68" s="214" t="n">
        <v>9000000</v>
      </c>
      <c r="C68" s="214"/>
      <c r="D68" s="220" t="n">
        <f aca="false">B68-C68</f>
        <v>9000000</v>
      </c>
      <c r="E68" s="221"/>
    </row>
    <row r="69" customFormat="false" ht="15" hidden="false" customHeight="true" outlineLevel="0" collapsed="false">
      <c r="A69" s="5" t="s">
        <v>554</v>
      </c>
      <c r="B69" s="214" t="n">
        <f aca="false">B67+B68</f>
        <v>18000000</v>
      </c>
      <c r="C69" s="214" t="n">
        <f aca="false">C67+C68</f>
        <v>9000000</v>
      </c>
      <c r="D69" s="220" t="n">
        <f aca="false">B69-C69</f>
        <v>9000000</v>
      </c>
      <c r="E69" s="221"/>
    </row>
    <row r="70" customFormat="false" ht="15" hidden="false" customHeight="true" outlineLevel="0" collapsed="false">
      <c r="A70" s="219" t="s">
        <v>573</v>
      </c>
      <c r="B70" s="219"/>
      <c r="C70" s="219"/>
      <c r="D70" s="219"/>
      <c r="E70" s="221"/>
    </row>
    <row r="71" customFormat="false" ht="15" hidden="false" customHeight="true" outlineLevel="0" collapsed="false">
      <c r="A71" s="5" t="s">
        <v>553</v>
      </c>
      <c r="B71" s="214" t="n">
        <v>10000000</v>
      </c>
      <c r="C71" s="214" t="n">
        <v>10000000</v>
      </c>
      <c r="D71" s="220" t="n">
        <f aca="false">B71-C71</f>
        <v>0</v>
      </c>
      <c r="E71" s="221" t="n">
        <v>40000000</v>
      </c>
      <c r="F71" s="221" t="n">
        <v>20000000</v>
      </c>
      <c r="G71" s="222" t="n">
        <f aca="false">E71-F71</f>
        <v>20000000</v>
      </c>
    </row>
    <row r="72" customFormat="false" ht="15" hidden="false" customHeight="true" outlineLevel="0" collapsed="false">
      <c r="A72" s="5" t="s">
        <v>212</v>
      </c>
      <c r="B72" s="214" t="n">
        <v>5000000</v>
      </c>
      <c r="C72" s="214" t="n">
        <f aca="false">5000000</f>
        <v>5000000</v>
      </c>
      <c r="D72" s="220" t="n">
        <f aca="false">B72-C72</f>
        <v>0</v>
      </c>
      <c r="E72" s="221"/>
    </row>
    <row r="73" customFormat="false" ht="15" hidden="false" customHeight="true" outlineLevel="0" collapsed="false">
      <c r="A73" s="5" t="s">
        <v>225</v>
      </c>
      <c r="B73" s="214" t="n">
        <v>5000000</v>
      </c>
      <c r="C73" s="214"/>
      <c r="D73" s="220" t="n">
        <f aca="false">B73-C73</f>
        <v>5000000</v>
      </c>
      <c r="E73" s="221"/>
    </row>
    <row r="74" customFormat="false" ht="15" hidden="false" customHeight="true" outlineLevel="0" collapsed="false">
      <c r="A74" s="5" t="s">
        <v>554</v>
      </c>
      <c r="B74" s="214" t="n">
        <f aca="false">B71+B73+B72</f>
        <v>20000000</v>
      </c>
      <c r="C74" s="214" t="n">
        <f aca="false">C71+C73+C72</f>
        <v>15000000</v>
      </c>
      <c r="D74" s="214" t="n">
        <f aca="false">D71+D73+D72</f>
        <v>5000000</v>
      </c>
      <c r="E74" s="221"/>
    </row>
    <row r="75" customFormat="false" ht="15" hidden="false" customHeight="true" outlineLevel="0" collapsed="false">
      <c r="A75" s="219" t="s">
        <v>574</v>
      </c>
      <c r="B75" s="219"/>
      <c r="C75" s="219"/>
      <c r="D75" s="219"/>
      <c r="E75" s="221"/>
    </row>
    <row r="76" customFormat="false" ht="15" hidden="false" customHeight="true" outlineLevel="0" collapsed="false">
      <c r="A76" s="5" t="s">
        <v>553</v>
      </c>
      <c r="B76" s="214" t="n">
        <v>7500000</v>
      </c>
      <c r="C76" s="214" t="n">
        <f aca="false">B76</f>
        <v>7500000</v>
      </c>
      <c r="D76" s="220" t="n">
        <f aca="false">B76-C76</f>
        <v>0</v>
      </c>
      <c r="E76" s="221"/>
    </row>
    <row r="77" customFormat="false" ht="15" hidden="false" customHeight="true" outlineLevel="0" collapsed="false">
      <c r="A77" s="5" t="s">
        <v>208</v>
      </c>
      <c r="B77" s="214" t="n">
        <v>7500000</v>
      </c>
      <c r="C77" s="214" t="n">
        <v>7500000</v>
      </c>
      <c r="D77" s="220" t="n">
        <f aca="false">B77-C77</f>
        <v>0</v>
      </c>
      <c r="E77" s="221"/>
    </row>
    <row r="78" customFormat="false" ht="15" hidden="false" customHeight="true" outlineLevel="0" collapsed="false">
      <c r="A78" s="5" t="s">
        <v>554</v>
      </c>
      <c r="B78" s="214" t="n">
        <f aca="false">B76+B77</f>
        <v>15000000</v>
      </c>
      <c r="C78" s="214" t="n">
        <f aca="false">C76+C77</f>
        <v>15000000</v>
      </c>
      <c r="D78" s="220" t="n">
        <f aca="false">B78-C78</f>
        <v>0</v>
      </c>
      <c r="E78" s="221"/>
    </row>
    <row r="79" customFormat="false" ht="15" hidden="false" customHeight="true" outlineLevel="0" collapsed="false">
      <c r="A79" s="219" t="s">
        <v>377</v>
      </c>
      <c r="B79" s="219"/>
      <c r="C79" s="219"/>
      <c r="D79" s="219"/>
      <c r="E79" s="221"/>
    </row>
    <row r="80" customFormat="false" ht="15" hidden="false" customHeight="true" outlineLevel="0" collapsed="false">
      <c r="A80" s="5" t="s">
        <v>553</v>
      </c>
      <c r="B80" s="214" t="n">
        <v>7500000</v>
      </c>
      <c r="C80" s="214" t="n">
        <f aca="false">B80</f>
        <v>7500000</v>
      </c>
      <c r="D80" s="220" t="n">
        <f aca="false">B80-C80</f>
        <v>0</v>
      </c>
      <c r="E80" s="221"/>
    </row>
    <row r="81" customFormat="false" ht="15" hidden="false" customHeight="true" outlineLevel="0" collapsed="false">
      <c r="A81" s="5" t="s">
        <v>216</v>
      </c>
      <c r="B81" s="214" t="n">
        <v>7500000</v>
      </c>
      <c r="C81" s="214" t="n">
        <v>7500000</v>
      </c>
      <c r="D81" s="220" t="n">
        <f aca="false">B81-C81</f>
        <v>0</v>
      </c>
      <c r="E81" s="221"/>
    </row>
    <row r="82" customFormat="false" ht="15" hidden="false" customHeight="true" outlineLevel="0" collapsed="false">
      <c r="A82" s="5" t="s">
        <v>554</v>
      </c>
      <c r="B82" s="214" t="n">
        <f aca="false">B80+B81</f>
        <v>15000000</v>
      </c>
      <c r="C82" s="214" t="n">
        <f aca="false">C80+C81</f>
        <v>15000000</v>
      </c>
      <c r="D82" s="220" t="n">
        <f aca="false">B82-C82</f>
        <v>0</v>
      </c>
      <c r="E82" s="221"/>
    </row>
    <row r="83" customFormat="false" ht="15" hidden="false" customHeight="true" outlineLevel="0" collapsed="false">
      <c r="A83" s="219" t="s">
        <v>376</v>
      </c>
      <c r="B83" s="219"/>
      <c r="C83" s="219"/>
      <c r="D83" s="219"/>
      <c r="E83" s="221"/>
    </row>
    <row r="84" customFormat="false" ht="15" hidden="false" customHeight="true" outlineLevel="0" collapsed="false">
      <c r="A84" s="5" t="s">
        <v>553</v>
      </c>
      <c r="B84" s="214" t="n">
        <v>10000000</v>
      </c>
      <c r="C84" s="214" t="n">
        <v>10000000</v>
      </c>
      <c r="D84" s="220" t="n">
        <f aca="false">B84-C84</f>
        <v>0</v>
      </c>
      <c r="E84" s="221"/>
    </row>
    <row r="85" customFormat="false" ht="15" hidden="false" customHeight="true" outlineLevel="0" collapsed="false">
      <c r="A85" s="5" t="s">
        <v>223</v>
      </c>
      <c r="B85" s="214" t="n">
        <v>10000000</v>
      </c>
      <c r="C85" s="214" t="n">
        <v>10000000</v>
      </c>
      <c r="D85" s="220" t="n">
        <f aca="false">B85-C85</f>
        <v>0</v>
      </c>
      <c r="E85" s="221"/>
    </row>
    <row r="86" customFormat="false" ht="15" hidden="false" customHeight="true" outlineLevel="0" collapsed="false">
      <c r="A86" s="5" t="s">
        <v>554</v>
      </c>
      <c r="B86" s="214" t="n">
        <f aca="false">B84+B85</f>
        <v>20000000</v>
      </c>
      <c r="C86" s="214" t="n">
        <f aca="false">C84+C85</f>
        <v>20000000</v>
      </c>
      <c r="D86" s="220" t="n">
        <f aca="false">B86-C86</f>
        <v>0</v>
      </c>
      <c r="E86" s="221"/>
    </row>
    <row r="87" customFormat="false" ht="15" hidden="false" customHeight="true" outlineLevel="0" collapsed="false">
      <c r="A87" s="219" t="s">
        <v>379</v>
      </c>
      <c r="B87" s="219"/>
      <c r="C87" s="219"/>
      <c r="D87" s="219"/>
      <c r="E87" s="221"/>
    </row>
    <row r="88" customFormat="false" ht="15" hidden="false" customHeight="true" outlineLevel="0" collapsed="false">
      <c r="A88" s="5" t="s">
        <v>553</v>
      </c>
      <c r="B88" s="214" t="n">
        <v>20000000</v>
      </c>
      <c r="C88" s="214" t="n">
        <v>20000000</v>
      </c>
      <c r="D88" s="220" t="n">
        <f aca="false">B88-C88</f>
        <v>0</v>
      </c>
      <c r="E88" s="221"/>
    </row>
    <row r="89" customFormat="false" ht="15" hidden="false" customHeight="true" outlineLevel="0" collapsed="false">
      <c r="A89" s="5" t="s">
        <v>211</v>
      </c>
      <c r="B89" s="214" t="n">
        <v>10000000</v>
      </c>
      <c r="C89" s="214" t="n">
        <v>10000000</v>
      </c>
      <c r="D89" s="220" t="n">
        <f aca="false">B89-C89</f>
        <v>0</v>
      </c>
      <c r="E89" s="221"/>
    </row>
    <row r="90" customFormat="false" ht="15" hidden="false" customHeight="true" outlineLevel="0" collapsed="false">
      <c r="A90" s="5" t="s">
        <v>222</v>
      </c>
      <c r="B90" s="214" t="n">
        <v>10000000</v>
      </c>
      <c r="C90" s="214" t="n">
        <v>10000000</v>
      </c>
      <c r="D90" s="220" t="n">
        <f aca="false">B90-C90</f>
        <v>0</v>
      </c>
      <c r="E90" s="221"/>
    </row>
    <row r="91" customFormat="false" ht="15" hidden="false" customHeight="true" outlineLevel="0" collapsed="false">
      <c r="A91" s="5" t="s">
        <v>221</v>
      </c>
      <c r="B91" s="214" t="n">
        <v>10000000</v>
      </c>
      <c r="C91" s="214" t="n">
        <v>10000000</v>
      </c>
      <c r="D91" s="220" t="n">
        <f aca="false">B91-C91</f>
        <v>0</v>
      </c>
      <c r="E91" s="221"/>
    </row>
    <row r="92" customFormat="false" ht="15" hidden="false" customHeight="true" outlineLevel="0" collapsed="false">
      <c r="A92" s="5" t="s">
        <v>554</v>
      </c>
      <c r="B92" s="214" t="n">
        <f aca="false">B88+B91+B89+B90</f>
        <v>50000000</v>
      </c>
      <c r="C92" s="214" t="n">
        <f aca="false">C88+C91+C89+C90</f>
        <v>50000000</v>
      </c>
      <c r="D92" s="220" t="n">
        <f aca="false">B92-C92</f>
        <v>0</v>
      </c>
      <c r="E92" s="221"/>
    </row>
    <row r="93" customFormat="false" ht="15" hidden="false" customHeight="true" outlineLevel="0" collapsed="false">
      <c r="A93" s="223" t="s">
        <v>350</v>
      </c>
      <c r="B93" s="223"/>
      <c r="C93" s="223"/>
      <c r="D93" s="223"/>
      <c r="E93" s="221"/>
    </row>
    <row r="94" customFormat="false" ht="15" hidden="false" customHeight="true" outlineLevel="0" collapsed="false">
      <c r="A94" s="5" t="s">
        <v>553</v>
      </c>
      <c r="B94" s="214" t="n">
        <v>22500000</v>
      </c>
      <c r="C94" s="214" t="n">
        <v>22500000</v>
      </c>
      <c r="D94" s="220" t="n">
        <f aca="false">B94-C94</f>
        <v>0</v>
      </c>
      <c r="E94" s="221" t="n">
        <v>90000000</v>
      </c>
      <c r="F94" s="224" t="n">
        <v>90000000</v>
      </c>
      <c r="G94" s="222" t="n">
        <f aca="false">E94-F94</f>
        <v>0</v>
      </c>
    </row>
    <row r="95" customFormat="false" ht="15" hidden="false" customHeight="true" outlineLevel="0" collapsed="false">
      <c r="A95" s="5" t="s">
        <v>208</v>
      </c>
      <c r="B95" s="214" t="n">
        <v>22500000</v>
      </c>
      <c r="C95" s="214" t="n">
        <v>22500000</v>
      </c>
      <c r="D95" s="220" t="n">
        <f aca="false">B95-C95</f>
        <v>0</v>
      </c>
      <c r="E95" s="221"/>
    </row>
    <row r="96" customFormat="false" ht="15" hidden="false" customHeight="true" outlineLevel="0" collapsed="false">
      <c r="A96" s="5" t="s">
        <v>554</v>
      </c>
      <c r="B96" s="214" t="n">
        <f aca="false">B94+B95</f>
        <v>45000000</v>
      </c>
      <c r="C96" s="214" t="n">
        <f aca="false">C94+C95</f>
        <v>45000000</v>
      </c>
      <c r="D96" s="220" t="n">
        <f aca="false">B96-C96</f>
        <v>0</v>
      </c>
      <c r="E96" s="221"/>
    </row>
    <row r="97" customFormat="false" ht="15" hidden="false" customHeight="true" outlineLevel="0" collapsed="false">
      <c r="A97" s="223" t="s">
        <v>575</v>
      </c>
      <c r="B97" s="223"/>
      <c r="C97" s="223"/>
      <c r="D97" s="223"/>
      <c r="E97" s="221"/>
    </row>
    <row r="98" customFormat="false" ht="15" hidden="false" customHeight="true" outlineLevel="0" collapsed="false">
      <c r="A98" s="5" t="s">
        <v>553</v>
      </c>
      <c r="B98" s="214" t="n">
        <v>144000000</v>
      </c>
      <c r="C98" s="225" t="n">
        <v>144000000</v>
      </c>
      <c r="D98" s="220" t="n">
        <f aca="false">B98-C98</f>
        <v>0</v>
      </c>
      <c r="E98" s="221" t="n">
        <v>325000000</v>
      </c>
      <c r="F98" s="221" t="n">
        <v>325000000</v>
      </c>
      <c r="G98" s="222" t="n">
        <f aca="false">E98-F98</f>
        <v>0</v>
      </c>
    </row>
    <row r="99" customFormat="false" ht="15" hidden="false" customHeight="true" outlineLevel="0" collapsed="false">
      <c r="A99" s="5" t="s">
        <v>554</v>
      </c>
      <c r="B99" s="214" t="n">
        <v>144000000</v>
      </c>
      <c r="C99" s="214" t="n">
        <f aca="false">C98</f>
        <v>144000000</v>
      </c>
      <c r="D99" s="220" t="n">
        <f aca="false">B99-C99</f>
        <v>0</v>
      </c>
      <c r="E99" s="221"/>
    </row>
    <row r="100" customFormat="false" ht="15" hidden="false" customHeight="true" outlineLevel="0" collapsed="false">
      <c r="A100" s="219" t="s">
        <v>576</v>
      </c>
      <c r="B100" s="219"/>
      <c r="C100" s="219"/>
      <c r="D100" s="219"/>
      <c r="E100" s="221"/>
    </row>
    <row r="101" customFormat="false" ht="15" hidden="false" customHeight="true" outlineLevel="0" collapsed="false">
      <c r="A101" s="5" t="s">
        <v>553</v>
      </c>
      <c r="B101" s="214" t="n">
        <v>8750000</v>
      </c>
      <c r="C101" s="214" t="n">
        <v>8750000</v>
      </c>
      <c r="D101" s="220" t="n">
        <f aca="false">B101-C101</f>
        <v>0</v>
      </c>
      <c r="E101" s="221" t="n">
        <v>40000000</v>
      </c>
      <c r="F101" s="221" t="n">
        <v>40000000</v>
      </c>
      <c r="G101" s="222" t="n">
        <f aca="false">E101-F101</f>
        <v>0</v>
      </c>
    </row>
    <row r="102" customFormat="false" ht="15" hidden="false" customHeight="true" outlineLevel="0" collapsed="false">
      <c r="A102" s="5" t="s">
        <v>577</v>
      </c>
      <c r="B102" s="214" t="n">
        <v>8750000</v>
      </c>
      <c r="C102" s="214" t="n">
        <v>0</v>
      </c>
      <c r="D102" s="220" t="n">
        <f aca="false">B102-C102</f>
        <v>8750000</v>
      </c>
      <c r="E102" s="221"/>
    </row>
    <row r="103" customFormat="false" ht="15" hidden="false" customHeight="true" outlineLevel="0" collapsed="false">
      <c r="A103" s="5" t="s">
        <v>554</v>
      </c>
      <c r="B103" s="214" t="n">
        <f aca="false">B101+B102</f>
        <v>17500000</v>
      </c>
      <c r="C103" s="214" t="n">
        <f aca="false">C101+C102</f>
        <v>8750000</v>
      </c>
      <c r="D103" s="220" t="n">
        <f aca="false">B103-C103</f>
        <v>8750000</v>
      </c>
      <c r="E103" s="221"/>
    </row>
    <row r="104" customFormat="false" ht="15" hidden="false" customHeight="true" outlineLevel="0" collapsed="false">
      <c r="A104" s="219" t="s">
        <v>578</v>
      </c>
      <c r="B104" s="219"/>
      <c r="C104" s="219"/>
      <c r="D104" s="219"/>
      <c r="E104" s="221"/>
    </row>
    <row r="105" customFormat="false" ht="15" hidden="false" customHeight="true" outlineLevel="0" collapsed="false">
      <c r="A105" s="5" t="s">
        <v>553</v>
      </c>
      <c r="B105" s="214" t="n">
        <v>8750000</v>
      </c>
      <c r="C105" s="214" t="n">
        <v>8750000</v>
      </c>
      <c r="D105" s="220" t="n">
        <f aca="false">B105-C105</f>
        <v>0</v>
      </c>
      <c r="E105" s="221" t="n">
        <v>40000000</v>
      </c>
      <c r="F105" s="221" t="n">
        <v>35000000</v>
      </c>
      <c r="G105" s="222" t="n">
        <f aca="false">E105-F105</f>
        <v>5000000</v>
      </c>
    </row>
    <row r="106" customFormat="false" ht="15" hidden="false" customHeight="true" outlineLevel="0" collapsed="false">
      <c r="A106" s="5" t="s">
        <v>577</v>
      </c>
      <c r="B106" s="214" t="n">
        <v>8750000</v>
      </c>
      <c r="C106" s="214" t="n">
        <v>0</v>
      </c>
      <c r="D106" s="220" t="n">
        <f aca="false">B106-C106</f>
        <v>8750000</v>
      </c>
      <c r="E106" s="221"/>
    </row>
    <row r="107" customFormat="false" ht="15" hidden="false" customHeight="true" outlineLevel="0" collapsed="false">
      <c r="A107" s="5" t="s">
        <v>554</v>
      </c>
      <c r="B107" s="214" t="n">
        <f aca="false">B105+B106</f>
        <v>17500000</v>
      </c>
      <c r="C107" s="214" t="n">
        <f aca="false">C105+C106</f>
        <v>8750000</v>
      </c>
      <c r="D107" s="220" t="n">
        <f aca="false">B107-C107</f>
        <v>8750000</v>
      </c>
      <c r="E107" s="221"/>
    </row>
    <row r="108" customFormat="false" ht="15" hidden="false" customHeight="true" outlineLevel="0" collapsed="false">
      <c r="A108" s="219" t="s">
        <v>579</v>
      </c>
      <c r="B108" s="219"/>
      <c r="C108" s="219"/>
      <c r="D108" s="219"/>
      <c r="E108" s="221"/>
    </row>
    <row r="109" customFormat="false" ht="15" hidden="false" customHeight="true" outlineLevel="0" collapsed="false">
      <c r="A109" s="5" t="s">
        <v>553</v>
      </c>
      <c r="B109" s="214" t="n">
        <v>7500000</v>
      </c>
      <c r="C109" s="214" t="n">
        <v>7500000</v>
      </c>
      <c r="D109" s="220" t="n">
        <f aca="false">B109-C109</f>
        <v>0</v>
      </c>
      <c r="E109" s="221" t="n">
        <v>20000000</v>
      </c>
      <c r="F109" s="221" t="n">
        <v>20000000</v>
      </c>
      <c r="G109" s="222" t="n">
        <f aca="false">E109-F109</f>
        <v>0</v>
      </c>
    </row>
    <row r="110" customFormat="false" ht="15" hidden="false" customHeight="true" outlineLevel="0" collapsed="false">
      <c r="A110" s="5" t="s">
        <v>225</v>
      </c>
      <c r="B110" s="214" t="n">
        <v>7500000</v>
      </c>
      <c r="C110" s="214" t="n">
        <v>7500000</v>
      </c>
      <c r="D110" s="220" t="n">
        <f aca="false">B110-C110</f>
        <v>0</v>
      </c>
      <c r="E110" s="221"/>
    </row>
    <row r="111" customFormat="false" ht="15" hidden="false" customHeight="true" outlineLevel="0" collapsed="false">
      <c r="A111" s="5" t="s">
        <v>554</v>
      </c>
      <c r="B111" s="214" t="n">
        <f aca="false">B109+B110</f>
        <v>15000000</v>
      </c>
      <c r="C111" s="214" t="n">
        <f aca="false">C109+C110</f>
        <v>15000000</v>
      </c>
      <c r="D111" s="220" t="n">
        <f aca="false">B111-C111</f>
        <v>0</v>
      </c>
      <c r="E111" s="221"/>
    </row>
    <row r="112" customFormat="false" ht="15" hidden="false" customHeight="true" outlineLevel="0" collapsed="false">
      <c r="A112" s="223" t="s">
        <v>580</v>
      </c>
      <c r="B112" s="223"/>
      <c r="C112" s="223"/>
      <c r="D112" s="223"/>
      <c r="E112" s="221"/>
    </row>
    <row r="113" customFormat="false" ht="15" hidden="false" customHeight="true" outlineLevel="0" collapsed="false">
      <c r="A113" s="5" t="s">
        <v>553</v>
      </c>
      <c r="B113" s="214" t="n">
        <v>5000000</v>
      </c>
      <c r="C113" s="214" t="n">
        <v>5000000</v>
      </c>
      <c r="D113" s="220" t="n">
        <f aca="false">B113-C113</f>
        <v>0</v>
      </c>
      <c r="E113" s="221" t="n">
        <v>20000000</v>
      </c>
      <c r="F113" s="221" t="n">
        <v>20000000</v>
      </c>
      <c r="G113" s="222" t="n">
        <f aca="false">E113-F113</f>
        <v>0</v>
      </c>
    </row>
    <row r="114" customFormat="false" ht="15" hidden="false" customHeight="true" outlineLevel="0" collapsed="false">
      <c r="A114" s="5" t="s">
        <v>581</v>
      </c>
      <c r="B114" s="214" t="n">
        <v>5000000</v>
      </c>
      <c r="C114" s="214" t="n">
        <v>5000000</v>
      </c>
      <c r="D114" s="220" t="n">
        <f aca="false">B114-C114</f>
        <v>0</v>
      </c>
      <c r="E114" s="221"/>
    </row>
    <row r="115" customFormat="false" ht="15" hidden="false" customHeight="true" outlineLevel="0" collapsed="false">
      <c r="A115" s="5" t="s">
        <v>554</v>
      </c>
      <c r="B115" s="214" t="n">
        <f aca="false">B113+B114</f>
        <v>10000000</v>
      </c>
      <c r="C115" s="214" t="n">
        <f aca="false">C113+C114</f>
        <v>10000000</v>
      </c>
      <c r="D115" s="220" t="n">
        <f aca="false">B115-C115</f>
        <v>0</v>
      </c>
      <c r="E115" s="221"/>
    </row>
    <row r="116" customFormat="false" ht="15" hidden="false" customHeight="true" outlineLevel="0" collapsed="false">
      <c r="A116" s="223" t="s">
        <v>582</v>
      </c>
      <c r="B116" s="223"/>
      <c r="C116" s="223"/>
      <c r="D116" s="223"/>
      <c r="E116" s="221"/>
    </row>
    <row r="117" customFormat="false" ht="15" hidden="false" customHeight="true" outlineLevel="0" collapsed="false">
      <c r="A117" s="5" t="s">
        <v>553</v>
      </c>
      <c r="B117" s="214" t="n">
        <v>2500000</v>
      </c>
      <c r="C117" s="214" t="n">
        <v>2500000</v>
      </c>
      <c r="D117" s="220" t="n">
        <f aca="false">B117-C117</f>
        <v>0</v>
      </c>
      <c r="E117" s="221" t="n">
        <v>10000000</v>
      </c>
      <c r="F117" s="221"/>
      <c r="G117" s="222" t="n">
        <f aca="false">E117-F117</f>
        <v>10000000</v>
      </c>
    </row>
    <row r="118" customFormat="false" ht="15" hidden="false" customHeight="true" outlineLevel="0" collapsed="false">
      <c r="A118" s="5" t="s">
        <v>583</v>
      </c>
      <c r="B118" s="214" t="n">
        <v>2500000</v>
      </c>
      <c r="C118" s="214" t="n">
        <v>0</v>
      </c>
      <c r="D118" s="220" t="n">
        <f aca="false">B118-C118</f>
        <v>2500000</v>
      </c>
      <c r="E118" s="221"/>
    </row>
    <row r="119" customFormat="false" ht="15" hidden="false" customHeight="true" outlineLevel="0" collapsed="false">
      <c r="A119" s="5" t="s">
        <v>554</v>
      </c>
      <c r="B119" s="214" t="n">
        <f aca="false">B117+B118</f>
        <v>5000000</v>
      </c>
      <c r="C119" s="214" t="n">
        <f aca="false">C117+C118</f>
        <v>2500000</v>
      </c>
      <c r="D119" s="220" t="n">
        <f aca="false">B119-C119</f>
        <v>2500000</v>
      </c>
      <c r="E119" s="221"/>
    </row>
    <row r="120" customFormat="false" ht="15" hidden="false" customHeight="false" outlineLevel="0" collapsed="false">
      <c r="A120" s="226" t="s">
        <v>584</v>
      </c>
      <c r="B120" s="226"/>
      <c r="C120" s="226"/>
      <c r="D120" s="226"/>
      <c r="E120" s="221"/>
    </row>
    <row r="121" customFormat="false" ht="15" hidden="false" customHeight="false" outlineLevel="0" collapsed="false">
      <c r="A121" s="5" t="s">
        <v>553</v>
      </c>
      <c r="B121" s="214" t="n">
        <v>10000000</v>
      </c>
      <c r="C121" s="225" t="n">
        <v>10000000</v>
      </c>
      <c r="D121" s="220" t="n">
        <f aca="false">B121-C121</f>
        <v>0</v>
      </c>
      <c r="E121" s="221" t="n">
        <v>40000000</v>
      </c>
      <c r="F121" s="221" t="n">
        <v>40000000</v>
      </c>
      <c r="G121" s="222" t="n">
        <f aca="false">E121-F121</f>
        <v>0</v>
      </c>
    </row>
    <row r="122" customFormat="false" ht="15" hidden="false" customHeight="false" outlineLevel="0" collapsed="false">
      <c r="A122" s="5" t="s">
        <v>585</v>
      </c>
      <c r="B122" s="214" t="n">
        <v>10000000</v>
      </c>
      <c r="C122" s="214" t="n">
        <v>10000000</v>
      </c>
      <c r="D122" s="220" t="n">
        <f aca="false">B122-C122</f>
        <v>0</v>
      </c>
      <c r="E122" s="221"/>
    </row>
    <row r="123" customFormat="false" ht="15" hidden="false" customHeight="false" outlineLevel="0" collapsed="false">
      <c r="A123" s="5" t="s">
        <v>554</v>
      </c>
      <c r="B123" s="214" t="n">
        <f aca="false">B121+B122</f>
        <v>20000000</v>
      </c>
      <c r="C123" s="214" t="n">
        <f aca="false">C121+C122</f>
        <v>20000000</v>
      </c>
      <c r="D123" s="220" t="n">
        <f aca="false">B123-C123</f>
        <v>0</v>
      </c>
      <c r="E123" s="221"/>
    </row>
    <row r="124" customFormat="false" ht="15" hidden="false" customHeight="false" outlineLevel="0" collapsed="false">
      <c r="A124" s="227" t="s">
        <v>586</v>
      </c>
      <c r="B124" s="227"/>
      <c r="C124" s="227"/>
      <c r="D124" s="227"/>
      <c r="E124" s="221"/>
    </row>
    <row r="125" customFormat="false" ht="15" hidden="false" customHeight="false" outlineLevel="0" collapsed="false">
      <c r="A125" s="5" t="s">
        <v>553</v>
      </c>
      <c r="B125" s="214" t="n">
        <v>7500000</v>
      </c>
      <c r="C125" s="228" t="n">
        <v>7500000</v>
      </c>
      <c r="D125" s="220" t="n">
        <f aca="false">B125-C125</f>
        <v>0</v>
      </c>
      <c r="E125" s="221" t="n">
        <v>30000000</v>
      </c>
      <c r="F125" s="221" t="n">
        <v>30000000</v>
      </c>
      <c r="G125" s="222" t="n">
        <f aca="false">E125-F125</f>
        <v>0</v>
      </c>
    </row>
    <row r="126" customFormat="false" ht="15" hidden="false" customHeight="false" outlineLevel="0" collapsed="false">
      <c r="A126" s="5" t="s">
        <v>216</v>
      </c>
      <c r="B126" s="214" t="n">
        <v>7500000</v>
      </c>
      <c r="C126" s="214" t="n">
        <v>0</v>
      </c>
      <c r="D126" s="220" t="n">
        <f aca="false">B126-C126</f>
        <v>7500000</v>
      </c>
      <c r="E126" s="221"/>
    </row>
    <row r="127" customFormat="false" ht="15" hidden="false" customHeight="false" outlineLevel="0" collapsed="false">
      <c r="A127" s="5" t="s">
        <v>554</v>
      </c>
      <c r="B127" s="214" t="n">
        <f aca="false">B125+B126</f>
        <v>15000000</v>
      </c>
      <c r="C127" s="214" t="n">
        <f aca="false">C125+C126</f>
        <v>7500000</v>
      </c>
      <c r="D127" s="220" t="n">
        <f aca="false">B127-C127</f>
        <v>7500000</v>
      </c>
      <c r="E127" s="221"/>
    </row>
    <row r="128" customFormat="false" ht="15" hidden="false" customHeight="false" outlineLevel="0" collapsed="false">
      <c r="A128" s="227" t="s">
        <v>394</v>
      </c>
      <c r="B128" s="227"/>
      <c r="C128" s="227"/>
      <c r="D128" s="227"/>
      <c r="E128" s="221"/>
    </row>
    <row r="129" customFormat="false" ht="15" hidden="false" customHeight="false" outlineLevel="0" collapsed="false">
      <c r="A129" s="5" t="s">
        <v>553</v>
      </c>
      <c r="B129" s="214" t="n">
        <v>11250000</v>
      </c>
      <c r="C129" s="225" t="n">
        <v>11250000</v>
      </c>
      <c r="D129" s="220" t="n">
        <f aca="false">B129-C129</f>
        <v>0</v>
      </c>
      <c r="E129" s="221" t="n">
        <v>50000000</v>
      </c>
      <c r="F129" s="221" t="n">
        <v>50000000</v>
      </c>
      <c r="G129" s="222" t="n">
        <f aca="false">E129-F129</f>
        <v>0</v>
      </c>
    </row>
    <row r="130" customFormat="false" ht="15" hidden="false" customHeight="false" outlineLevel="0" collapsed="false">
      <c r="A130" s="5" t="s">
        <v>223</v>
      </c>
      <c r="B130" s="214" t="n">
        <v>11250000</v>
      </c>
      <c r="C130" s="214" t="n">
        <v>0</v>
      </c>
      <c r="D130" s="220" t="n">
        <f aca="false">B130-C130</f>
        <v>11250000</v>
      </c>
      <c r="E130" s="221"/>
    </row>
    <row r="131" customFormat="false" ht="15" hidden="false" customHeight="false" outlineLevel="0" collapsed="false">
      <c r="A131" s="5" t="s">
        <v>554</v>
      </c>
      <c r="B131" s="214" t="n">
        <f aca="false">B129+B130</f>
        <v>22500000</v>
      </c>
      <c r="C131" s="214" t="n">
        <f aca="false">C129+C130</f>
        <v>11250000</v>
      </c>
      <c r="D131" s="220" t="n">
        <f aca="false">B131-C131</f>
        <v>11250000</v>
      </c>
      <c r="E131" s="221"/>
    </row>
    <row r="132" customFormat="false" ht="15" hidden="false" customHeight="false" outlineLevel="0" collapsed="false">
      <c r="A132" s="227" t="s">
        <v>395</v>
      </c>
      <c r="B132" s="227"/>
      <c r="C132" s="227"/>
      <c r="D132" s="227"/>
      <c r="E132" s="221"/>
    </row>
    <row r="133" customFormat="false" ht="15" hidden="false" customHeight="false" outlineLevel="0" collapsed="false">
      <c r="A133" s="5" t="s">
        <v>553</v>
      </c>
      <c r="B133" s="214" t="n">
        <v>11250000</v>
      </c>
      <c r="C133" s="225" t="n">
        <v>11250000</v>
      </c>
      <c r="D133" s="220" t="n">
        <f aca="false">B133-C133</f>
        <v>0</v>
      </c>
      <c r="E133" s="221" t="n">
        <v>40000000</v>
      </c>
      <c r="F133" s="221" t="n">
        <v>40000000</v>
      </c>
      <c r="G133" s="222" t="n">
        <f aca="false">E133-F133</f>
        <v>0</v>
      </c>
    </row>
    <row r="134" customFormat="false" ht="15" hidden="false" customHeight="false" outlineLevel="0" collapsed="false">
      <c r="A134" s="5" t="s">
        <v>581</v>
      </c>
      <c r="B134" s="214" t="n">
        <v>11250000</v>
      </c>
      <c r="C134" s="225" t="n">
        <v>11250000</v>
      </c>
      <c r="D134" s="220" t="n">
        <f aca="false">B134-C134</f>
        <v>0</v>
      </c>
      <c r="E134" s="221"/>
    </row>
    <row r="135" customFormat="false" ht="15" hidden="false" customHeight="false" outlineLevel="0" collapsed="false">
      <c r="A135" s="5" t="s">
        <v>554</v>
      </c>
      <c r="B135" s="214" t="n">
        <f aca="false">B133+B134</f>
        <v>22500000</v>
      </c>
      <c r="C135" s="214" t="n">
        <f aca="false">C133+C134</f>
        <v>22500000</v>
      </c>
      <c r="D135" s="220" t="n">
        <f aca="false">B135-C135</f>
        <v>0</v>
      </c>
      <c r="E135" s="221"/>
    </row>
    <row r="136" customFormat="false" ht="15" hidden="false" customHeight="false" outlineLevel="0" collapsed="false">
      <c r="A136" s="226" t="s">
        <v>587</v>
      </c>
      <c r="B136" s="226"/>
      <c r="C136" s="226"/>
      <c r="D136" s="226"/>
      <c r="E136" s="221"/>
    </row>
    <row r="137" customFormat="false" ht="15" hidden="false" customHeight="false" outlineLevel="0" collapsed="false">
      <c r="A137" s="5" t="s">
        <v>553</v>
      </c>
      <c r="B137" s="214" t="n">
        <v>4250000</v>
      </c>
      <c r="C137" s="225" t="n">
        <v>4250000</v>
      </c>
      <c r="D137" s="220" t="n">
        <f aca="false">B137-C137</f>
        <v>0</v>
      </c>
      <c r="E137" s="221"/>
    </row>
    <row r="138" customFormat="false" ht="15" hidden="false" customHeight="false" outlineLevel="0" collapsed="false">
      <c r="A138" s="5" t="s">
        <v>588</v>
      </c>
      <c r="B138" s="214" t="n">
        <v>4250000</v>
      </c>
      <c r="C138" s="214" t="n">
        <v>4250000</v>
      </c>
      <c r="D138" s="220" t="n">
        <f aca="false">B138-C138</f>
        <v>0</v>
      </c>
      <c r="E138" s="221"/>
    </row>
    <row r="139" customFormat="false" ht="15" hidden="false" customHeight="false" outlineLevel="0" collapsed="false">
      <c r="A139" s="5" t="s">
        <v>554</v>
      </c>
      <c r="B139" s="214" t="n">
        <f aca="false">B137+B138</f>
        <v>8500000</v>
      </c>
      <c r="C139" s="214" t="n">
        <f aca="false">C137+C138</f>
        <v>8500000</v>
      </c>
      <c r="D139" s="220" t="n">
        <f aca="false">B139-C139</f>
        <v>0</v>
      </c>
      <c r="E139" s="221"/>
    </row>
    <row r="140" customFormat="false" ht="15" hidden="false" customHeight="false" outlineLevel="0" collapsed="false">
      <c r="A140" s="227" t="s">
        <v>589</v>
      </c>
      <c r="B140" s="227"/>
      <c r="C140" s="227"/>
      <c r="D140" s="227"/>
      <c r="E140" s="221"/>
    </row>
    <row r="141" customFormat="false" ht="15" hidden="false" customHeight="false" outlineLevel="0" collapsed="false">
      <c r="A141" s="5" t="s">
        <v>553</v>
      </c>
      <c r="B141" s="214" t="n">
        <v>25000000</v>
      </c>
      <c r="C141" s="225" t="n">
        <f aca="false">9900000+15100000</f>
        <v>25000000</v>
      </c>
      <c r="D141" s="229" t="n">
        <f aca="false">B141-C141</f>
        <v>0</v>
      </c>
      <c r="E141" s="221" t="n">
        <v>100000000</v>
      </c>
      <c r="F141" s="221" t="n">
        <v>100000000</v>
      </c>
      <c r="G141" s="222" t="n">
        <f aca="false">E141-F141</f>
        <v>0</v>
      </c>
    </row>
    <row r="142" customFormat="false" ht="15" hidden="false" customHeight="false" outlineLevel="0" collapsed="false">
      <c r="A142" s="5" t="s">
        <v>581</v>
      </c>
      <c r="B142" s="214" t="n">
        <v>25000000</v>
      </c>
      <c r="C142" s="228" t="n">
        <v>25000000</v>
      </c>
      <c r="D142" s="220" t="n">
        <f aca="false">B142-C142</f>
        <v>0</v>
      </c>
      <c r="E142" s="221"/>
    </row>
    <row r="143" customFormat="false" ht="15" hidden="false" customHeight="false" outlineLevel="0" collapsed="false">
      <c r="A143" s="5" t="s">
        <v>554</v>
      </c>
      <c r="B143" s="214" t="n">
        <f aca="false">B141+B142</f>
        <v>50000000</v>
      </c>
      <c r="C143" s="214" t="n">
        <f aca="false">C141+C142</f>
        <v>50000000</v>
      </c>
      <c r="D143" s="220" t="n">
        <f aca="false">B143-C143</f>
        <v>0</v>
      </c>
      <c r="E143" s="221"/>
    </row>
    <row r="144" customFormat="false" ht="15" hidden="false" customHeight="false" outlineLevel="0" collapsed="false">
      <c r="A144" s="227" t="s">
        <v>590</v>
      </c>
      <c r="B144" s="227"/>
      <c r="C144" s="227"/>
      <c r="D144" s="227"/>
      <c r="E144" s="221"/>
    </row>
    <row r="145" customFormat="false" ht="15" hidden="false" customHeight="false" outlineLevel="0" collapsed="false">
      <c r="A145" s="5" t="s">
        <v>553</v>
      </c>
      <c r="B145" s="214" t="n">
        <v>1500000</v>
      </c>
      <c r="C145" s="214" t="n">
        <v>1500000</v>
      </c>
      <c r="D145" s="220" t="n">
        <f aca="false">B145-C145</f>
        <v>0</v>
      </c>
      <c r="E145" s="221" t="n">
        <v>6000000</v>
      </c>
      <c r="G145" s="222" t="n">
        <f aca="false">E145-F145</f>
        <v>6000000</v>
      </c>
    </row>
    <row r="146" customFormat="false" ht="15" hidden="false" customHeight="false" outlineLevel="0" collapsed="false">
      <c r="A146" s="5" t="s">
        <v>581</v>
      </c>
      <c r="B146" s="214" t="n">
        <v>1500000</v>
      </c>
      <c r="C146" s="214" t="n">
        <v>0</v>
      </c>
      <c r="D146" s="220" t="n">
        <f aca="false">B146-C146</f>
        <v>1500000</v>
      </c>
      <c r="E146" s="221"/>
    </row>
    <row r="147" customFormat="false" ht="15" hidden="false" customHeight="false" outlineLevel="0" collapsed="false">
      <c r="A147" s="5" t="s">
        <v>554</v>
      </c>
      <c r="B147" s="214" t="n">
        <f aca="false">B145+B146</f>
        <v>3000000</v>
      </c>
      <c r="C147" s="214" t="n">
        <f aca="false">C145+C146</f>
        <v>1500000</v>
      </c>
      <c r="D147" s="220" t="n">
        <f aca="false">B147-C147</f>
        <v>1500000</v>
      </c>
      <c r="E147" s="221"/>
    </row>
    <row r="148" customFormat="false" ht="15" hidden="false" customHeight="false" outlineLevel="0" collapsed="false">
      <c r="A148" s="226" t="s">
        <v>591</v>
      </c>
      <c r="B148" s="226"/>
      <c r="C148" s="226"/>
      <c r="D148" s="226"/>
      <c r="E148" s="221"/>
    </row>
    <row r="149" customFormat="false" ht="15" hidden="false" customHeight="false" outlineLevel="0" collapsed="false">
      <c r="A149" s="5" t="s">
        <v>553</v>
      </c>
      <c r="B149" s="214" t="n">
        <v>23585000</v>
      </c>
      <c r="C149" s="225" t="n">
        <v>23585000</v>
      </c>
      <c r="D149" s="220" t="n">
        <f aca="false">B149-C149</f>
        <v>0</v>
      </c>
      <c r="E149" s="221"/>
    </row>
    <row r="150" customFormat="false" ht="15" hidden="false" customHeight="false" outlineLevel="0" collapsed="false">
      <c r="A150" s="5" t="s">
        <v>581</v>
      </c>
      <c r="B150" s="214" t="n">
        <v>22000000</v>
      </c>
      <c r="C150" s="214" t="n">
        <v>22000000</v>
      </c>
      <c r="D150" s="220" t="n">
        <f aca="false">B150-C150</f>
        <v>0</v>
      </c>
      <c r="E150" s="221"/>
    </row>
    <row r="151" customFormat="false" ht="15" hidden="false" customHeight="false" outlineLevel="0" collapsed="false">
      <c r="A151" s="5" t="s">
        <v>554</v>
      </c>
      <c r="B151" s="214" t="n">
        <f aca="false">B149+B150</f>
        <v>45585000</v>
      </c>
      <c r="C151" s="214" t="n">
        <f aca="false">C149+C150</f>
        <v>45585000</v>
      </c>
      <c r="D151" s="220" t="n">
        <f aca="false">B151-C151</f>
        <v>0</v>
      </c>
      <c r="E151" s="221"/>
    </row>
    <row r="152" customFormat="false" ht="15" hidden="false" customHeight="false" outlineLevel="0" collapsed="false">
      <c r="A152" s="227" t="s">
        <v>592</v>
      </c>
      <c r="B152" s="227"/>
      <c r="C152" s="227"/>
      <c r="D152" s="227"/>
      <c r="E152" s="221"/>
    </row>
    <row r="153" customFormat="false" ht="15" hidden="false" customHeight="false" outlineLevel="0" collapsed="false">
      <c r="A153" s="5" t="s">
        <v>553</v>
      </c>
      <c r="B153" s="214" t="n">
        <v>14200000</v>
      </c>
      <c r="C153" s="230" t="n">
        <v>14200000</v>
      </c>
      <c r="D153" s="220" t="n">
        <f aca="false">B153-C153</f>
        <v>0</v>
      </c>
      <c r="E153" s="221" t="n">
        <v>28800000</v>
      </c>
      <c r="F153" s="221" t="n">
        <v>28800000</v>
      </c>
    </row>
    <row r="154" customFormat="false" ht="15" hidden="false" customHeight="false" outlineLevel="0" collapsed="false">
      <c r="A154" s="5" t="s">
        <v>593</v>
      </c>
      <c r="B154" s="214" t="n">
        <v>14200000</v>
      </c>
      <c r="C154" s="214"/>
      <c r="D154" s="220" t="n">
        <f aca="false">B154-C154</f>
        <v>14200000</v>
      </c>
      <c r="E154" s="221"/>
    </row>
    <row r="155" customFormat="false" ht="15" hidden="false" customHeight="false" outlineLevel="0" collapsed="false">
      <c r="A155" s="5" t="s">
        <v>554</v>
      </c>
      <c r="B155" s="214" t="n">
        <f aca="false">B153+B154</f>
        <v>28400000</v>
      </c>
      <c r="C155" s="214" t="n">
        <f aca="false">C153+C154</f>
        <v>14200000</v>
      </c>
      <c r="D155" s="220" t="n">
        <f aca="false">B155-C155</f>
        <v>14200000</v>
      </c>
      <c r="E155" s="221"/>
    </row>
    <row r="156" customFormat="false" ht="15" hidden="false" customHeight="false" outlineLevel="0" collapsed="false">
      <c r="A156" s="226" t="s">
        <v>594</v>
      </c>
      <c r="B156" s="226"/>
      <c r="C156" s="226"/>
      <c r="D156" s="226"/>
      <c r="E156" s="221"/>
    </row>
    <row r="157" customFormat="false" ht="15" hidden="false" customHeight="false" outlineLevel="0" collapsed="false">
      <c r="A157" s="5" t="s">
        <v>553</v>
      </c>
      <c r="B157" s="214" t="n">
        <v>2500000</v>
      </c>
      <c r="C157" s="228" t="n">
        <v>2500000</v>
      </c>
      <c r="D157" s="220" t="n">
        <f aca="false">B157-C157</f>
        <v>0</v>
      </c>
      <c r="E157" s="221" t="n">
        <v>10000000</v>
      </c>
      <c r="F157" s="221" t="n">
        <v>10000000</v>
      </c>
      <c r="G157" s="222" t="n">
        <f aca="false">E157-F157</f>
        <v>0</v>
      </c>
    </row>
    <row r="158" customFormat="false" ht="15" hidden="false" customHeight="false" outlineLevel="0" collapsed="false">
      <c r="A158" s="5" t="s">
        <v>208</v>
      </c>
      <c r="B158" s="214" t="n">
        <v>2500000</v>
      </c>
      <c r="C158" s="228" t="n">
        <v>2500000</v>
      </c>
      <c r="D158" s="220" t="n">
        <f aca="false">B158-C158</f>
        <v>0</v>
      </c>
      <c r="E158" s="221"/>
    </row>
    <row r="159" customFormat="false" ht="15" hidden="false" customHeight="false" outlineLevel="0" collapsed="false">
      <c r="A159" s="5" t="s">
        <v>554</v>
      </c>
      <c r="B159" s="214" t="n">
        <f aca="false">B157+B158</f>
        <v>5000000</v>
      </c>
      <c r="C159" s="214" t="n">
        <f aca="false">C157+C158</f>
        <v>5000000</v>
      </c>
      <c r="D159" s="220" t="n">
        <f aca="false">B159-C159</f>
        <v>0</v>
      </c>
      <c r="E159" s="221"/>
    </row>
    <row r="160" customFormat="false" ht="15" hidden="false" customHeight="false" outlineLevel="0" collapsed="false">
      <c r="A160" s="227" t="s">
        <v>595</v>
      </c>
      <c r="B160" s="227"/>
      <c r="C160" s="227"/>
      <c r="D160" s="227"/>
      <c r="E160" s="221"/>
    </row>
    <row r="161" customFormat="false" ht="15" hidden="false" customHeight="false" outlineLevel="0" collapsed="false">
      <c r="A161" s="5" t="s">
        <v>553</v>
      </c>
      <c r="B161" s="214" t="n">
        <v>7500000</v>
      </c>
      <c r="C161" s="230"/>
      <c r="D161" s="220" t="n">
        <f aca="false">B161-C161</f>
        <v>7500000</v>
      </c>
      <c r="E161" s="221" t="n">
        <v>30000000</v>
      </c>
      <c r="F161" s="221" t="n">
        <v>12000000</v>
      </c>
      <c r="G161" s="222" t="n">
        <f aca="false">E161-F161</f>
        <v>18000000</v>
      </c>
    </row>
    <row r="162" customFormat="false" ht="15" hidden="false" customHeight="false" outlineLevel="0" collapsed="false">
      <c r="A162" s="5" t="s">
        <v>585</v>
      </c>
      <c r="B162" s="214" t="n">
        <v>7500000</v>
      </c>
      <c r="C162" s="230"/>
      <c r="D162" s="220" t="n">
        <f aca="false">B162-C162</f>
        <v>7500000</v>
      </c>
      <c r="E162" s="221"/>
    </row>
    <row r="163" customFormat="false" ht="15" hidden="false" customHeight="false" outlineLevel="0" collapsed="false">
      <c r="A163" s="5" t="s">
        <v>554</v>
      </c>
      <c r="B163" s="214" t="n">
        <f aca="false">B161+B162</f>
        <v>15000000</v>
      </c>
      <c r="C163" s="214" t="n">
        <f aca="false">C161+C162</f>
        <v>0</v>
      </c>
      <c r="D163" s="220" t="n">
        <f aca="false">B163-C163</f>
        <v>15000000</v>
      </c>
      <c r="E163" s="221"/>
    </row>
    <row r="164" customFormat="false" ht="15" hidden="false" customHeight="false" outlineLevel="0" collapsed="false">
      <c r="A164" s="219" t="s">
        <v>596</v>
      </c>
      <c r="B164" s="219"/>
      <c r="C164" s="219"/>
      <c r="D164" s="219"/>
      <c r="E164" s="221"/>
    </row>
    <row r="165" customFormat="false" ht="15" hidden="false" customHeight="false" outlineLevel="0" collapsed="false">
      <c r="A165" s="5" t="s">
        <v>553</v>
      </c>
      <c r="B165" s="214"/>
      <c r="C165" s="214" t="n">
        <v>0</v>
      </c>
      <c r="D165" s="220" t="n">
        <f aca="false">B165-C165</f>
        <v>0</v>
      </c>
      <c r="E165" s="221"/>
    </row>
    <row r="166" customFormat="false" ht="15" hidden="false" customHeight="false" outlineLevel="0" collapsed="false">
      <c r="A166" s="5" t="s">
        <v>225</v>
      </c>
      <c r="B166" s="214"/>
      <c r="C166" s="214" t="n">
        <v>0</v>
      </c>
      <c r="D166" s="220" t="n">
        <f aca="false">B166-C166</f>
        <v>0</v>
      </c>
      <c r="E166" s="221"/>
    </row>
    <row r="167" customFormat="false" ht="15" hidden="false" customHeight="false" outlineLevel="0" collapsed="false">
      <c r="A167" s="5" t="s">
        <v>554</v>
      </c>
      <c r="B167" s="214" t="n">
        <f aca="false">B165+B166</f>
        <v>0</v>
      </c>
      <c r="C167" s="214" t="n">
        <f aca="false">C165+C166</f>
        <v>0</v>
      </c>
      <c r="D167" s="220" t="n">
        <f aca="false">B167-C167</f>
        <v>0</v>
      </c>
      <c r="E167" s="221"/>
    </row>
    <row r="168" customFormat="false" ht="15" hidden="false" customHeight="false" outlineLevel="0" collapsed="false">
      <c r="A168" s="223" t="s">
        <v>597</v>
      </c>
      <c r="B168" s="223"/>
      <c r="C168" s="223"/>
      <c r="D168" s="223"/>
      <c r="E168" s="221"/>
    </row>
    <row r="169" customFormat="false" ht="15" hidden="false" customHeight="false" outlineLevel="0" collapsed="false">
      <c r="A169" s="5" t="s">
        <v>553</v>
      </c>
      <c r="B169" s="214" t="n">
        <v>7500000</v>
      </c>
      <c r="C169" s="214" t="n">
        <v>7500000</v>
      </c>
      <c r="D169" s="220" t="n">
        <f aca="false">B169-C169</f>
        <v>0</v>
      </c>
      <c r="E169" s="221" t="n">
        <v>25000000</v>
      </c>
      <c r="F169" s="221" t="n">
        <v>25000000</v>
      </c>
      <c r="G169" s="222" t="n">
        <f aca="false">E169-F169</f>
        <v>0</v>
      </c>
    </row>
    <row r="170" customFormat="false" ht="15" hidden="false" customHeight="false" outlineLevel="0" collapsed="false">
      <c r="A170" s="5" t="s">
        <v>581</v>
      </c>
      <c r="B170" s="214" t="n">
        <v>7500000</v>
      </c>
      <c r="C170" s="214" t="n">
        <v>7500000</v>
      </c>
      <c r="D170" s="220" t="n">
        <f aca="false">B170-C170</f>
        <v>0</v>
      </c>
      <c r="E170" s="221"/>
    </row>
    <row r="171" customFormat="false" ht="15" hidden="false" customHeight="false" outlineLevel="0" collapsed="false">
      <c r="A171" s="5" t="s">
        <v>554</v>
      </c>
      <c r="B171" s="214" t="n">
        <f aca="false">B169+B170</f>
        <v>15000000</v>
      </c>
      <c r="C171" s="214" t="n">
        <f aca="false">C169+C170</f>
        <v>15000000</v>
      </c>
      <c r="D171" s="220" t="n">
        <f aca="false">B171-C171</f>
        <v>0</v>
      </c>
      <c r="E171" s="221"/>
    </row>
    <row r="172" customFormat="false" ht="15" hidden="false" customHeight="false" outlineLevel="0" collapsed="false">
      <c r="A172" s="219" t="s">
        <v>598</v>
      </c>
      <c r="B172" s="219"/>
      <c r="C172" s="219"/>
      <c r="D172" s="219"/>
      <c r="E172" s="221"/>
    </row>
    <row r="173" customFormat="false" ht="15" hidden="false" customHeight="false" outlineLevel="0" collapsed="false">
      <c r="A173" s="5" t="s">
        <v>553</v>
      </c>
      <c r="B173" s="214" t="n">
        <v>6000000</v>
      </c>
      <c r="C173" s="214" t="n">
        <v>6000000</v>
      </c>
      <c r="D173" s="220" t="n">
        <f aca="false">B173-C173</f>
        <v>0</v>
      </c>
      <c r="E173" s="221" t="n">
        <v>24000000</v>
      </c>
      <c r="F173" s="221" t="n">
        <v>12000000</v>
      </c>
      <c r="G173" s="222" t="n">
        <f aca="false">E173-F173</f>
        <v>12000000</v>
      </c>
    </row>
    <row r="174" customFormat="false" ht="15" hidden="false" customHeight="false" outlineLevel="0" collapsed="false">
      <c r="A174" s="5" t="s">
        <v>581</v>
      </c>
      <c r="B174" s="214" t="n">
        <v>6000000</v>
      </c>
      <c r="C174" s="214" t="n">
        <v>6000000</v>
      </c>
      <c r="D174" s="220" t="n">
        <f aca="false">B174-C174</f>
        <v>0</v>
      </c>
      <c r="E174" s="221"/>
    </row>
    <row r="175" customFormat="false" ht="15" hidden="false" customHeight="false" outlineLevel="0" collapsed="false">
      <c r="A175" s="5" t="s">
        <v>554</v>
      </c>
      <c r="B175" s="214" t="n">
        <f aca="false">B173+B174</f>
        <v>12000000</v>
      </c>
      <c r="C175" s="214" t="n">
        <f aca="false">C173+C174</f>
        <v>12000000</v>
      </c>
      <c r="D175" s="220" t="n">
        <f aca="false">B175-C175</f>
        <v>0</v>
      </c>
      <c r="E175" s="221"/>
    </row>
    <row r="176" customFormat="false" ht="15" hidden="false" customHeight="false" outlineLevel="0" collapsed="false">
      <c r="A176" s="219" t="s">
        <v>484</v>
      </c>
      <c r="B176" s="219"/>
      <c r="C176" s="219"/>
      <c r="D176" s="219"/>
      <c r="E176" s="221"/>
    </row>
    <row r="177" customFormat="false" ht="15" hidden="false" customHeight="false" outlineLevel="0" collapsed="false">
      <c r="A177" s="5" t="s">
        <v>553</v>
      </c>
      <c r="B177" s="214" t="n">
        <v>5000000</v>
      </c>
      <c r="C177" s="214" t="n">
        <v>5000000</v>
      </c>
      <c r="D177" s="220" t="n">
        <f aca="false">B177-C177</f>
        <v>0</v>
      </c>
      <c r="E177" s="221" t="n">
        <v>20000000</v>
      </c>
      <c r="G177" s="222" t="n">
        <f aca="false">E177-F177</f>
        <v>20000000</v>
      </c>
    </row>
    <row r="178" customFormat="false" ht="15" hidden="false" customHeight="false" outlineLevel="0" collapsed="false">
      <c r="A178" s="5"/>
      <c r="B178" s="214" t="n">
        <v>5000000</v>
      </c>
      <c r="C178" s="214" t="n">
        <v>0</v>
      </c>
      <c r="D178" s="220" t="n">
        <f aca="false">B178-C178</f>
        <v>5000000</v>
      </c>
      <c r="E178" s="221"/>
    </row>
    <row r="179" customFormat="false" ht="15" hidden="false" customHeight="false" outlineLevel="0" collapsed="false">
      <c r="A179" s="5" t="s">
        <v>554</v>
      </c>
      <c r="B179" s="214" t="n">
        <f aca="false">B177+B178</f>
        <v>10000000</v>
      </c>
      <c r="C179" s="214" t="n">
        <f aca="false">C177+C178</f>
        <v>5000000</v>
      </c>
      <c r="D179" s="220" t="n">
        <f aca="false">B179-C179</f>
        <v>5000000</v>
      </c>
      <c r="E179" s="221"/>
    </row>
    <row r="180" customFormat="false" ht="15" hidden="false" customHeight="false" outlineLevel="0" collapsed="false">
      <c r="A180" s="219" t="s">
        <v>599</v>
      </c>
      <c r="B180" s="219"/>
      <c r="C180" s="219"/>
      <c r="D180" s="219"/>
      <c r="E180" s="221"/>
    </row>
    <row r="181" customFormat="false" ht="15" hidden="false" customHeight="false" outlineLevel="0" collapsed="false">
      <c r="A181" s="5" t="s">
        <v>553</v>
      </c>
      <c r="B181" s="214" t="n">
        <v>1500000</v>
      </c>
      <c r="C181" s="214" t="n">
        <v>1500000</v>
      </c>
      <c r="D181" s="220" t="n">
        <f aca="false">B181-C181</f>
        <v>0</v>
      </c>
      <c r="E181" s="221" t="n">
        <v>6000000</v>
      </c>
      <c r="G181" s="222" t="n">
        <f aca="false">E181-F181</f>
        <v>6000000</v>
      </c>
    </row>
    <row r="182" customFormat="false" ht="15" hidden="false" customHeight="false" outlineLevel="0" collapsed="false">
      <c r="A182" s="5"/>
      <c r="B182" s="214" t="n">
        <v>1500000</v>
      </c>
      <c r="C182" s="214" t="n">
        <v>0</v>
      </c>
      <c r="D182" s="220" t="n">
        <f aca="false">B182-C182</f>
        <v>1500000</v>
      </c>
      <c r="E182" s="221"/>
    </row>
    <row r="183" customFormat="false" ht="15" hidden="false" customHeight="false" outlineLevel="0" collapsed="false">
      <c r="A183" s="5" t="s">
        <v>554</v>
      </c>
      <c r="B183" s="214" t="n">
        <f aca="false">B181+B182</f>
        <v>3000000</v>
      </c>
      <c r="C183" s="214" t="n">
        <f aca="false">C181+C182</f>
        <v>1500000</v>
      </c>
      <c r="D183" s="220" t="n">
        <f aca="false">B183-C183</f>
        <v>1500000</v>
      </c>
      <c r="E183" s="221"/>
    </row>
    <row r="184" customFormat="false" ht="15" hidden="false" customHeight="false" outlineLevel="0" collapsed="false">
      <c r="A184" s="231"/>
      <c r="B184" s="221"/>
      <c r="C184" s="221"/>
      <c r="D184" s="232"/>
      <c r="E184" s="221"/>
    </row>
    <row r="185" customFormat="false" ht="15" hidden="false" customHeight="false" outlineLevel="0" collapsed="false">
      <c r="A185" s="231"/>
      <c r="B185" s="221"/>
      <c r="C185" s="221"/>
      <c r="D185" s="232"/>
      <c r="E185" s="221"/>
    </row>
    <row r="186" customFormat="false" ht="15" hidden="false" customHeight="false" outlineLevel="0" collapsed="false">
      <c r="A186" s="231"/>
      <c r="B186" s="221"/>
      <c r="C186" s="221"/>
      <c r="D186" s="232"/>
      <c r="E186" s="221"/>
    </row>
    <row r="187" customFormat="false" ht="15" hidden="false" customHeight="false" outlineLevel="0" collapsed="false">
      <c r="C187" s="233" t="n">
        <f aca="false">C149+C98+C137+C134+C133+C129+C121+2000000+9900000</f>
        <v>227485000</v>
      </c>
      <c r="D187" s="222" t="n">
        <f aca="false">D135+D131+D127+D123+D119+D115+D111+D107+D103+D96+D74+D69+D139+D143+D147+D151+D155+D159+D163+D167</f>
        <v>83450000</v>
      </c>
      <c r="E187" s="222" t="n">
        <f aca="false">SUM(E67:E183)</f>
        <v>1030800000</v>
      </c>
      <c r="F187" s="222" t="n">
        <f aca="false">SUM(F67:F183)</f>
        <v>915800000</v>
      </c>
      <c r="G187" s="222" t="n">
        <f aca="false">SUM(G67:G183)</f>
        <v>115000000</v>
      </c>
    </row>
    <row r="188" customFormat="false" ht="15" hidden="false" customHeight="false" outlineLevel="0" collapsed="false">
      <c r="B188" s="0" t="s">
        <v>600</v>
      </c>
      <c r="C188" s="221" t="n">
        <f aca="false">217485000+10000000</f>
        <v>227485000</v>
      </c>
      <c r="E188" s="221"/>
    </row>
    <row r="189" customFormat="false" ht="15" hidden="false" customHeight="false" outlineLevel="0" collapsed="false">
      <c r="C189" s="222" t="n">
        <f aca="false">C188-C187</f>
        <v>0</v>
      </c>
      <c r="E189" s="221" t="n">
        <f aca="false">+E187/2</f>
        <v>515400000</v>
      </c>
    </row>
    <row r="191" customFormat="false" ht="15" hidden="false" customHeight="false" outlineLevel="0" collapsed="false">
      <c r="C191" s="0" t="n">
        <f aca="false">162215600+8999600+10000000</f>
        <v>181215200</v>
      </c>
    </row>
    <row r="192" customFormat="false" ht="15" hidden="false" customHeight="false" outlineLevel="0" collapsed="false">
      <c r="C192" s="222" t="n">
        <f aca="false">C142+15100000+C157+C158+C111+C107+C103+C67+C71+C145+C171+C175+C177+C181+C155</f>
        <v>145800000</v>
      </c>
    </row>
    <row r="193" customFormat="false" ht="15" hidden="false" customHeight="false" outlineLevel="0" collapsed="false">
      <c r="C193" s="222" t="n">
        <f aca="false">C191-C192</f>
        <v>35415200</v>
      </c>
    </row>
    <row r="194" customFormat="false" ht="15" hidden="false" customHeight="false" outlineLevel="0" collapsed="false">
      <c r="C194" s="222" t="n">
        <f aca="false">C183+C181+C179+C175+C167+C163+C159+C155+C151+C147+C143+C139+C135+C131+C127+C123+C119+C115+C111+C107+C103+C99+C96+C74+C69</f>
        <v>464035000</v>
      </c>
    </row>
    <row r="196" customFormat="false" ht="15" hidden="false" customHeight="false" outlineLevel="0" collapsed="false">
      <c r="C196" s="234" t="n">
        <f aca="false">+E189-C194</f>
        <v>51365000</v>
      </c>
    </row>
    <row r="197" customFormat="false" ht="15" hidden="false" customHeight="false" outlineLevel="0" collapsed="false">
      <c r="C197" s="222" t="n">
        <f aca="false">+C196-C193</f>
        <v>15949800</v>
      </c>
    </row>
  </sheetData>
  <mergeCells count="44">
    <mergeCell ref="A2:D2"/>
    <mergeCell ref="A9:D9"/>
    <mergeCell ref="A13:D13"/>
    <mergeCell ref="A17:D17"/>
    <mergeCell ref="A21:D21"/>
    <mergeCell ref="A26:D26"/>
    <mergeCell ref="A32:D32"/>
    <mergeCell ref="A36:D36"/>
    <mergeCell ref="A40:D40"/>
    <mergeCell ref="A45:D45"/>
    <mergeCell ref="A48:D48"/>
    <mergeCell ref="A52:D52"/>
    <mergeCell ref="A55:D55"/>
    <mergeCell ref="A58:D58"/>
    <mergeCell ref="A62:D62"/>
    <mergeCell ref="A66:D66"/>
    <mergeCell ref="A70:D70"/>
    <mergeCell ref="A75:D75"/>
    <mergeCell ref="A79:D79"/>
    <mergeCell ref="A83:D83"/>
    <mergeCell ref="A87:D87"/>
    <mergeCell ref="A93:D93"/>
    <mergeCell ref="A97:D97"/>
    <mergeCell ref="A100:D100"/>
    <mergeCell ref="A104:D104"/>
    <mergeCell ref="A108:D108"/>
    <mergeCell ref="A112:D112"/>
    <mergeCell ref="A116:D116"/>
    <mergeCell ref="A120:D120"/>
    <mergeCell ref="A124:D124"/>
    <mergeCell ref="A128:D128"/>
    <mergeCell ref="A132:D132"/>
    <mergeCell ref="A136:D136"/>
    <mergeCell ref="A140:D140"/>
    <mergeCell ref="A144:D144"/>
    <mergeCell ref="A148:D148"/>
    <mergeCell ref="A152:D152"/>
    <mergeCell ref="A156:D156"/>
    <mergeCell ref="A160:D160"/>
    <mergeCell ref="A164:D164"/>
    <mergeCell ref="A168:D168"/>
    <mergeCell ref="A172:D172"/>
    <mergeCell ref="A176:D176"/>
    <mergeCell ref="A180:D1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2017-12-08T13:55:20Z</dcterms:created>
  <dc:creator>123</dc:creator>
  <dc:description/>
  <dc:language>en-US</dc:language>
  <cp:lastModifiedBy>гости1</cp:lastModifiedBy>
  <cp:lastPrinted>2021-07-16T13:09:29Z</cp:lastPrinted>
  <dcterms:modified xsi:type="dcterms:W3CDTF">2026-01-24T13:00:10Z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